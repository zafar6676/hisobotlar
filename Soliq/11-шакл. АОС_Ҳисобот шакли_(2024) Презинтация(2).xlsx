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ЭтаКнига" defaultThemeVersion="124226"/>
  <mc:AlternateContent xmlns:mc="http://schemas.openxmlformats.org/markup-compatibility/2006">
    <mc:Choice Requires="x15">
      <x15ac:absPath xmlns:x15ac="http://schemas.microsoft.com/office/spreadsheetml/2010/11/ac" url="Y:\07_2024\05_Май\06_Айланмадан олинадиган солиқ ўловчиларга хизмат кўрсатиш бўлими\02_Э.Исаев\!!AOS hisobot shakli\"/>
    </mc:Choice>
  </mc:AlternateContent>
  <xr:revisionPtr revIDLastSave="0" documentId="13_ncr:1_{6F2651ED-AFC6-43EA-A81D-FE8448D10710}" xr6:coauthVersionLast="47" xr6:coauthVersionMax="47" xr10:uidLastSave="{00000000-0000-0000-0000-000000000000}"/>
  <bookViews>
    <workbookView xWindow="-120" yWindow="-120" windowWidth="29040" windowHeight="15840" tabRatio="659" firstSheet="1" activeTab="1" xr2:uid="{00000000-000D-0000-FFFF-FFFF00000000}"/>
  </bookViews>
  <sheets>
    <sheet name="Солиқ ставкаси" sheetId="29" state="hidden" r:id="rId1"/>
    <sheet name="Свод" sheetId="28" r:id="rId2"/>
    <sheet name="Хисоб-китоб шакли" sheetId="14" r:id="rId3"/>
    <sheet name="1-илова" sheetId="24" r:id="rId4"/>
    <sheet name="2-илова" sheetId="4" r:id="rId5"/>
    <sheet name="3-илова" sheetId="23" r:id="rId6"/>
  </sheets>
  <definedNames>
    <definedName name="_xlnm.Print_Titles" localSheetId="3">'1-илова'!$2:$2</definedName>
    <definedName name="_xlnm.Print_Titles" localSheetId="5">'3-илова'!$6:$6</definedName>
    <definedName name="илова">'3-илова'!#REF!</definedName>
    <definedName name="_xlnm.Print_Area" localSheetId="3">'1-илова'!$B$1:$F$27</definedName>
    <definedName name="_xlnm.Print_Area" localSheetId="4">'2-илова'!$B$1:$F$32</definedName>
    <definedName name="_xlnm.Print_Area" localSheetId="5">'3-илова'!$B$1:$H$43</definedName>
    <definedName name="_xlnm.Print_Area" localSheetId="2">'Хисоб-китоб шакли'!$B$1:$W$32</definedName>
  </definedNames>
  <calcPr calcId="191029"/>
</workbook>
</file>

<file path=xl/calcChain.xml><?xml version="1.0" encoding="utf-8"?>
<calcChain xmlns="http://schemas.openxmlformats.org/spreadsheetml/2006/main">
  <c r="K10" i="23" l="1"/>
  <c r="I10" i="4"/>
  <c r="I6" i="24"/>
  <c r="E10" i="28" l="1"/>
  <c r="E9" i="28"/>
  <c r="E8" i="28"/>
  <c r="E7" i="28"/>
  <c r="I10" i="28"/>
  <c r="I9" i="28"/>
  <c r="I8" i="28"/>
  <c r="I7" i="28"/>
  <c r="H6" i="28"/>
  <c r="G6" i="28"/>
  <c r="F6" i="28"/>
  <c r="D6" i="28"/>
  <c r="C6" i="28"/>
  <c r="E6" i="28" l="1"/>
  <c r="I6" i="28"/>
  <c r="L24" i="14"/>
  <c r="D3" i="23" l="1"/>
  <c r="D3" i="4" l="1"/>
</calcChain>
</file>

<file path=xl/sharedStrings.xml><?xml version="1.0" encoding="utf-8"?>
<sst xmlns="http://schemas.openxmlformats.org/spreadsheetml/2006/main" count="397" uniqueCount="296">
  <si>
    <t>020</t>
  </si>
  <si>
    <t>030</t>
  </si>
  <si>
    <t>040</t>
  </si>
  <si>
    <t>050</t>
  </si>
  <si>
    <t>060</t>
  </si>
  <si>
    <t>Сумма</t>
  </si>
  <si>
    <t>lc=R39C7</t>
  </si>
  <si>
    <t>lc=R63C20</t>
  </si>
  <si>
    <t>010</t>
  </si>
  <si>
    <t>0201</t>
  </si>
  <si>
    <t>0202</t>
  </si>
  <si>
    <t>0203</t>
  </si>
  <si>
    <t>0204</t>
  </si>
  <si>
    <t>0205</t>
  </si>
  <si>
    <t>070</t>
  </si>
  <si>
    <t>0206</t>
  </si>
  <si>
    <t>0207</t>
  </si>
  <si>
    <t>х</t>
  </si>
  <si>
    <t>lc=R38C7</t>
  </si>
  <si>
    <t>0301</t>
  </si>
  <si>
    <t>0302</t>
  </si>
  <si>
    <t>0303</t>
  </si>
  <si>
    <t>0304</t>
  </si>
  <si>
    <t>0305</t>
  </si>
  <si>
    <t>0306</t>
  </si>
  <si>
    <t>0401</t>
  </si>
  <si>
    <t>0601</t>
  </si>
  <si>
    <t>0402</t>
  </si>
  <si>
    <t>0403</t>
  </si>
  <si>
    <t>0404</t>
  </si>
  <si>
    <t>.</t>
  </si>
  <si>
    <t>Сатр коди</t>
  </si>
  <si>
    <t>0101</t>
  </si>
  <si>
    <t>0102</t>
  </si>
  <si>
    <t>0103</t>
  </si>
  <si>
    <t>0104</t>
  </si>
  <si>
    <t>0105</t>
  </si>
  <si>
    <t>04011</t>
  </si>
  <si>
    <t>СТИР</t>
  </si>
  <si>
    <t>Ҳужжат тури</t>
  </si>
  <si>
    <t>Ҳисобот даври</t>
  </si>
  <si>
    <t>ой</t>
  </si>
  <si>
    <t>Солиқ даври</t>
  </si>
  <si>
    <t>Ҳужжат тури: 1 - ҳисоб-китоб, 2 - қайта ҳисоб-китоб (каср орқали қайта ҳисоб-китобнинг рақами)</t>
  </si>
  <si>
    <t>Солиқ тўловчининг тўлиқ номи</t>
  </si>
  <si>
    <t>Солиқ тўловчининг жойлашган ери</t>
  </si>
  <si>
    <t>Почта манзили</t>
  </si>
  <si>
    <t>Ҳисоб-китобни тақдим этиш муддати (кун/ой/йил)</t>
  </si>
  <si>
    <t>(солиқ бўйича ҳисобга олиш жойидаги солиқ органининг номи)</t>
  </si>
  <si>
    <t>га тақдим этилади.</t>
  </si>
  <si>
    <t>Айланмадан олинадиган солиқ ҳисоб-китоби</t>
  </si>
  <si>
    <t>Ўлчов бирлиги сўмда</t>
  </si>
  <si>
    <t>Кўрсаткичлар</t>
  </si>
  <si>
    <t>Жами</t>
  </si>
  <si>
    <t>Солиқ ставкаси, фоизда</t>
  </si>
  <si>
    <t>Изоҳ:</t>
  </si>
  <si>
    <t>Раҳбар</t>
  </si>
  <si>
    <t>Бош ҳисобчи</t>
  </si>
  <si>
    <t>Жами даромадлар</t>
  </si>
  <si>
    <t>Электрон ҳисоб-фактуралар орқали шаклланган даромадлар</t>
  </si>
  <si>
    <t>Online назорат касса техникаси орқали шаклланган даромадлар</t>
  </si>
  <si>
    <t>Экспорт қилишдан олинган даромадлар</t>
  </si>
  <si>
    <t>Market place орқали олинган даромадлар</t>
  </si>
  <si>
    <t>Бошқа даромадлар</t>
  </si>
  <si>
    <t>Товарларни (хизматларни) реализация қилишдан олинган даромад – жами (0201 - 0204-сатрлар йиғиндиси)</t>
  </si>
  <si>
    <t>Товарларни (хизматларни) реализация қилишдан соф тушум</t>
  </si>
  <si>
    <t>Воситачилик ва топшириқ шартномалари ҳамда воситачилик хизматлари кўрсатишга оид бошқа шартномалар бўйича воситачилик хизматлари кўрсатадиган солиқ тўловчилар учун — кўрсатилган хизматлар учун ҳақ суммаси</t>
  </si>
  <si>
    <t>Товарларни (хизматларни) текинга беришдан кўрилган зарарлар</t>
  </si>
  <si>
    <t>Бозор қийматидан паст нархда реализация қилинган товарларнинг (хизматларнинг) бозор қиймати ва реализация қилиш нархи ўртасидаги ижобий фарқ суммаси</t>
  </si>
  <si>
    <t>иштирокчилар таркибидан чиқиш ёки устав фондидаги ҳиссасини камайтириш ёхуд штирокчининг улушини қайтариб сотиб олиш ҳисобига берилган товарлар (хизматлар) қиймати</t>
  </si>
  <si>
    <t>юридик шахс тугатилганда ҳамда эмитент томонидан акциядордан ушбу эмитент чиқарган акциялар қайтариб сотиб олинганда акциядорга берилган товарлар (хизматлар) қиймати</t>
  </si>
  <si>
    <t>товарларни (хизматларни) жисмоний шахс меҳнатига ҳақ тўлаш ҳисобидан ёки дивиденд тўлаш ҳисобидан бериш</t>
  </si>
  <si>
    <t>қайта ишлаб бериш учун берилган товарларни ёки бошқа мол-мулклар қиймати</t>
  </si>
  <si>
    <t>реализация қилинган ёки бепул берилган (товарларни (хизматларни) олиш ҳуқуқини тақдим этувчи) ваучерлар қиймати</t>
  </si>
  <si>
    <t>узоқ муддатли шартномалар бўйича даромадлар</t>
  </si>
  <si>
    <t>реализация қилинган асосий воситалар ва бошқа мол-мулклар қиймати</t>
  </si>
  <si>
    <t>асосий воситаларнинг ва бошқа мол-мулкнинг чиқиб кетишидан олинган даромадлар</t>
  </si>
  <si>
    <t>текинга олинган мол-мулк (олинган хизматлар)</t>
  </si>
  <si>
    <t>корхонани мол-мулк мажмуи сифатида сотишдан олинган даромадлар</t>
  </si>
  <si>
    <t>Реализация сифатида қараладиган даромадлар – жами (0301-0306-сатрлар йиғиндиси), шу жумладан:</t>
  </si>
  <si>
    <t>Раҳбари</t>
  </si>
  <si>
    <t>Солиқ солинадиган жами даромаднинг
камайтирилиши</t>
  </si>
  <si>
    <t>Солиқ солинадиган жами даромадни камайтирадиган
даромадлар ва харажатлар рўйхати</t>
  </si>
  <si>
    <t>солиқ агентида солиқ солиниши лозим бўлган дивидендлар</t>
  </si>
  <si>
    <t>қайтариладиган кўп марта айланадиган тара қиймати</t>
  </si>
  <si>
    <t>амортизация қилинадиган активларни тугатишда уларни қўшимча баҳолашда олинган, олдинги нархни туширишлардаги суммадан ортиқча сумма ҳисобидан олинган даромадлар</t>
  </si>
  <si>
    <t>товарларни (хизматларни) экспорт қилишдан олинган даромадлар</t>
  </si>
  <si>
    <t>битим суммасидан биржага ўтказиладиган воситачилик йиғими суммаси</t>
  </si>
  <si>
    <t>туристик хизматларни онлайн бронлаштириш ва сотиш учун яратилган дастурий маҳсулотларни ҳамда ахборот тизимларини жорий этишга йўналтирилган маблағлар суммаси</t>
  </si>
  <si>
    <t>1. 0202-сатрда агар таранинг қиймати илгари товарларни (хизматларни) сотишдан олинадиган даромадга киритилган бўлса кўрсатилади;</t>
  </si>
  <si>
    <t>реализация қилинган товар улушида товарларни импорт қилишда тўланган божхона тўловлари суммаси</t>
  </si>
  <si>
    <t>молиявий ижара (лизинг) объектининг қиймати</t>
  </si>
  <si>
    <t>0208</t>
  </si>
  <si>
    <t>экология, соғломлаштириш ҳамда хайрия жамғармаларига, маданият, соғлиқни сақлаш, меҳнат, аҳолини ижтимоий муҳофаза қилиш, жисмоний тарбия ва спорт, таълим муассасаларига текинга берилган товарлар (хизматлар)</t>
  </si>
  <si>
    <t>0209</t>
  </si>
  <si>
    <t>Ўзбекистон Республикасининг давлат облигациялари ва бошқа давлат қимматли қоғозлари бўйича даромадлар, шунингдек Ўзбекистон Республикаси резидентлари бўлган юридик шахсларнинг халқаро облигациялари бўйича даромадлар</t>
  </si>
  <si>
    <t>0210</t>
  </si>
  <si>
    <t>Ёрдамчи пудратчи ташкилотлар томонидан бажарилган ишлар (хизматлар) суммаси</t>
  </si>
  <si>
    <t>0211</t>
  </si>
  <si>
    <t>0212</t>
  </si>
  <si>
    <t xml:space="preserve">4 фоиз </t>
  </si>
  <si>
    <t xml:space="preserve">3  фоиз </t>
  </si>
  <si>
    <t xml:space="preserve">2 фоиз </t>
  </si>
  <si>
    <t xml:space="preserve">1  фоиз </t>
  </si>
  <si>
    <r>
      <t xml:space="preserve">Солиқ солинадиган база – жами </t>
    </r>
    <r>
      <rPr>
        <i/>
        <sz val="10"/>
        <rFont val="Arial"/>
        <family val="2"/>
        <charset val="204"/>
      </rPr>
      <t>(030-сатр - 040-сатр)</t>
    </r>
  </si>
  <si>
    <r>
      <t xml:space="preserve">Солиқ солинадиган жами даромад </t>
    </r>
    <r>
      <rPr>
        <i/>
        <sz val="10"/>
        <rFont val="Arial"/>
        <family val="2"/>
        <charset val="204"/>
      </rPr>
      <t>(010-сатр + 020-сатр)</t>
    </r>
  </si>
  <si>
    <r>
      <t xml:space="preserve">Солиқ солинадиган жами даромаднинг камайтирилиши </t>
    </r>
    <r>
      <rPr>
        <i/>
        <sz val="10"/>
        <rFont val="Arial"/>
        <family val="2"/>
        <charset val="204"/>
      </rPr>
      <t>(ҳисоб-китобнинг 2-иловаси 010-сатри)</t>
    </r>
  </si>
  <si>
    <r>
      <t xml:space="preserve">Бошқа даромадлар </t>
    </r>
    <r>
      <rPr>
        <i/>
        <sz val="10"/>
        <rFont val="Arial"/>
        <family val="2"/>
        <charset val="204"/>
      </rPr>
      <t>(Ҳисоб-китобнинг 1-иловаси 040-сатри - 0401-сатри + 04011-сатри)</t>
    </r>
  </si>
  <si>
    <r>
      <t xml:space="preserve">Товарлар (хизматлар)ни реализация қилишдан олинган даромад
</t>
    </r>
    <r>
      <rPr>
        <i/>
        <sz val="10"/>
        <rFont val="Arial"/>
        <family val="2"/>
        <charset val="204"/>
      </rPr>
      <t>(Ҳисоб-китобнинг 1-иловаси 020-сатр + 030-сатр)</t>
    </r>
  </si>
  <si>
    <t>шундан, жами даромаддаги улуши, фоизда</t>
  </si>
  <si>
    <t>0106</t>
  </si>
  <si>
    <t>0107</t>
  </si>
  <si>
    <t>0108</t>
  </si>
  <si>
    <t>0109</t>
  </si>
  <si>
    <t>01031</t>
  </si>
  <si>
    <t>0110</t>
  </si>
  <si>
    <t>0405</t>
  </si>
  <si>
    <t>0406</t>
  </si>
  <si>
    <t>02011</t>
  </si>
  <si>
    <t>Агар 02011 сатр 90 га тенг ёки катта бўлса 0201 сатр га 0202 сатр қўшилади акс ҳолда 0202 сатр</t>
  </si>
  <si>
    <t>0301+0302 сартлар йиғиндиси</t>
  </si>
  <si>
    <t>ЭСФ / Маркетплайс</t>
  </si>
  <si>
    <t>ID - 104044 имтиёз Корхонага бириктирилган бўлса ҳисоб-китоб шаклининг 050-сатри акс ҳолда 0</t>
  </si>
  <si>
    <t>Агар 0401-сатр &gt;0 дан 0 бўлади, Акс ҳолда Агар 0402-0407-сатрлар йиғиндиси &gt;0;50 акс ҳолда 100 бўлади</t>
  </si>
  <si>
    <t>ОНКМ</t>
  </si>
  <si>
    <r>
      <rPr>
        <b/>
        <sz val="12"/>
        <color rgb="FF000000"/>
        <rFont val="Arial"/>
        <family val="2"/>
        <charset val="204"/>
      </rPr>
      <t>1)</t>
    </r>
    <r>
      <rPr>
        <sz val="12"/>
        <color rgb="FF000000"/>
        <rFont val="Arial"/>
        <family val="2"/>
        <charset val="204"/>
      </rPr>
      <t xml:space="preserve"> Солиқ тўловчининг СТИР рақами ДСҚ томонидан берилган рўйхатда мавжуд бўлса</t>
    </r>
    <r>
      <rPr>
        <u/>
        <sz val="12"/>
        <color rgb="FF000000"/>
        <rFont val="Arial"/>
        <family val="2"/>
        <charset val="204"/>
      </rPr>
      <t xml:space="preserve">
ЭҲФ орқали реализация қилинган сумма</t>
    </r>
  </si>
  <si>
    <r>
      <rPr>
        <b/>
        <sz val="12"/>
        <color rgb="FF000000"/>
        <rFont val="Arial"/>
        <family val="2"/>
        <charset val="204"/>
      </rPr>
      <t>1)</t>
    </r>
    <r>
      <rPr>
        <sz val="12"/>
        <color indexed="8"/>
        <rFont val="Arial"/>
        <family val="2"/>
        <charset val="204"/>
      </rPr>
      <t xml:space="preserve"> Аҳоли сони юз минг нафар ва ундан кўп кишидан иборат (3501, 301, 601, 812, 1001, 1002, 1201, 1401,  1801, 2201, 2716, 2717, 2718, 2720, 3003, 3004, 3005, 3301, 2601, 2602, 2603, 2604, 2605, 2606, 2607, 2608, 2609, 2610, 2611, 2612) шаҳарларда жойлашган </t>
    </r>
    <r>
      <rPr>
        <b/>
        <sz val="12"/>
        <color rgb="FF000000"/>
        <rFont val="Arial"/>
        <family val="2"/>
        <charset val="204"/>
      </rPr>
      <t>улгуржи ва чакана дорихонанинг</t>
    </r>
    <r>
      <rPr>
        <sz val="12"/>
        <color indexed="8"/>
        <rFont val="Arial"/>
        <family val="2"/>
        <charset val="204"/>
      </rPr>
      <t xml:space="preserve"> шу ҳудудда рўйхатдан ўтган ОНКМлари бўйича
</t>
    </r>
    <r>
      <rPr>
        <u/>
        <sz val="12"/>
        <color rgb="FF000000"/>
        <rFont val="Arial"/>
        <family val="2"/>
        <charset val="204"/>
      </rPr>
      <t>ОНКМ орқали реализация қилинган сумма</t>
    </r>
  </si>
  <si>
    <r>
      <rPr>
        <b/>
        <sz val="12"/>
        <color rgb="FF000000"/>
        <rFont val="Arial"/>
        <family val="2"/>
        <charset val="204"/>
      </rPr>
      <t>1)</t>
    </r>
    <r>
      <rPr>
        <sz val="12"/>
        <color indexed="8"/>
        <rFont val="Arial"/>
        <family val="2"/>
        <charset val="204"/>
      </rPr>
      <t xml:space="preserve"> Корхона Аҳоли сони юз минг нафар ва ундан кўп кишидан иборат (3501, 301, 601, 812, 1001, 1002, 1201, 1401,  1801, 2201, 2716, 2717, 2718, 2720, 3003, 3004, 3005, 3301, 2601, 2602, 2603, 2604, 2605, 2606, 2607, 2608, 2609, 2610, 2611, 2612) шаҳарларда рўйхатдан ўтган бўлса;
</t>
    </r>
    <r>
      <rPr>
        <b/>
        <sz val="12"/>
        <color rgb="FF000000"/>
        <rFont val="Arial"/>
        <family val="2"/>
        <charset val="204"/>
      </rPr>
      <t>2)</t>
    </r>
    <r>
      <rPr>
        <sz val="12"/>
        <color indexed="8"/>
        <rFont val="Arial"/>
        <family val="2"/>
        <charset val="204"/>
      </rPr>
      <t xml:space="preserve"> Улгуржи-чакана савдо дорихона бўлса;
</t>
    </r>
    <r>
      <rPr>
        <u/>
        <sz val="12"/>
        <color rgb="FF000000"/>
        <rFont val="Arial"/>
        <family val="2"/>
        <charset val="204"/>
      </rPr>
      <t>ЭҲФ орқали реализация қилинган суммаси</t>
    </r>
    <r>
      <rPr>
        <sz val="12"/>
        <color indexed="8"/>
        <rFont val="Arial"/>
        <family val="2"/>
        <charset val="204"/>
      </rPr>
      <t xml:space="preserve"> 
</t>
    </r>
    <r>
      <rPr>
        <u/>
        <sz val="12"/>
        <color rgb="FF000000"/>
        <rFont val="Arial"/>
        <family val="2"/>
        <charset val="204"/>
      </rPr>
      <t>(ЭҲФда дорилар суммаси)</t>
    </r>
  </si>
  <si>
    <t>Тузатиш киритилган солиқ ставкаси фоизда</t>
  </si>
  <si>
    <t>0213</t>
  </si>
  <si>
    <r>
      <rPr>
        <b/>
        <sz val="12"/>
        <color rgb="FF000000"/>
        <rFont val="Arial"/>
        <family val="2"/>
        <charset val="204"/>
      </rPr>
      <t xml:space="preserve">2) </t>
    </r>
    <r>
      <rPr>
        <sz val="12"/>
        <color indexed="8"/>
        <rFont val="Arial"/>
        <family val="2"/>
        <charset val="204"/>
      </rPr>
      <t xml:space="preserve">ОНКМга ID - 104113 имтиёз </t>
    </r>
    <r>
      <rPr>
        <b/>
        <sz val="12"/>
        <color rgb="FF0070C0"/>
        <rFont val="Arial"/>
        <family val="2"/>
        <charset val="204"/>
      </rPr>
      <t>бириктирилган</t>
    </r>
    <r>
      <rPr>
        <sz val="12"/>
        <color indexed="8"/>
        <rFont val="Arial"/>
        <family val="2"/>
        <charset val="204"/>
      </rPr>
      <t xml:space="preserve"> бўлса (чакана савдо ҳамда улгуржи ва чакана дорихоналардан ташқари)
</t>
    </r>
    <r>
      <rPr>
        <u/>
        <sz val="12"/>
        <color rgb="FF000000"/>
        <rFont val="Arial"/>
        <family val="2"/>
        <charset val="204"/>
      </rPr>
      <t>ушбу ОНКМ орқали реализация қилинган сумма</t>
    </r>
    <r>
      <rPr>
        <sz val="12"/>
        <color indexed="8"/>
        <rFont val="Arial"/>
        <family val="2"/>
        <charset val="204"/>
      </rPr>
      <t xml:space="preserve"> </t>
    </r>
  </si>
  <si>
    <t>0214</t>
  </si>
  <si>
    <t>0215</t>
  </si>
  <si>
    <r>
      <t xml:space="preserve">Солиқ солинадиган жами даромаднинг камайтирилиши - жами </t>
    </r>
    <r>
      <rPr>
        <sz val="12"/>
        <rFont val="Arial"/>
        <family val="2"/>
        <charset val="204"/>
      </rPr>
      <t>(020-сатр + 030-сатр + 040-сатр)</t>
    </r>
  </si>
  <si>
    <t>0111</t>
  </si>
  <si>
    <r>
      <t xml:space="preserve">Жами даромадлар - жами </t>
    </r>
    <r>
      <rPr>
        <sz val="10"/>
        <color rgb="FF000000"/>
        <rFont val="Arial"/>
        <family val="2"/>
        <charset val="204"/>
      </rPr>
      <t>(0101-0105-сатрлар йиғиндиси), шу жумладан:</t>
    </r>
  </si>
  <si>
    <t>Ўзбекистон Республикаси Солиқ кодексининг 297-моддаси учинчи қисмининг 4, 5, 6, 10, 11, 12, 13, 14, 17, 18, 21, 22, 23, 25 ва 27-бандларида кўрсатилган даромадлар – жами (0401, 0402, 0403, 0404-сатрлар йиғиндиси), шу жумладан:</t>
  </si>
  <si>
    <t>1. Солиқ солинадиган жами даромаднинг камайтирилиши фаолият турига қараб тақсимланади.
2. 8-устун 010-сатр Ялпи даромаддан солиқ тўловчи қишлоқ хўжалиги маҳсулотларини сотиб олувчи, сараловчи, сақловчи ва қадоқловчи тайёрлов ташкилотлари ҳамда якка тартибдаги тадбиркорлар томонидан тўлдирилади</t>
  </si>
  <si>
    <r>
      <t xml:space="preserve">5-тоифадаги туманда рўйхатдан ўтиб, шу ҳудуддаги фаолият бўйича товарларни (хизматларни) реализация қилиш бўйича айланма </t>
    </r>
    <r>
      <rPr>
        <i/>
        <sz val="12"/>
        <rFont val="Arial"/>
        <family val="2"/>
        <charset val="204"/>
      </rPr>
      <t>(Ўзбекистон Республикаси Президентининг 2022 йил 30 декабрдаги ПФ-287-сон Фармони 2-қисм, а-банди, 1-хатбоши)</t>
    </r>
  </si>
  <si>
    <t>Солиқ ставкалари бўйича айрим товар айланмалар 
ҲИСОБ-КИТОБ МАЪЛУМОТНОМАСИ</t>
  </si>
  <si>
    <t>Айланмадан олинадиган солиқ ҳисоб-китобига 
3-илова</t>
  </si>
  <si>
    <r>
      <t xml:space="preserve">«Туризм маҳалласи», «Туризм қишлоғи» ёки «Туризм овули» мақоми берилган фуқаролар йиғинлари ҳудудида меҳмон уйи, овқатланиш, кўнгилочар жойда товарларни (хизматларни) реализация қилиш бўйича айланма </t>
    </r>
    <r>
      <rPr>
        <i/>
        <sz val="12"/>
        <rFont val="Arial"/>
        <family val="2"/>
        <charset val="204"/>
      </rPr>
      <t>(Ўзбекистон Республикаси Президентининг 2022 йил 30 апрелдаги ПҚ-232-сон Қарори 20-банд)</t>
    </r>
  </si>
  <si>
    <r>
      <t xml:space="preserve">Миллий мусиқа чолғу асбобларини ишлаб чиқариб, реализация қилиш бўйича айланмала </t>
    </r>
    <r>
      <rPr>
        <i/>
        <sz val="12"/>
        <rFont val="Arial"/>
        <family val="2"/>
        <charset val="204"/>
      </rPr>
      <t>(Ўзбекистон Республикаси Солиқ кодексининг 483-моддаси 28-қисм)</t>
    </r>
  </si>
  <si>
    <r>
      <t xml:space="preserve">“Яшнобод” инновация технопарки резидентининг товарларни (хизматларни) реализация қилиш бўйича айланма </t>
    </r>
    <r>
      <rPr>
        <i/>
        <sz val="12"/>
        <rFont val="Arial"/>
        <family val="2"/>
        <charset val="204"/>
      </rPr>
      <t>(Ўзбекистон Республикаси Президентининг 2022 йил 6 июлдаги ПҚ-307-сон Қарорининг 6-банд 2-хатбоши)</t>
    </r>
  </si>
  <si>
    <r>
      <t xml:space="preserve">Фарғона вилоятининг Сўх тумани, Риштон туманининг Чўнғара маҳалласи, шунингдек Фарғона туманининг Шоҳимардон, Ёрдон маҳаллалари ва Ҳосилот маҳалласининг Тоштепа - 2 кўчасида фаолият олиб борувчи тадбиркорлик субъектининг товарларни (хизматларни) реализация қилиш бўйича айланма </t>
    </r>
    <r>
      <rPr>
        <i/>
        <sz val="12"/>
        <rFont val="Arial"/>
        <family val="2"/>
        <charset val="204"/>
      </rPr>
      <t>(Ўзбекистон Республикаси Солиқ кодексининг 480-2-моддаси 1-қисм 4-банди)</t>
    </r>
  </si>
  <si>
    <r>
      <t xml:space="preserve">Товарларни (ишларни, хизматларни) электрон савдо орқали реализация қилиш бўйича айланма </t>
    </r>
    <r>
      <rPr>
        <i/>
        <sz val="12"/>
        <rFont val="Arial"/>
        <family val="2"/>
        <charset val="204"/>
      </rPr>
      <t>(Ўзбекистон Республикаси Солиқ кодексининг 467-моддаси 1-қисм, 5-банд)</t>
    </r>
  </si>
  <si>
    <r>
      <t xml:space="preserve">Аҳолиси сони юз минг нафар ва ундан кўп кишидан иборат шаҳарлар ва бориш қийин бўлган тоғли ҳудудлардан ташқари бошқа ҳудуд (чакана савдо ва дорихона)да товарларни (хизматларни) реализация қилиш бўйича айланма </t>
    </r>
    <r>
      <rPr>
        <i/>
        <sz val="12"/>
        <rFont val="Arial"/>
        <family val="2"/>
        <charset val="204"/>
      </rPr>
      <t>(Ўзбекистон Республикаси Солиқ кодексининг 467-моддаси 1-қисм 2.1-банд)</t>
    </r>
  </si>
  <si>
    <r>
      <t xml:space="preserve">Аҳоли сони юз минг нафар ва ундан кўп кишидан иборат шаҳар жойларда жойлашган улгуржи ва чакана дорихона ташкилотлари товарларни (хизматларни) реализация қилиш бўйича айланма </t>
    </r>
    <r>
      <rPr>
        <i/>
        <sz val="12"/>
        <rFont val="Arial"/>
        <family val="2"/>
        <charset val="204"/>
      </rPr>
      <t>(Ўзбекистон Республикаси Солиқ кодексининг 467-моддаси 1-қисм 2.1-банд)</t>
    </r>
  </si>
  <si>
    <r>
      <t xml:space="preserve">Туризм ҳудудида рўйхатдан ўтиб, шу ҳудудда умумий овқатланиш, меҳмонхона (жойлаштириш), савдо, кўнгилочар, туроператор ва турагент хизматларини реализация қилиш бўйича айланма </t>
    </r>
    <r>
      <rPr>
        <i/>
        <sz val="12"/>
        <rFont val="Arial"/>
        <family val="2"/>
        <charset val="204"/>
      </rPr>
      <t>(Ўзбекистон Республикаси Солиқ кодексининг 483-моддаси 25-қисм 2-хатбоши, Ўзбекистон Республикаси Президентининг 2022 йил 27 январдаги ПҚ-104-сон Қарори 2-банд в) кичик банд 2-хатбоши)</t>
    </r>
  </si>
  <si>
    <r>
      <t xml:space="preserve">Қорақалпоғистон Республикасининг Мўйноқ туманида маҳаллий саноат, қишлоқ хўжалиги ва хизматлар соҳасида товарларни (хизматларни) реализация қилиш бўйича айланма </t>
    </r>
    <r>
      <rPr>
        <i/>
        <sz val="12"/>
        <rFont val="Arial"/>
        <family val="2"/>
        <charset val="204"/>
      </rPr>
      <t>(Ўзбекистон Республикаси Солиқ кодексининг 483-моддаси 16-қисм 2-хатбоши, Ўзбекистон Республикаси Президентининг 2021 йил 23 ноябрдаги ПФ-25-сон Фармони 1-банд а) кичик банд)</t>
    </r>
  </si>
  <si>
    <r>
      <t xml:space="preserve">4-тоифадаги туманда рўйхатдан ўтиб, шу ҳудуддаги фаолият бўйича товарларни (хизматларни) реализация қилиш бўйича айланма </t>
    </r>
    <r>
      <rPr>
        <i/>
        <sz val="12"/>
        <rFont val="Arial"/>
        <family val="2"/>
        <charset val="204"/>
      </rPr>
      <t>(Ўзбекистон Республикаси Президентининг 2022 йил 30 декабрдаги ПФ-287-сон Фармони 2-қисм, в) кичик банд)</t>
    </r>
  </si>
  <si>
    <t>Агар 0401-сатр 0 дан катта бўлса 0 бўлади акс ҳолда ID - 103797 имтиёз корхонага бириктирилган бўлса ҳисоб-китоб шаклининг 050-сатри акс ҳолда 0</t>
  </si>
  <si>
    <t>Агар 0401-сатр - 0402-сатрлар йиғиндиси 0 дан катта бўлса, 0 бўлади акс ҳолда ID - 104107 имтиёз корхонага бириктирилган бўлса ҳисоб-китоб шаклининг 050-сатри акс ҳолда 0</t>
  </si>
  <si>
    <t>Агар 0401-сатр - 0403-сатрлар йиғиндиси 0 дан катта бўлса 0 бўлади акс ҳолда ID - 104015 имтиёз корхонага бириктирилган бўлса ҳисоб-китоб шаклининг 050-сатри акс ҳолда 0</t>
  </si>
  <si>
    <r>
      <t xml:space="preserve">Ўзини ўзи банд қилган шахслар учун назарда тутилган фаолият турлари билан шуғулланувчи, иштирокчилари сони камида уч нафар бўлган оилавий корхона товарларни (хизматларни) реализация қилиш бўйича айланма </t>
    </r>
    <r>
      <rPr>
        <i/>
        <sz val="12"/>
        <rFont val="Arial"/>
        <family val="2"/>
        <charset val="204"/>
      </rPr>
      <t>(Ўзбекистон Республикаси Президентининг 2020 йил 8 июндаги ПҚ-4742-сон Қарори 7-қисм)</t>
    </r>
  </si>
  <si>
    <t>2 фоизлик солиқ ставкалари бўйича (0201-0203-сатрлар йиғиндиси)</t>
  </si>
  <si>
    <t>0201 сатрдаги сумма 1-илованинг 030-сатрига бўлиниб 100 га кўпайтирилади</t>
  </si>
  <si>
    <t>0103 сатрдаги сумма 1-илованинг 030-сатрига бўлиниб 100 га кўпайтирилади</t>
  </si>
  <si>
    <t>2. 0205-сатр брокерлик ташкилотлари томонидан тўлдирилади;</t>
  </si>
  <si>
    <t>3. 0206-сатр комиссия шартномаси бўйича воситачилик хизматларини кўрсатувчи юридик шахслар томонидан тўлдирилади;</t>
  </si>
  <si>
    <t>4. 0207-сатр туризм фаолияти субъектлари томонидан тўлдирилади;</t>
  </si>
  <si>
    <t>5. 040-сатр назарда тутилган камайиши айланмадан олинадиган солиқ ҳисоб-китобининг мос бўлган фаолият тури устунида акс эттирилади. 0401 ва кейинги сатрлар солиқ тўловчи томонидан норматив-ҳуқуқий ҳужжатнинг тури, санаси, рақами, номи ва унинг тегишли бандини кўрсатган ҳолда тўлдирилади.</t>
  </si>
  <si>
    <r>
      <t xml:space="preserve">Қорақалпоғистон Республикасининг шимолий туманларида рўйхатдан ўтиб, шу ҳудудда фаолият юритадиган қишлоқ хўжалигига ихтисослашган тадбиркорлик субъекти товарларни (хизматларни) реализация қилиш бўйича айланма </t>
    </r>
    <r>
      <rPr>
        <i/>
        <sz val="12"/>
        <rFont val="Arial"/>
        <family val="2"/>
        <charset val="204"/>
      </rPr>
      <t>(Ўзбекистон Республикаси Президентининг 2022 йил 30 майдаги ПҚ-264-сон Қарори 2-қисм, в-банд)</t>
    </r>
  </si>
  <si>
    <t>Солиқ ставкалари</t>
  </si>
  <si>
    <t>Қўшиб олинган солиқ тўловчиларнинг товарларни (хизматларни) реализация қилиш бўйича айланма суммаси</t>
  </si>
  <si>
    <r>
      <t xml:space="preserve">Бориш қийин бўлган тоғли ҳудуд (чакана савдо ва дорихона)да товарларни (хизматларни) реализация қилиш бўйича айланма </t>
    </r>
    <r>
      <rPr>
        <i/>
        <sz val="12"/>
        <rFont val="Arial"/>
        <family val="2"/>
        <charset val="204"/>
      </rPr>
      <t>(Ўзбекистон Республикаси Солиқ кодексининг 467-моддаси 1-қисм 2.1-банд)</t>
    </r>
  </si>
  <si>
    <r>
      <t xml:space="preserve">Ягона иштирокчиси ногиронлиги бўлган шахсларнинг жамоат бирлашмалари, «Нуроний» жамғармаси ва «Ўзбекистон Чернобилчилари» ассоциацияси бўлган, умумий сонида ногиронлиги бўлган шахслар, уруш ва 1941 — 1945 йиллардаги меҳнат фронти ветеранлари 50 фоиздан кам бўлмаган ва ногиронлиги бўлган шахслар, уруш ва 1941 — 1945 йиллардаги меҳнат фронти ветеранларининг меҳнатига ҳақ тўлаш фонди умумий меҳнатга ҳақ тўлаш фондининг 50 фоизидан кам бўлмаган солиқ тўловчи товарларни (хизматларни) реализация қилиш бўйича айланма </t>
    </r>
    <r>
      <rPr>
        <i/>
        <sz val="12"/>
        <rFont val="Arial"/>
        <family val="2"/>
        <charset val="204"/>
      </rPr>
      <t>(Ўзбекистон Республикаси Солиқ кодексининг 467-моддаси 1-қисм 6-банд)</t>
    </r>
  </si>
  <si>
    <t>Айланмадан олинадиган 
солиқ ҳисоб-китобига
2-илова</t>
  </si>
  <si>
    <t>Шундан,  электрон ҳисоб-фактура суммаси</t>
  </si>
  <si>
    <r>
      <t xml:space="preserve">Қорақалпоғистон Республикаси туманларида жойлашган ва шу ҳудуддаги фаолият бўйича товарларни (хизматларни) реализация қилиш бўйича айланма </t>
    </r>
    <r>
      <rPr>
        <i/>
        <sz val="12"/>
        <rFont val="Arial"/>
        <family val="2"/>
        <charset val="204"/>
      </rPr>
      <t>(Ўзбекистон Республикаси Президентининг 2022 йил 31 августдаги ПФ-213-сон Фармони 2-қисм, а-банди, 2-хатбоши)</t>
    </r>
  </si>
  <si>
    <r>
      <rPr>
        <b/>
        <sz val="12"/>
        <color rgb="FF000000"/>
        <rFont val="Arial"/>
        <family val="2"/>
        <charset val="204"/>
      </rPr>
      <t xml:space="preserve">1) </t>
    </r>
    <r>
      <rPr>
        <sz val="12"/>
        <color indexed="8"/>
        <rFont val="Arial"/>
        <family val="2"/>
        <charset val="204"/>
      </rPr>
      <t>ОНКМга ID - 104115 имтиёз бириктирилган бўлса, ушбу ОНКМ орқали товарларни (хизматларни) реализация қилиш бўйича айланма.</t>
    </r>
  </si>
  <si>
    <r>
      <rPr>
        <b/>
        <sz val="12"/>
        <color rgb="FF000000"/>
        <rFont val="Arial"/>
        <family val="2"/>
        <charset val="204"/>
      </rPr>
      <t xml:space="preserve">1) </t>
    </r>
    <r>
      <rPr>
        <sz val="12"/>
        <color indexed="8"/>
        <rFont val="Arial"/>
        <family val="2"/>
        <charset val="204"/>
      </rPr>
      <t>Солиқ тўловчига ID - 104115 имтиёз бириктирилган бўлса, ЭҲФ ва Маркетплейс орқали товарларни (хизматларни) реализация қилиш бўйича айланма.</t>
    </r>
  </si>
  <si>
    <r>
      <rPr>
        <b/>
        <sz val="12"/>
        <color rgb="FF000000"/>
        <rFont val="Arial"/>
        <family val="2"/>
        <charset val="204"/>
      </rPr>
      <t xml:space="preserve">1) </t>
    </r>
    <r>
      <rPr>
        <sz val="12"/>
        <color indexed="8"/>
        <rFont val="Arial"/>
        <family val="2"/>
        <charset val="204"/>
      </rPr>
      <t>ОНКМга ID - 104100 имтиёз бириктирилган бўлса, ушбу ОНКМ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</si>
  <si>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Солиқ тўловчига ID - 104100 имтиёз бириктирилган бўлса, ЭҲФ ва Маркетплейс орқали товарларни (хизматларни) реализация қилиш бўйича айланма.</t>
    </r>
  </si>
  <si>
    <t>1) ОНКМ рақами ДСҚ томонидан берилган рўйхатда мавжуд бўлмаса;
2) ОНКМга ID - 104072 имтиёз бириктирилган бўлса.
3) 09202001006000000, 09202001008000000, 09206001005000000, 09202001005000000, 09202001002000000, 09206001003000000, 09202001009000000, 09205001003000000, 09205001006000000 МХИКлардан фойдаланилиб, ОНКМ орқали товарларни (хизматларни) реализация қилиш бўйича айланма.</t>
  </si>
  <si>
    <t>1)  Солиқ тўловчига ID - 104072 имтиёз бириктирилган бўлса; 
2) 09202001006000000, 09202001008000000, 09206001005000000, 09202001005000000, 09202001002000000, 09206001003000000, 09202001009000000, 09205001003000000, 09205001006000000 МХИКлардан фойдаланилиб, ЭҲФ ва Маркетплейс орқали товарларни (хизматларни) реализация қилиш бўйича айланма.</t>
  </si>
  <si>
    <r>
      <rPr>
        <b/>
        <sz val="12"/>
        <color rgb="FF000000"/>
        <rFont val="Arial"/>
        <family val="2"/>
        <charset val="204"/>
      </rPr>
      <t>1)</t>
    </r>
    <r>
      <rPr>
        <sz val="12"/>
        <color indexed="8"/>
        <rFont val="Arial"/>
        <family val="2"/>
        <charset val="204"/>
      </rPr>
      <t xml:space="preserve"> ОНКМга ID - 104066 ёки 103976 имтиёз бириктирилган бўлса, ушбу ОНКМ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</si>
  <si>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Солиқ тўловчига ID - 104066 ёки 103976 имтиёз бириктирилган бўлса, ЭҲФ ва Маркетплейс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</si>
  <si>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ОНКМга ID - 104062 имтиёз бириктирилган бўлса, ушбу ОНКМ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</si>
  <si>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1) Солиқ тўловчига ID - 104062 имтиёз бириктирилган бўлса, ЭҲФ ва Маркетплейс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</si>
  <si>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1) ОНКМга ID - 104048 ёки 100014 имтиёз бириктирилган бўлса, ушбу ОНКМ орқали товарларни (хизматларни) реализация қилиш бўйича айланма.</t>
    </r>
  </si>
  <si>
    <r>
      <rPr>
        <b/>
        <sz val="12"/>
        <color rgb="FF000000"/>
        <rFont val="Arial"/>
        <family val="2"/>
        <charset val="204"/>
      </rPr>
      <t>1)</t>
    </r>
    <r>
      <rPr>
        <sz val="12"/>
        <color rgb="FF000000"/>
        <rFont val="Arial"/>
        <family val="2"/>
        <charset val="204"/>
      </rPr>
      <t xml:space="preserve"> Солиқ тўловчига ID - 104048 ёки 100014 имтиёз бириктирилган бўлса, ЭҲФ ва Маркетплейс орқали товарларни (хизматларни) реализация қилиш бўйича айланма.</t>
    </r>
  </si>
  <si>
    <r>
      <rPr>
        <b/>
        <sz val="12"/>
        <rFont val="Arial"/>
        <family val="2"/>
        <charset val="204"/>
      </rPr>
      <t>1)</t>
    </r>
    <r>
      <rPr>
        <sz val="12"/>
        <rFont val="Arial"/>
        <family val="2"/>
        <charset val="204"/>
      </rPr>
      <t xml:space="preserve"> ОНКМга ID - 103388 имтиёз бириктирилган бўлса, ушбу ОНКМ орқали товарларни (хизматларни) реализация қилиш бўйича айланма.</t>
    </r>
  </si>
  <si>
    <r>
      <rPr>
        <b/>
        <sz val="12"/>
        <rFont val="Arial"/>
        <family val="2"/>
        <charset val="204"/>
      </rPr>
      <t>1)</t>
    </r>
    <r>
      <rPr>
        <sz val="12"/>
        <rFont val="Arial"/>
        <family val="2"/>
        <charset val="204"/>
      </rPr>
      <t xml:space="preserve"> Солиқ тўловчига ID - 103388 имтиёз бириктирилган бўлса, ЭҲФ ва Маркетплейс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</si>
  <si>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ОНКМга Ставка бўйича бошқа имтиёзлар (104115, 104100, 104066, 104062, 103388, 103389, 103976, 100014) бириктирилмаган бўлса;
2) ОНКМ рақами Солиқ қўмитаси томонидан берилган рўйхатда мавжуд бўлмаса;
3) ОНКМ аҳоли сони юз минг нафар ва ундан кўп кишидан иборат шаҳрларда (3501, 301, 601, 812, 1001, 1002, 1201, 1401,  1801, 2201, 2716, 2717, 2718, 2720, 3003, 3004, 3005, 3301, 2601, 2602, 2603, 2604, 2605, 2606, 2607, 2608, 2609, 2610, 2611, 2612) рўйхатдан ўтмаган бўлса;
4) Фаолият тури чакана савдо ҳамда улгуржи ва чакана дорихона бўлса;
ОНКМ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</si>
  <si>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Солиқ тўловчига ставка бўйича бошқа имтиёзлар (104115, 104100, 104066, 104062, 103388, 103389, 103976, 100014) бириктирилмаган бўлса;
2) Солиқ тўловчининг СТИР рақами Солиқ қўмитаси томонидан берилган рўйхатда мавжуд бўлмаса;
3) Солиқ тўловчи аҳоли сони юз минг нафар ва ундан кўп кишидан иборат шаҳрларда (3501, 301, 601, 812, 1001, 1002, 1201, 1401,  1801, 2201, 2716, 2717, 2718, 2720, 3003, 3004, 3005, 3301, 2601, 2602, 2603, 2604, 2605, 2606, 2607, 2608, 2609, 2610, 2611, 2612) рўйхатдан ўтмаган (СТИР бўйича);
4) Фаолият тури дорихона бўлса; 
ЭҲФ ва Маркетплейс орқали товарларни (хизматларни) реализация қилиш бўйича айланма.</t>
    </r>
  </si>
  <si>
    <r>
      <rPr>
        <b/>
        <sz val="12"/>
        <color rgb="FF000000"/>
        <rFont val="Arial"/>
        <family val="2"/>
        <charset val="204"/>
      </rPr>
      <t>1)</t>
    </r>
    <r>
      <rPr>
        <sz val="12"/>
        <color indexed="8"/>
        <rFont val="Arial"/>
        <family val="2"/>
        <charset val="204"/>
      </rPr>
      <t xml:space="preserve"> Солиқ тўловчига ставка бўйича бошқа имтиёзлар (104100,104066, 101062, 104048, 103976, 103389, 103388, 100014) </t>
    </r>
    <r>
      <rPr>
        <b/>
        <sz val="12"/>
        <color rgb="FFC00000"/>
        <rFont val="Arial"/>
        <family val="2"/>
        <charset val="204"/>
      </rPr>
      <t>бириктирилмаган</t>
    </r>
    <r>
      <rPr>
        <sz val="12"/>
        <color indexed="8"/>
        <rFont val="Arial"/>
        <family val="2"/>
        <charset val="204"/>
      </rPr>
      <t xml:space="preserve"> бўлса;
</t>
    </r>
    <r>
      <rPr>
        <b/>
        <sz val="12"/>
        <color rgb="FF000000"/>
        <rFont val="Arial"/>
        <family val="2"/>
        <charset val="204"/>
      </rPr>
      <t>2)</t>
    </r>
    <r>
      <rPr>
        <sz val="12"/>
        <color rgb="FF000000"/>
        <rFont val="Arial"/>
        <family val="2"/>
        <charset val="204"/>
      </rPr>
      <t xml:space="preserve"> ID - 104113 имтиёз ЭҲФга </t>
    </r>
    <r>
      <rPr>
        <b/>
        <sz val="12"/>
        <color rgb="FF0070C0"/>
        <rFont val="Arial"/>
        <family val="2"/>
        <charset val="204"/>
      </rPr>
      <t>бириктирилган</t>
    </r>
    <r>
      <rPr>
        <sz val="12"/>
        <color rgb="FF000000"/>
        <rFont val="Arial"/>
        <family val="2"/>
        <charset val="204"/>
      </rPr>
      <t xml:space="preserve"> бўлса;
</t>
    </r>
    <r>
      <rPr>
        <u/>
        <sz val="12"/>
        <color rgb="FF000000"/>
        <rFont val="Arial"/>
        <family val="2"/>
        <charset val="204"/>
      </rPr>
      <t xml:space="preserve">ЭҲФ орқали реализация қилинган сумма </t>
    </r>
  </si>
  <si>
    <r>
      <t xml:space="preserve">Тузатиш киритилган солиқ ставкаси, фоизда
</t>
    </r>
    <r>
      <rPr>
        <i/>
        <sz val="10"/>
        <rFont val="Arial"/>
        <family val="2"/>
        <charset val="204"/>
      </rPr>
      <t>(Ҳисоб-китобнинг 3-иловасининг 040-сатри)</t>
    </r>
  </si>
  <si>
    <t>Айланмадан олинадиган солиқ суммаси – жами (050-сатр х 0601-сатр / 100)</t>
  </si>
  <si>
    <t>Изоҳ</t>
  </si>
  <si>
    <t>Қўлда тўлдирилади</t>
  </si>
  <si>
    <r>
      <t xml:space="preserve">Мазкур сатр 1-илованинг 040 - сатри маълумотлари асосида </t>
    </r>
    <r>
      <rPr>
        <b/>
        <sz val="10"/>
        <color rgb="FF0070C0"/>
        <rFont val="Arial"/>
        <family val="2"/>
        <charset val="204"/>
      </rPr>
      <t>автомат шаклланади</t>
    </r>
  </si>
  <si>
    <r>
      <t xml:space="preserve">Мазкур сатр Ҳисоб-китобнинг 010 ва 020-сатрларнинг йиғиндисидан
</t>
    </r>
    <r>
      <rPr>
        <b/>
        <sz val="10"/>
        <color rgb="FF0070C0"/>
        <rFont val="Arial"/>
        <family val="2"/>
        <charset val="204"/>
      </rPr>
      <t>автомат шаклланади</t>
    </r>
  </si>
  <si>
    <t>3-устун</t>
  </si>
  <si>
    <r>
      <t>Мазкур сатр 1-иловадаги 20 ва 30-сатрлар йиғиндисидан</t>
    </r>
    <r>
      <rPr>
        <b/>
        <sz val="10"/>
        <color rgb="FF0070C0"/>
        <rFont val="Arial"/>
        <family val="2"/>
        <charset val="204"/>
      </rPr>
      <t xml:space="preserve"> автомат шаклланади</t>
    </r>
  </si>
  <si>
    <t>4-7-устунлар</t>
  </si>
  <si>
    <r>
      <t xml:space="preserve">3-илова маълумотлари асосида </t>
    </r>
    <r>
      <rPr>
        <b/>
        <sz val="10"/>
        <color rgb="FF0070C0"/>
        <rFont val="Arial"/>
        <family val="2"/>
        <charset val="204"/>
      </rPr>
      <t>автомат шакллантирилади</t>
    </r>
    <r>
      <rPr>
        <sz val="10"/>
        <color rgb="FF000000"/>
        <rFont val="Arial"/>
        <family val="2"/>
        <charset val="204"/>
      </rPr>
      <t>;</t>
    </r>
  </si>
  <si>
    <r>
      <t xml:space="preserve">010-сатр, 1-илованинг 040-сатри ҳамда 3-илова маълумотлари </t>
    </r>
    <r>
      <rPr>
        <sz val="10"/>
        <color rgb="FF000000"/>
        <rFont val="Arial"/>
        <family val="2"/>
        <charset val="204"/>
      </rPr>
      <t xml:space="preserve">асосида </t>
    </r>
    <r>
      <rPr>
        <b/>
        <sz val="10"/>
        <color rgb="FF0070C0"/>
        <rFont val="Arial"/>
        <family val="2"/>
        <charset val="204"/>
      </rPr>
      <t>автомат шаклланади</t>
    </r>
  </si>
  <si>
    <r>
      <t xml:space="preserve">Мазкур сатр Ҳисоб-китобнинг
2-иловасининг 010-сатридаги суммага тенг равишда, фаолият туридан келиб чиқиб </t>
    </r>
    <r>
      <rPr>
        <b/>
        <sz val="10"/>
        <color rgb="FF0070C0"/>
        <rFont val="Arial"/>
        <family val="2"/>
        <charset val="204"/>
      </rPr>
      <t>автомат шаклланади</t>
    </r>
  </si>
  <si>
    <r>
      <t xml:space="preserve">Мазкур сатр Ҳисоб-китобнинг 030 ва 040-сатрлардаги суммаларнинг айирмаси орқали </t>
    </r>
    <r>
      <rPr>
        <b/>
        <sz val="10"/>
        <color rgb="FF0070C0"/>
        <rFont val="Arial"/>
        <family val="2"/>
        <charset val="204"/>
      </rPr>
      <t>автомат шаклланади</t>
    </r>
  </si>
  <si>
    <r>
      <t xml:space="preserve">Мазкур сатр фаолият турлари бўйича белгиланган тегишли солиқ ставкалари </t>
    </r>
    <r>
      <rPr>
        <b/>
        <sz val="10"/>
        <color rgb="FF0070C0"/>
        <rFont val="Arial"/>
        <family val="2"/>
        <charset val="204"/>
      </rPr>
      <t>автомат шаклланади</t>
    </r>
  </si>
  <si>
    <r>
      <t xml:space="preserve">Мазкур сатр 3-илованинг 040-сатри маълумотлари асосида мантиқий шартлар асосида </t>
    </r>
    <r>
      <rPr>
        <b/>
        <sz val="10"/>
        <color rgb="FF0070C0"/>
        <rFont val="Arial"/>
        <family val="2"/>
        <charset val="204"/>
      </rPr>
      <t>автомат шаклланади</t>
    </r>
  </si>
  <si>
    <r>
      <t xml:space="preserve">Мазкур сатр Солиқ солинадиган база (050-сатр) ва белгиланган ставкадан (0601-сатр) келиб чиқиб Айланмадан олинадиган солиқ суммаси </t>
    </r>
    <r>
      <rPr>
        <b/>
        <sz val="10"/>
        <color rgb="FF0070C0"/>
        <rFont val="Arial"/>
        <family val="2"/>
        <charset val="204"/>
      </rPr>
      <t>автомат шаклланади</t>
    </r>
  </si>
  <si>
    <t>Мазкур сатрни "Market place" дан автоматлаштириш</t>
  </si>
  <si>
    <r>
      <t xml:space="preserve">0101+..+0105 сатрлар йиғиндисидан </t>
    </r>
    <r>
      <rPr>
        <b/>
        <sz val="10"/>
        <color rgb="FF0070C0"/>
        <rFont val="Arial"/>
        <family val="2"/>
        <charset val="204"/>
      </rPr>
      <t>автомат шаклланади</t>
    </r>
  </si>
  <si>
    <r>
      <t xml:space="preserve">"БЮД" маълумотлари асосида </t>
    </r>
    <r>
      <rPr>
        <b/>
        <sz val="10"/>
        <color rgb="FF0070C0"/>
        <rFont val="Arial"/>
        <family val="2"/>
        <charset val="204"/>
      </rPr>
      <t>автомат шаклланади</t>
    </r>
  </si>
  <si>
    <r>
      <t xml:space="preserve">"ОНКМ" маълумотлари асосида </t>
    </r>
    <r>
      <rPr>
        <b/>
        <sz val="10"/>
        <color rgb="FF0070C0"/>
        <rFont val="Arial"/>
        <family val="2"/>
        <charset val="204"/>
      </rPr>
      <t>автомат шаклланади</t>
    </r>
  </si>
  <si>
    <r>
      <t xml:space="preserve">"ЭҲФ" маълумотлари асосида </t>
    </r>
    <r>
      <rPr>
        <b/>
        <sz val="10"/>
        <color rgb="FF0070C0"/>
        <rFont val="Arial"/>
        <family val="2"/>
        <charset val="204"/>
      </rPr>
      <t>автомат шаклланади</t>
    </r>
  </si>
  <si>
    <r>
      <t xml:space="preserve">010-сатридаги суммадан 0202, 030 ва 040-сатрлардаги суммага камайтириш орқали </t>
    </r>
    <r>
      <rPr>
        <b/>
        <sz val="10"/>
        <color rgb="FF0070C0"/>
        <rFont val="Arial"/>
        <family val="2"/>
        <charset val="204"/>
      </rPr>
      <t>автомат шаклланади</t>
    </r>
  </si>
  <si>
    <r>
      <t xml:space="preserve">Бир тарафлама ЭҲФ орқали </t>
    </r>
    <r>
      <rPr>
        <b/>
        <sz val="10"/>
        <color rgb="FF0070C0"/>
        <rFont val="Arial"/>
        <family val="2"/>
        <charset val="204"/>
      </rPr>
      <t>автомат шаклланади</t>
    </r>
  </si>
  <si>
    <r>
      <t xml:space="preserve">Мазкур сатр 0301+..+0306 сатрлар йиғиндисидан </t>
    </r>
    <r>
      <rPr>
        <b/>
        <sz val="10"/>
        <color rgb="FF0070C0"/>
        <rFont val="Arial"/>
        <family val="2"/>
        <charset val="204"/>
      </rPr>
      <t>автомат шаклланади</t>
    </r>
  </si>
  <si>
    <r>
      <t xml:space="preserve">- 0301-0305-сатрларни ЭҲФда даромад турини белгилаш орқали </t>
    </r>
    <r>
      <rPr>
        <b/>
        <sz val="10"/>
        <color rgb="FF0070C0"/>
        <rFont val="Arial"/>
        <family val="2"/>
        <charset val="204"/>
      </rPr>
      <t>автомат шаклланади</t>
    </r>
    <r>
      <rPr>
        <sz val="10"/>
        <rFont val="Arial"/>
        <family val="2"/>
        <charset val="204"/>
      </rPr>
      <t xml:space="preserve">;
     - 0306-сатрни даромад турлари кўрсатилган бир тарафлама ягона ЭҲФ маълумотлари орқали </t>
    </r>
    <r>
      <rPr>
        <b/>
        <sz val="10"/>
        <color rgb="FF0070C0"/>
        <rFont val="Arial"/>
        <family val="2"/>
        <charset val="204"/>
      </rPr>
      <t>автомат шаклланади</t>
    </r>
  </si>
  <si>
    <r>
      <t xml:space="preserve">Мазкур сатрда, 0401+0402+0403+0404+0405 сатрларнинг йиғиндиси </t>
    </r>
    <r>
      <rPr>
        <b/>
        <sz val="10"/>
        <color rgb="FF0070C0"/>
        <rFont val="Arial"/>
        <family val="2"/>
        <charset val="204"/>
      </rPr>
      <t>автомат шаклланади</t>
    </r>
  </si>
  <si>
    <r>
      <t xml:space="preserve">     - 0401 ва 0404-сатрлар ЭҲФда даромад турини белгилаш орқали </t>
    </r>
    <r>
      <rPr>
        <b/>
        <sz val="10"/>
        <color rgb="FF0070C0"/>
        <rFont val="Arial"/>
        <family val="2"/>
        <charset val="204"/>
      </rPr>
      <t>автомат шаклланади;</t>
    </r>
    <r>
      <rPr>
        <sz val="10"/>
        <rFont val="Arial"/>
        <family val="2"/>
        <charset val="204"/>
      </rPr>
      <t xml:space="preserve">
     - 0402, 0403, 0404 сатрлар даромад турлари кўрсатилган бир тарафлама ягона ЭҲФ орқали </t>
    </r>
    <r>
      <rPr>
        <b/>
        <sz val="10"/>
        <color rgb="FF0070C0"/>
        <rFont val="Arial"/>
        <family val="2"/>
        <charset val="204"/>
      </rPr>
      <t>автомат шаклланади</t>
    </r>
  </si>
  <si>
    <r>
      <t xml:space="preserve">ЭҲФ маълумотлари асосида </t>
    </r>
    <r>
      <rPr>
        <b/>
        <sz val="10"/>
        <color rgb="FF0070C0"/>
        <rFont val="Arial"/>
        <family val="2"/>
        <charset val="204"/>
      </rPr>
      <t>автомат шаклланади</t>
    </r>
  </si>
  <si>
    <r>
      <t xml:space="preserve">Мазкур сатр 020,  030 ҳамда 040-сатрлар йиғиндиси орқали </t>
    </r>
    <r>
      <rPr>
        <b/>
        <sz val="12"/>
        <color rgb="FF0070C0"/>
        <rFont val="Arial"/>
        <family val="2"/>
        <charset val="204"/>
      </rPr>
      <t>автомат шаклланади</t>
    </r>
  </si>
  <si>
    <r>
      <t xml:space="preserve">ЭҲФ маълумотлари асосида </t>
    </r>
    <r>
      <rPr>
        <b/>
        <sz val="12"/>
        <color rgb="FF0070C0"/>
        <rFont val="Arial"/>
        <family val="2"/>
        <charset val="204"/>
      </rPr>
      <t>автомат шаклланади</t>
    </r>
  </si>
  <si>
    <t>Ўзбекистон Республикаси Солиқ кодексига мувофиқ солиқ солинадиган ялпи тушумнинг камайтирилиши - жами (0201 - 0212-сатрлар йиғиндиси), шу жумладан:</t>
  </si>
  <si>
    <r>
      <t xml:space="preserve">Мазкур сатр 0201 - 0212-сатрлар йиғиндиси орқали </t>
    </r>
    <r>
      <rPr>
        <b/>
        <sz val="12"/>
        <color rgb="FF0070C0"/>
        <rFont val="Arial"/>
        <family val="2"/>
        <charset val="204"/>
      </rPr>
      <t>автомат шаклланади</t>
    </r>
  </si>
  <si>
    <r>
      <t xml:space="preserve">Норматив-ҳуқуқий ҳужжатларга мувофиқ солиқ солинадиган жами даромаднинг камайтирилиши - жами </t>
    </r>
    <r>
      <rPr>
        <sz val="12"/>
        <rFont val="Arial"/>
        <family val="2"/>
        <charset val="204"/>
      </rPr>
      <t>(0401 - 04...-сатрлар йиғиндиси), шу жумладан:</t>
    </r>
  </si>
  <si>
    <t>тадбиркорлик субъектлари учун — товарларни (хизматларни) реализация қилишдан олинган даромадларининг 0,5 фоизидан ошмаган миқдорда ўз ходимларига ва уларнинг яқин қариндошларига оммавий-маданий ҳамда концерт-томоша тадбирларига бориши учун чипталар харид қилишга доир харажатлар суммаси</t>
  </si>
  <si>
    <r>
      <t xml:space="preserve">Солиқ базасида мавжуд маълумотлар асосида </t>
    </r>
    <r>
      <rPr>
        <b/>
        <sz val="12"/>
        <color rgb="FF0070C0"/>
        <rFont val="Arial"/>
        <family val="2"/>
        <charset val="204"/>
      </rPr>
      <t>автомат шаклланади</t>
    </r>
  </si>
  <si>
    <r>
      <t xml:space="preserve">Мазкур сатр 0401+..+0406 сатрлар йиғиндисидан </t>
    </r>
    <r>
      <rPr>
        <b/>
        <sz val="12"/>
        <color rgb="FF0070C0"/>
        <rFont val="Arial"/>
        <family val="2"/>
        <charset val="204"/>
      </rPr>
      <t>автомат шаклланади</t>
    </r>
  </si>
  <si>
    <r>
      <t xml:space="preserve">Мазкур сатрлар ЭҲФда имтиёзларни танлаш орқали </t>
    </r>
    <r>
      <rPr>
        <b/>
        <sz val="12"/>
        <color rgb="FF0070C0"/>
        <rFont val="Arial"/>
        <family val="2"/>
        <charset val="204"/>
      </rPr>
      <t>автомат шаклланади</t>
    </r>
  </si>
  <si>
    <t>1 фоизлик солиқ ставкалари бўйича (0101-0108-сатрлар йиғиндиси)</t>
  </si>
  <si>
    <t>0101+0102+сумм(0104:0108) + (Агар 01031 сатр &gt;=60 бўлса 0103 сатр акс ҳолда 0)</t>
  </si>
  <si>
    <r>
      <rPr>
        <sz val="12"/>
        <color rgb="FF000000"/>
        <rFont val="Arial"/>
        <family val="2"/>
        <charset val="204"/>
      </rPr>
      <t xml:space="preserve">0101-0108-сатрлар йиғиндисидан </t>
    </r>
    <r>
      <rPr>
        <b/>
        <sz val="12"/>
        <color rgb="FF0070C0"/>
        <rFont val="Arial"/>
        <family val="2"/>
        <charset val="204"/>
      </rPr>
      <t>автомат шаклланади</t>
    </r>
    <r>
      <rPr>
        <i/>
        <sz val="12"/>
        <color rgb="FF000000"/>
        <rFont val="Arial"/>
        <family val="2"/>
        <charset val="204"/>
      </rPr>
      <t xml:space="preserve">
Бунда 01031 сатр 60 дан кичик бўлса 0103 сатр инобатга олинмайди</t>
    </r>
  </si>
  <si>
    <r>
      <rPr>
        <sz val="12"/>
        <color rgb="FF000000"/>
        <rFont val="Arial"/>
        <family val="2"/>
        <charset val="204"/>
      </rPr>
      <t xml:space="preserve">E-imtiyoz дастури (ID - 104115) орқали </t>
    </r>
    <r>
      <rPr>
        <b/>
        <sz val="12"/>
        <color rgb="FF0070C0"/>
        <rFont val="Arial"/>
        <family val="2"/>
        <charset val="204"/>
      </rPr>
      <t>автомат шаклланади</t>
    </r>
  </si>
  <si>
    <r>
      <rPr>
        <sz val="12"/>
        <color rgb="FF000000"/>
        <rFont val="Arial"/>
        <family val="2"/>
        <charset val="204"/>
      </rPr>
      <t xml:space="preserve">E-imtiyoz дастури (ID - 104100) орқали </t>
    </r>
    <r>
      <rPr>
        <b/>
        <sz val="12"/>
        <color rgb="FF0070C0"/>
        <rFont val="Arial"/>
        <family val="2"/>
        <charset val="204"/>
      </rPr>
      <t>автомат шаклланади</t>
    </r>
  </si>
  <si>
    <r>
      <rPr>
        <sz val="12"/>
        <color rgb="FF000000"/>
        <rFont val="Arial"/>
        <family val="2"/>
        <charset val="204"/>
      </rPr>
      <t xml:space="preserve">E-imtiyoz дастури (ID - 104072) орқали </t>
    </r>
    <r>
      <rPr>
        <b/>
        <sz val="12"/>
        <color rgb="FF0070C0"/>
        <rFont val="Arial"/>
        <family val="2"/>
        <charset val="204"/>
      </rPr>
      <t>автомат шаклланади</t>
    </r>
  </si>
  <si>
    <r>
      <t xml:space="preserve">0103 сатрдаги сумма 1-илованинг 030-сатрига бўлиниб 100 га кўпайтириш орқали </t>
    </r>
    <r>
      <rPr>
        <b/>
        <sz val="12"/>
        <color rgb="FF0070C0"/>
        <rFont val="Arial"/>
        <family val="2"/>
        <charset val="204"/>
      </rPr>
      <t>автомат шаклланади</t>
    </r>
  </si>
  <si>
    <r>
      <rPr>
        <sz val="12"/>
        <color rgb="FF000000"/>
        <rFont val="Arial"/>
        <family val="2"/>
        <charset val="204"/>
      </rPr>
      <t xml:space="preserve">E-imtiyoz дастури (ID - 104066 ёки 103976) орқали </t>
    </r>
    <r>
      <rPr>
        <b/>
        <sz val="12"/>
        <color rgb="FF0070C0"/>
        <rFont val="Arial"/>
        <family val="2"/>
        <charset val="204"/>
      </rPr>
      <t>автомат шаклланади</t>
    </r>
  </si>
  <si>
    <r>
      <rPr>
        <sz val="12"/>
        <color rgb="FF000000"/>
        <rFont val="Arial"/>
        <family val="2"/>
        <charset val="204"/>
      </rPr>
      <t xml:space="preserve">E-imtiyoz дастури (ID - 104062) орқали </t>
    </r>
    <r>
      <rPr>
        <b/>
        <sz val="12"/>
        <color rgb="FF0070C0"/>
        <rFont val="Arial"/>
        <family val="2"/>
        <charset val="204"/>
      </rPr>
      <t>автомат шаклланади</t>
    </r>
  </si>
  <si>
    <r>
      <rPr>
        <sz val="12"/>
        <color rgb="FF000000"/>
        <rFont val="Arial"/>
        <family val="2"/>
        <charset val="204"/>
      </rPr>
      <t xml:space="preserve">E-imtiyoz дастури (ID - 104048 ёки 100014) орқали </t>
    </r>
    <r>
      <rPr>
        <b/>
        <sz val="12"/>
        <color rgb="FF0070C0"/>
        <rFont val="Arial"/>
        <family val="2"/>
        <charset val="204"/>
      </rPr>
      <t>автомат шаклланади</t>
    </r>
  </si>
  <si>
    <r>
      <rPr>
        <sz val="12"/>
        <color rgb="FF000000"/>
        <rFont val="Arial"/>
        <family val="2"/>
        <charset val="204"/>
      </rPr>
      <t xml:space="preserve">E-imtiyoz дастури (ID - 103388) орқали </t>
    </r>
    <r>
      <rPr>
        <b/>
        <sz val="12"/>
        <color rgb="FF0070C0"/>
        <rFont val="Arial"/>
        <family val="2"/>
        <charset val="204"/>
      </rPr>
      <t>автомат шаклланади</t>
    </r>
  </si>
  <si>
    <r>
      <rPr>
        <sz val="12"/>
        <color rgb="FF000000"/>
        <rFont val="Arial"/>
        <family val="2"/>
        <charset val="204"/>
      </rPr>
      <t xml:space="preserve">"Бориш қийин бўлган тоғли ҳудуд" интирактив хизмати орқали </t>
    </r>
    <r>
      <rPr>
        <b/>
        <sz val="12"/>
        <color rgb="FF0070C0"/>
        <rFont val="Arial"/>
        <family val="2"/>
        <charset val="204"/>
      </rPr>
      <t>автомат шаклланади</t>
    </r>
  </si>
  <si>
    <r>
      <t xml:space="preserve">Мантиқий шарт асосида </t>
    </r>
    <r>
      <rPr>
        <b/>
        <sz val="12"/>
        <color rgb="FF0070C0"/>
        <rFont val="Arial"/>
        <family val="2"/>
        <charset val="204"/>
      </rPr>
      <t>автомат шаклланади</t>
    </r>
    <r>
      <rPr>
        <sz val="12"/>
        <color rgb="FF000000"/>
        <rFont val="Arial"/>
        <family val="2"/>
        <charset val="204"/>
      </rPr>
      <t xml:space="preserve">
</t>
    </r>
    <r>
      <rPr>
        <i/>
        <sz val="12"/>
        <color rgb="FF000000"/>
        <rFont val="Arial"/>
        <family val="2"/>
        <charset val="204"/>
      </rPr>
      <t>(Агар 02011 сатр 90 га тенг ёки катта бўлса 0201 сатр га 0202 сатр қўшилади акс ҳолда 0202 сатр)</t>
    </r>
  </si>
  <si>
    <r>
      <t xml:space="preserve">0201 сатрдаги сумма 1-илованинг 030-сатрига бўлиниб 100 га кўпайтириш орқали </t>
    </r>
    <r>
      <rPr>
        <b/>
        <sz val="12"/>
        <color rgb="FF0070C0"/>
        <rFont val="Arial"/>
        <family val="2"/>
        <charset val="204"/>
      </rPr>
      <t>автомат шаклланади</t>
    </r>
  </si>
  <si>
    <r>
      <t xml:space="preserve">ОНКМ ва ЭҲФ маълумотлари асосида </t>
    </r>
    <r>
      <rPr>
        <b/>
        <sz val="12"/>
        <color rgb="FF0070C0"/>
        <rFont val="Arial"/>
        <family val="2"/>
        <charset val="204"/>
      </rPr>
      <t>автомат шаклланади</t>
    </r>
  </si>
  <si>
    <r>
      <t xml:space="preserve">0301+0302 сартлар йиғиндисидан </t>
    </r>
    <r>
      <rPr>
        <b/>
        <sz val="12"/>
        <color rgb="FF0070C0"/>
        <rFont val="Arial"/>
        <family val="2"/>
        <charset val="204"/>
      </rPr>
      <t>автомат шаклланади</t>
    </r>
  </si>
  <si>
    <r>
      <rPr>
        <sz val="12"/>
        <color rgb="FF000000"/>
        <rFont val="Arial"/>
        <family val="2"/>
        <charset val="204"/>
      </rPr>
      <t xml:space="preserve">E-imtiyoz дастури (ID - 104113) орқали </t>
    </r>
    <r>
      <rPr>
        <b/>
        <sz val="12"/>
        <color rgb="FF0070C0"/>
        <rFont val="Arial"/>
        <family val="2"/>
        <charset val="204"/>
      </rPr>
      <t>автомат шаклланади</t>
    </r>
  </si>
  <si>
    <r>
      <t xml:space="preserve">Аҳоли сони юз минг нафар ва ундан кўп кишидан иборат шаҳарларда жойлашган улгуржи ва чакана дорихонанинг ОНКМ ва ЭҲФ маълумотлари асосида </t>
    </r>
    <r>
      <rPr>
        <b/>
        <sz val="12"/>
        <color rgb="FF000000"/>
        <rFont val="Arial"/>
        <family val="2"/>
        <charset val="204"/>
      </rPr>
      <t xml:space="preserve">автомат шаклланади
</t>
    </r>
    <r>
      <rPr>
        <i/>
        <sz val="12"/>
        <color rgb="FF000000"/>
        <rFont val="Arial"/>
        <family val="2"/>
        <charset val="204"/>
      </rPr>
      <t>Бунда мазкур тоифага кирувчи шаҳарлар рўйхати Статистика агентлиги маълумотлари асосида солиқ даври якуни билан янгиланиб боради</t>
    </r>
  </si>
  <si>
    <t>3 фоизлик солиқ ставкалари бўйича (0301-0302-сатрлар йиғиндиси)</t>
  </si>
  <si>
    <r>
      <t xml:space="preserve">Мантиқий шарт асосида </t>
    </r>
    <r>
      <rPr>
        <b/>
        <sz val="12"/>
        <color rgb="FF0070C0"/>
        <rFont val="Arial"/>
        <family val="2"/>
        <charset val="204"/>
      </rPr>
      <t>автомат шаклланади</t>
    </r>
    <r>
      <rPr>
        <sz val="12"/>
        <color rgb="FF000000"/>
        <rFont val="Arial"/>
        <family val="2"/>
        <charset val="204"/>
      </rPr>
      <t xml:space="preserve">
</t>
    </r>
    <r>
      <rPr>
        <i/>
        <sz val="12"/>
        <color rgb="FF000000"/>
        <rFont val="Arial"/>
        <family val="2"/>
        <charset val="204"/>
      </rPr>
      <t>(Агар 0401-сатр &gt;0 дан 0 бўлади, Акс ҳолда Агар 0402-0407-сатрлар йиғиндиси &gt;0;50 акс ҳолда 100 бўлади)</t>
    </r>
  </si>
  <si>
    <r>
      <rPr>
        <sz val="12"/>
        <color rgb="FF000000"/>
        <rFont val="Arial"/>
        <family val="2"/>
        <charset val="204"/>
      </rPr>
      <t xml:space="preserve">E-imtiyoz дастури (ID - 104044) орқали </t>
    </r>
    <r>
      <rPr>
        <b/>
        <sz val="12"/>
        <color rgb="FF0070C0"/>
        <rFont val="Arial"/>
        <family val="2"/>
        <charset val="204"/>
      </rPr>
      <t>автомат шаклланади</t>
    </r>
  </si>
  <si>
    <r>
      <t xml:space="preserve">E-imtiyoz дастури (ID - 103797) орқали  </t>
    </r>
    <r>
      <rPr>
        <b/>
        <sz val="12"/>
        <color rgb="FF0070C0"/>
        <rFont val="Arial"/>
        <family val="2"/>
        <charset val="204"/>
      </rPr>
      <t>автомат шаклланади</t>
    </r>
    <r>
      <rPr>
        <sz val="12"/>
        <color rgb="FF000000"/>
        <rFont val="Arial"/>
        <family val="2"/>
        <charset val="204"/>
      </rPr>
      <t xml:space="preserve">
</t>
    </r>
    <r>
      <rPr>
        <i/>
        <sz val="12"/>
        <color rgb="FF000000"/>
        <rFont val="Arial"/>
        <family val="2"/>
        <charset val="204"/>
      </rPr>
      <t>(Агар 0401-сатр 0 дан катта бўлса 0 бўлади акс ҳолда ҳисоб-китоб шаклининг 050-сатри акс ҳолда 0)</t>
    </r>
  </si>
  <si>
    <r>
      <t xml:space="preserve">E-imtiyoz дастури (ID - 104015) орқали </t>
    </r>
    <r>
      <rPr>
        <b/>
        <sz val="12"/>
        <color rgb="FF0070C0"/>
        <rFont val="Arial"/>
        <family val="2"/>
        <charset val="204"/>
      </rPr>
      <t>автомат шаклланади</t>
    </r>
    <r>
      <rPr>
        <sz val="12"/>
        <color rgb="FF000000"/>
        <rFont val="Arial"/>
        <family val="2"/>
        <charset val="204"/>
      </rPr>
      <t xml:space="preserve">
</t>
    </r>
    <r>
      <rPr>
        <i/>
        <sz val="12"/>
        <color rgb="FF000000"/>
        <rFont val="Arial"/>
        <family val="2"/>
        <charset val="204"/>
      </rPr>
      <t>(Агар 0401-сатр - 0403-сатрлар йиғиндиси 0 дан катта бўлса 0 бўлади акс ҳолда ҳисоб-китоб шаклининг 050-сатри акс ҳолда 0)</t>
    </r>
  </si>
  <si>
    <r>
      <t xml:space="preserve">E-imtiyoz дастури (ID - 104107) орқали </t>
    </r>
    <r>
      <rPr>
        <b/>
        <sz val="12"/>
        <color rgb="FF0070C0"/>
        <rFont val="Arial"/>
        <family val="2"/>
        <charset val="204"/>
      </rPr>
      <t>автомат шаклланади</t>
    </r>
    <r>
      <rPr>
        <sz val="12"/>
        <color rgb="FF000000"/>
        <rFont val="Arial"/>
        <family val="2"/>
        <charset val="204"/>
      </rPr>
      <t xml:space="preserve">
</t>
    </r>
    <r>
      <rPr>
        <i/>
        <sz val="12"/>
        <color rgb="FF000000"/>
        <rFont val="Arial"/>
        <family val="2"/>
        <charset val="204"/>
      </rPr>
      <t>(Агар 0401-сатр - 0402-сатрлар йиғиндиси 0 дан катта бўлса, 0 бўлади акс ҳолда ҳисоб-китоб шаклининг 050-сатри акс ҳолда 0)</t>
    </r>
  </si>
  <si>
    <r>
      <rPr>
        <b/>
        <sz val="12"/>
        <color rgb="FF000000"/>
        <rFont val="Arial"/>
        <family val="2"/>
        <charset val="204"/>
      </rPr>
      <t>1)</t>
    </r>
    <r>
      <rPr>
        <sz val="12"/>
        <color indexed="8"/>
        <rFont val="Arial"/>
        <family val="2"/>
        <charset val="204"/>
      </rPr>
      <t xml:space="preserve"> ОНКМга Ставка бўйича бошқа имтиёзлар (104115, 104100, 104066, 104062, 103388, 103389, 103976, 100014) </t>
    </r>
    <r>
      <rPr>
        <sz val="12"/>
        <rFont val="Arial"/>
        <family val="2"/>
        <charset val="204"/>
      </rPr>
      <t>бириктирилмаган б</t>
    </r>
    <r>
      <rPr>
        <sz val="12"/>
        <color indexed="8"/>
        <rFont val="Arial"/>
        <family val="2"/>
        <charset val="204"/>
      </rPr>
      <t>ўлса;</t>
    </r>
    <r>
      <rPr>
        <sz val="12"/>
        <color rgb="FF000000"/>
        <rFont val="Arial"/>
        <family val="2"/>
        <charset val="204"/>
      </rPr>
      <t xml:space="preserve">
</t>
    </r>
    <r>
      <rPr>
        <b/>
        <sz val="12"/>
        <color rgb="FF000000"/>
        <rFont val="Arial"/>
        <family val="2"/>
        <charset val="204"/>
      </rPr>
      <t>2)</t>
    </r>
    <r>
      <rPr>
        <sz val="12"/>
        <color rgb="FF000000"/>
        <rFont val="Arial"/>
        <family val="2"/>
        <charset val="204"/>
      </rPr>
      <t xml:space="preserve"> Солиқ тўловчининг ОНКМ рақами ДСҚ томонидан берилган рўйхатда мавжуд бўлса, </t>
    </r>
    <r>
      <rPr>
        <u/>
        <sz val="12"/>
        <color rgb="FF000000"/>
        <rFont val="Arial"/>
        <family val="2"/>
        <charset val="204"/>
      </rPr>
      <t xml:space="preserve">
ушбу ОНКМ орқали реализация қилинган сумма</t>
    </r>
  </si>
  <si>
    <t>Жами катаклар сони:</t>
  </si>
  <si>
    <t>Автоматлашгани</t>
  </si>
  <si>
    <t>ЭҲФдан автомат шаклланадиган</t>
  </si>
  <si>
    <t>Формула орқали йиғинди ёки бошқа иловадан келади</t>
  </si>
  <si>
    <t>Қўлда тўлдириладигани</t>
  </si>
  <si>
    <t>Т/р</t>
  </si>
  <si>
    <t>Айланмадан олинадиган солиқ
ҳисоботи жадваллари</t>
  </si>
  <si>
    <t>жумладан</t>
  </si>
  <si>
    <t>%</t>
  </si>
  <si>
    <t>ЭҲФ ва ОНКМ орқали автомат шакл-ланади</t>
  </si>
  <si>
    <t>Формула орқали йиғинди ва бошқа иловадан келади</t>
  </si>
  <si>
    <t>ЖАМИ</t>
  </si>
  <si>
    <t>Айланмадан олинадиган солиқ
ҳисоб-китоби</t>
  </si>
  <si>
    <r>
      <t xml:space="preserve">Жами </t>
    </r>
    <r>
      <rPr>
        <sz val="11"/>
        <color rgb="FF0070C0"/>
        <rFont val="Arial"/>
        <family val="2"/>
        <charset val="204"/>
      </rPr>
      <t>катаклар</t>
    </r>
    <r>
      <rPr>
        <sz val="11"/>
        <rFont val="Arial"/>
        <family val="2"/>
        <charset val="204"/>
      </rPr>
      <t xml:space="preserve"> сони</t>
    </r>
  </si>
  <si>
    <r>
      <rPr>
        <sz val="11"/>
        <color rgb="FF0070C0"/>
        <rFont val="Arial"/>
        <family val="2"/>
        <charset val="204"/>
      </rPr>
      <t xml:space="preserve">Жами даромадлар </t>
    </r>
    <r>
      <rPr>
        <i/>
        <sz val="10"/>
        <color rgb="FFC00000"/>
        <rFont val="Arial"/>
        <family val="2"/>
        <charset val="204"/>
      </rPr>
      <t>(1-илова)</t>
    </r>
  </si>
  <si>
    <r>
      <rPr>
        <sz val="11"/>
        <color rgb="FF0070C0"/>
        <rFont val="Arial"/>
        <family val="2"/>
        <charset val="204"/>
      </rPr>
      <t xml:space="preserve">Солиқ солинадиган жами даромаднинг камайтирилиши </t>
    </r>
    <r>
      <rPr>
        <sz val="10"/>
        <color rgb="FFC00000"/>
        <rFont val="Arial"/>
        <family val="2"/>
        <charset val="204"/>
      </rPr>
      <t>(</t>
    </r>
    <r>
      <rPr>
        <i/>
        <sz val="10"/>
        <color rgb="FFC00000"/>
        <rFont val="Arial"/>
        <family val="2"/>
        <charset val="204"/>
      </rPr>
      <t>2-илова</t>
    </r>
    <r>
      <rPr>
        <sz val="10"/>
        <color rgb="FFC00000"/>
        <rFont val="Arial"/>
        <family val="2"/>
        <charset val="204"/>
      </rPr>
      <t>)</t>
    </r>
  </si>
  <si>
    <r>
      <rPr>
        <sz val="11"/>
        <color rgb="FF0070C0"/>
        <rFont val="Arial"/>
        <family val="2"/>
        <charset val="204"/>
      </rPr>
      <t xml:space="preserve">Солиқ ставкалари бўйича айрим товар айланмалар ҳисоб-китоб маълумотномаси </t>
    </r>
    <r>
      <rPr>
        <sz val="10"/>
        <color rgb="FFC00000"/>
        <rFont val="Arial"/>
        <family val="2"/>
        <charset val="204"/>
      </rPr>
      <t>(</t>
    </r>
    <r>
      <rPr>
        <i/>
        <sz val="10"/>
        <color rgb="FFC00000"/>
        <rFont val="Arial"/>
        <family val="2"/>
        <charset val="204"/>
      </rPr>
      <t>3-илова</t>
    </r>
    <r>
      <rPr>
        <sz val="10"/>
        <color rgb="FFC00000"/>
        <rFont val="Arial"/>
        <family val="2"/>
        <charset val="204"/>
      </rPr>
      <t>)</t>
    </r>
  </si>
  <si>
    <t>Автомат шаклланади</t>
  </si>
  <si>
    <r>
      <t xml:space="preserve">"БЮД" маълумотлари асосида </t>
    </r>
    <r>
      <rPr>
        <b/>
        <sz val="12"/>
        <color rgb="FF0070C0"/>
        <rFont val="Arial"/>
        <family val="2"/>
        <charset val="204"/>
      </rPr>
      <t>автомат шаклланади</t>
    </r>
  </si>
  <si>
    <r>
      <t xml:space="preserve">Айланмадан олинадиган </t>
    </r>
    <r>
      <rPr>
        <b/>
        <sz val="14"/>
        <color rgb="FFC00000"/>
        <rFont val="Arial"/>
        <family val="2"/>
        <charset val="204"/>
      </rPr>
      <t>солиқ ҳисоботини</t>
    </r>
    <r>
      <rPr>
        <b/>
        <sz val="14"/>
        <color rgb="FFFF0000"/>
        <rFont val="Arial"/>
        <family val="2"/>
        <charset val="204"/>
      </rPr>
      <t xml:space="preserve"> </t>
    </r>
    <r>
      <rPr>
        <b/>
        <sz val="14"/>
        <color rgb="FFC00000"/>
        <rFont val="Arial"/>
        <family val="2"/>
        <charset val="204"/>
      </rPr>
      <t xml:space="preserve">автомат шакллантириш 
</t>
    </r>
    <r>
      <rPr>
        <b/>
        <sz val="14"/>
        <color rgb="FF002060"/>
        <rFont val="Arial"/>
        <family val="2"/>
        <charset val="204"/>
      </rPr>
      <t>юзасидан таҳлилий жадвал 
МАЪЛУМОТ</t>
    </r>
  </si>
  <si>
    <r>
      <rPr>
        <b/>
        <sz val="14"/>
        <color rgb="FF0070C0"/>
        <rFont val="Arial"/>
        <family val="2"/>
        <charset val="204"/>
      </rPr>
      <t>Айланмадан олинадиган солиқ ставкалар</t>
    </r>
    <r>
      <rPr>
        <b/>
        <sz val="14"/>
        <color theme="1"/>
        <rFont val="Arial"/>
        <family val="2"/>
        <charset val="204"/>
      </rPr>
      <t xml:space="preserve">
</t>
    </r>
    <r>
      <rPr>
        <i/>
        <sz val="12"/>
        <color rgb="FFC00000"/>
        <rFont val="Arial"/>
        <family val="2"/>
        <charset val="204"/>
      </rPr>
      <t>(Солиқ кодекси 467-модда)</t>
    </r>
  </si>
  <si>
    <t>Солиқ тўловчилар</t>
  </si>
  <si>
    <r>
      <rPr>
        <b/>
        <sz val="14"/>
        <color rgb="FF0070C0"/>
        <rFont val="Arial"/>
        <family val="2"/>
        <charset val="204"/>
      </rPr>
      <t xml:space="preserve">Солиқ ставкалари </t>
    </r>
    <r>
      <rPr>
        <sz val="14"/>
        <color theme="1"/>
        <rFont val="Arial"/>
        <family val="2"/>
        <charset val="204"/>
      </rPr>
      <t xml:space="preserve">
</t>
    </r>
    <r>
      <rPr>
        <i/>
        <sz val="14"/>
        <color rgb="FFC00000"/>
        <rFont val="Arial"/>
        <family val="2"/>
        <charset val="204"/>
      </rPr>
      <t>(%)</t>
    </r>
  </si>
  <si>
    <t>1.</t>
  </si>
  <si>
    <t>2.</t>
  </si>
  <si>
    <t>3.</t>
  </si>
  <si>
    <t>4.</t>
  </si>
  <si>
    <t>5.</t>
  </si>
  <si>
    <t>6.</t>
  </si>
  <si>
    <t>бошқа аҳоли пунктларида</t>
  </si>
  <si>
    <t>Иқтисодиётнинг барча тармоқларидаги солиқ тўловчилар, бундан 2 - 6-бандларда назарда тутилганлар мустасно</t>
  </si>
  <si>
    <t>Ягона иштирокчиси ногиронлиги бўлган шахсларнинг жамоат бирлашмалари, "Нуроний" жамғармаси ва "Ўзбекистон Чернобилчилари" ассоциацияси бўлган, умумий сонида ногиронлиги бўлган шахслар, уруш ва 1941-1945 йиллардаги меҳнат фронти ветеранлари 50 фоиздан кам бўлмаган ва ногиронлиги бўлган шахслар, уруш ва 1941-1945 йиллардаги меҳнат фронти ветеранларининг меҳнатига ҳақ тўлаш фонди умумий меҳнатга ҳақ тўлаш фондининг 50 фоизидан кам бўлмаган солиқ тўловчилар</t>
  </si>
  <si>
    <r>
      <rPr>
        <b/>
        <sz val="14"/>
        <color rgb="FF0070C0"/>
        <rFont val="Arial"/>
        <family val="2"/>
        <charset val="204"/>
      </rPr>
      <t>товар айланмаси</t>
    </r>
    <r>
      <rPr>
        <sz val="14"/>
        <color theme="1"/>
        <rFont val="Arial"/>
        <family val="2"/>
        <charset val="204"/>
      </rPr>
      <t xml:space="preserve">нинг 
</t>
    </r>
    <r>
      <rPr>
        <b/>
        <sz val="14"/>
        <color rgb="FFC00000"/>
        <rFont val="Arial"/>
        <family val="2"/>
        <charset val="204"/>
      </rPr>
      <t xml:space="preserve">4 </t>
    </r>
    <r>
      <rPr>
        <sz val="14"/>
        <color theme="1"/>
        <rFont val="Arial"/>
        <family val="2"/>
        <charset val="204"/>
      </rPr>
      <t xml:space="preserve">ёки </t>
    </r>
    <r>
      <rPr>
        <b/>
        <sz val="14"/>
        <color rgb="FF0070C0"/>
        <rFont val="Arial"/>
        <family val="2"/>
        <charset val="204"/>
      </rPr>
      <t>ялпи даромад</t>
    </r>
    <r>
      <rPr>
        <sz val="14"/>
        <color theme="1"/>
        <rFont val="Arial"/>
        <family val="2"/>
        <charset val="204"/>
      </rPr>
      <t xml:space="preserve">нинг </t>
    </r>
    <r>
      <rPr>
        <b/>
        <sz val="14"/>
        <color rgb="FFC00000"/>
        <rFont val="Arial"/>
        <family val="2"/>
        <charset val="204"/>
      </rPr>
      <t>25</t>
    </r>
  </si>
  <si>
    <r>
      <t xml:space="preserve">аҳолиси сони </t>
    </r>
    <r>
      <rPr>
        <b/>
        <u/>
        <sz val="14"/>
        <color rgb="FF0070C0"/>
        <rFont val="Arial"/>
        <family val="2"/>
        <charset val="204"/>
      </rPr>
      <t>юз минг нафар</t>
    </r>
    <r>
      <rPr>
        <sz val="14"/>
        <color theme="1"/>
        <rFont val="Arial"/>
        <family val="2"/>
        <charset val="204"/>
      </rPr>
      <t xml:space="preserve"> ва ундан кўп кишидан иборат шаҳарларда</t>
    </r>
  </si>
  <si>
    <r>
      <t xml:space="preserve">бориш қийин бўлган ва </t>
    </r>
    <r>
      <rPr>
        <b/>
        <u/>
        <sz val="14"/>
        <color rgb="FF0070C0"/>
        <rFont val="Arial"/>
        <family val="2"/>
        <charset val="204"/>
      </rPr>
      <t>тоғли туманлар</t>
    </r>
    <r>
      <rPr>
        <sz val="14"/>
        <color theme="1"/>
        <rFont val="Arial"/>
        <family val="2"/>
        <charset val="204"/>
      </rPr>
      <t>да</t>
    </r>
  </si>
  <si>
    <r>
      <rPr>
        <b/>
        <u/>
        <sz val="14"/>
        <color rgb="FF0070C0"/>
        <rFont val="Arial"/>
        <family val="2"/>
        <charset val="204"/>
      </rPr>
      <t>Чакана савдо</t>
    </r>
    <r>
      <rPr>
        <sz val="14"/>
        <color theme="1"/>
        <rFont val="Arial"/>
        <family val="2"/>
        <charset val="204"/>
      </rPr>
      <t xml:space="preserve"> соҳасидаги солиқ тўловчилар
</t>
    </r>
    <r>
      <rPr>
        <i/>
        <sz val="14"/>
        <color rgb="FFC00000"/>
        <rFont val="Arial"/>
        <family val="2"/>
        <charset val="204"/>
      </rPr>
      <t>жойлашган жойига қараб</t>
    </r>
  </si>
  <si>
    <r>
      <t xml:space="preserve">жойлашган жойидан қатъи назар, </t>
    </r>
    <r>
      <rPr>
        <b/>
        <u/>
        <sz val="14"/>
        <color rgb="FF0070C0"/>
        <rFont val="Arial"/>
        <family val="2"/>
        <charset val="204"/>
      </rPr>
      <t>тамаки маҳсулотларини реализация қилишдан товар айланмаси</t>
    </r>
    <r>
      <rPr>
        <sz val="14"/>
        <color theme="1"/>
        <rFont val="Arial"/>
        <family val="2"/>
        <charset val="204"/>
      </rPr>
      <t xml:space="preserve"> бўйича</t>
    </r>
  </si>
  <si>
    <r>
      <t xml:space="preserve">Қуйидаги жойларда жойлашган </t>
    </r>
    <r>
      <rPr>
        <b/>
        <u/>
        <sz val="14"/>
        <color rgb="FF0070C0"/>
        <rFont val="Arial"/>
        <family val="2"/>
        <charset val="204"/>
      </rPr>
      <t xml:space="preserve">улгуржи ва чакана дорихона </t>
    </r>
    <r>
      <rPr>
        <sz val="14"/>
        <color theme="1"/>
        <rFont val="Arial"/>
        <family val="2"/>
        <charset val="204"/>
      </rPr>
      <t>ташкилотлари:</t>
    </r>
  </si>
  <si>
    <r>
      <rPr>
        <b/>
        <u/>
        <sz val="14"/>
        <color rgb="FF0070C0"/>
        <rFont val="Arial"/>
        <family val="2"/>
        <charset val="204"/>
      </rPr>
      <t>Қишлоқ хўжалиги маҳсулотларини сотиб олувчи</t>
    </r>
    <r>
      <rPr>
        <sz val="14"/>
        <color theme="1"/>
        <rFont val="Arial"/>
        <family val="2"/>
        <charset val="204"/>
      </rPr>
      <t xml:space="preserve">, сараловчи, сақловчи ва қадоқловчи тайёрлов ташкилотлари ҳамда </t>
    </r>
    <r>
      <rPr>
        <b/>
        <u/>
        <sz val="14"/>
        <color rgb="FF0070C0"/>
        <rFont val="Arial"/>
        <family val="2"/>
        <charset val="204"/>
      </rPr>
      <t>якка тартибдаги тадбиркорлар</t>
    </r>
  </si>
  <si>
    <r>
      <t xml:space="preserve">Товарларнинг (ишларнинг, хизматларнинг) </t>
    </r>
    <r>
      <rPr>
        <b/>
        <u/>
        <sz val="14"/>
        <color rgb="FF0070C0"/>
        <rFont val="Arial"/>
        <family val="2"/>
        <charset val="204"/>
      </rPr>
      <t>электрон савдо</t>
    </r>
    <r>
      <rPr>
        <sz val="14"/>
        <color theme="1"/>
        <rFont val="Arial"/>
        <family val="2"/>
        <charset val="204"/>
      </rPr>
      <t>сини амалга оширувчи солиқ тўловчилар (ушбу Кодекс 337-моддасининг бешинчи қисмида белгиланган қоидаларни инобатга олган ҳолда)</t>
    </r>
  </si>
  <si>
    <r>
      <t xml:space="preserve">Интирактив хизмат орқали </t>
    </r>
    <r>
      <rPr>
        <b/>
        <sz val="10"/>
        <color rgb="FF0070C0"/>
        <rFont val="Arial"/>
        <family val="2"/>
        <charset val="204"/>
      </rPr>
      <t>автомат шаклланади</t>
    </r>
  </si>
  <si>
    <t>Юридик шахс томонидан ижара тўловининг энг кам ставкасидан паст баҳода ёки текин фойдаланишга мол-мулкни ижарага бериш натижасида ҳосил бўлган солиқ солиш базаси</t>
  </si>
  <si>
    <r>
      <t xml:space="preserve">"E-ijara" ААТ орқали </t>
    </r>
    <r>
      <rPr>
        <b/>
        <sz val="10"/>
        <color rgb="FF0070C0"/>
        <rFont val="Arial"/>
        <family val="2"/>
        <charset val="204"/>
      </rPr>
      <t>автомат шаклланади</t>
    </r>
  </si>
  <si>
    <r>
      <t xml:space="preserve">Мазкур сатр 0201+..+0205 сатрлар йиғиндисидан </t>
    </r>
    <r>
      <rPr>
        <b/>
        <sz val="10"/>
        <color rgb="FF0070C0"/>
        <rFont val="Arial"/>
        <family val="2"/>
        <charset val="204"/>
      </rPr>
      <t>автомат шаклланади</t>
    </r>
  </si>
  <si>
    <r>
      <t xml:space="preserve">Бирламчи бухгалтерияда акс эттирилишини инобатга олиб, </t>
    </r>
    <r>
      <rPr>
        <b/>
        <sz val="12"/>
        <color rgb="FF0070C0"/>
        <rFont val="Arial"/>
        <family val="2"/>
        <charset val="204"/>
      </rPr>
      <t>қўлда тўлдирилади</t>
    </r>
    <r>
      <rPr>
        <sz val="12"/>
        <color rgb="FF0070C0"/>
        <rFont val="Arial"/>
        <family val="2"/>
        <charset val="204"/>
      </rPr>
      <t>.</t>
    </r>
  </si>
  <si>
    <r>
      <t xml:space="preserve">Интирактив хизмат орқали </t>
    </r>
    <r>
      <rPr>
        <b/>
        <sz val="12"/>
        <color rgb="FF0070C0"/>
        <rFont val="Arial"/>
        <family val="2"/>
        <charset val="204"/>
      </rPr>
      <t>автомат шаклланади</t>
    </r>
  </si>
  <si>
    <r>
      <rPr>
        <sz val="12"/>
        <color rgb="FF000000"/>
        <rFont val="Arial"/>
        <family val="2"/>
        <charset val="204"/>
      </rPr>
      <t xml:space="preserve">E-imtiyoz дастури (ID - 104037) орқали </t>
    </r>
    <r>
      <rPr>
        <b/>
        <sz val="12"/>
        <color rgb="FF0070C0"/>
        <rFont val="Arial"/>
        <family val="2"/>
        <charset val="204"/>
      </rPr>
      <t>автомат шаклланади</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</si>
</sst>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Red]\-#,##0.00\ "/>
    <numFmt numFmtId="165" formatCode="0_ ;[Red]\-0\ "/>
    <numFmt numFmtId="166" formatCode="#,##0.0"/>
    <numFmt numFmtId="167" formatCode="#,##0_ ;[Red]\-#,##0\ "/>
  </numFmts>
  <fonts count="63" x14ac:knownFonts="1">
    <font>
      <sz val="11"/>
      <color theme="1"/>
      <name val="Calibri"/>
      <family val="2"/>
      <charset val="204"/>
      <scheme val="minor"/>
    </font>
    <font>
      <sz val="14"/>
      <color theme="1"/>
      <name val="Arial"/>
      <family val="2"/>
      <charset val="204"/>
    </font>
    <font>
      <sz val="14"/>
      <color theme="1"/>
      <name val="Arial"/>
      <family val="2"/>
      <charset val="204"/>
    </font>
    <font>
      <sz val="14"/>
      <color theme="1"/>
      <name val="Arial"/>
      <family val="2"/>
      <charset val="204"/>
    </font>
    <font>
      <sz val="10"/>
      <color indexed="8"/>
      <name val="Arial"/>
      <family val="2"/>
      <charset val="204"/>
    </font>
    <font>
      <sz val="8"/>
      <name val="Calibri"/>
      <family val="2"/>
      <charset val="204"/>
    </font>
    <font>
      <sz val="10"/>
      <color indexed="9"/>
      <name val="Arial"/>
      <family val="2"/>
      <charset val="204"/>
    </font>
    <font>
      <sz val="10"/>
      <name val="Arial"/>
      <family val="2"/>
      <charset val="204"/>
    </font>
    <font>
      <sz val="10"/>
      <name val="Arial Cyr"/>
      <charset val="204"/>
    </font>
    <font>
      <sz val="10"/>
      <color theme="0"/>
      <name val="Arial"/>
      <family val="2"/>
      <charset val="204"/>
    </font>
    <font>
      <b/>
      <sz val="10"/>
      <name val="Arial"/>
      <family val="2"/>
      <charset val="204"/>
    </font>
    <font>
      <sz val="10"/>
      <color rgb="FFC00000"/>
      <name val="Arial"/>
      <family val="2"/>
      <charset val="204"/>
    </font>
    <font>
      <i/>
      <sz val="10"/>
      <name val="Arial"/>
      <family val="2"/>
      <charset val="204"/>
    </font>
    <font>
      <sz val="11"/>
      <color theme="1"/>
      <name val="Calibri"/>
      <family val="2"/>
      <charset val="204"/>
      <scheme val="minor"/>
    </font>
    <font>
      <b/>
      <sz val="10"/>
      <color rgb="FFC00000"/>
      <name val="Arial"/>
      <family val="2"/>
      <charset val="204"/>
    </font>
    <font>
      <sz val="11"/>
      <color indexed="8"/>
      <name val="Calibri"/>
      <family val="2"/>
    </font>
    <font>
      <sz val="11"/>
      <name val="Arial"/>
      <family val="2"/>
      <charset val="204"/>
    </font>
    <font>
      <b/>
      <sz val="11"/>
      <name val="Arial"/>
      <family val="2"/>
      <charset val="204"/>
    </font>
    <font>
      <sz val="12"/>
      <name val="Arial"/>
      <family val="2"/>
      <charset val="204"/>
    </font>
    <font>
      <sz val="12"/>
      <color indexed="8"/>
      <name val="Arial"/>
      <family val="2"/>
      <charset val="204"/>
    </font>
    <font>
      <b/>
      <sz val="12"/>
      <name val="Arial"/>
      <family val="2"/>
      <charset val="204"/>
    </font>
    <font>
      <sz val="12"/>
      <color rgb="FF000000"/>
      <name val="Arial"/>
      <family val="2"/>
      <charset val="204"/>
    </font>
    <font>
      <b/>
      <sz val="12"/>
      <color rgb="FF000000"/>
      <name val="Arial"/>
      <family val="2"/>
      <charset val="204"/>
    </font>
    <font>
      <b/>
      <sz val="12"/>
      <color indexed="8"/>
      <name val="Arial"/>
      <family val="2"/>
      <charset val="204"/>
    </font>
    <font>
      <b/>
      <i/>
      <sz val="10"/>
      <name val="Arial"/>
      <family val="2"/>
      <charset val="204"/>
    </font>
    <font>
      <sz val="18"/>
      <color rgb="FF002060"/>
      <name val="Arial"/>
      <family val="2"/>
      <charset val="204"/>
    </font>
    <font>
      <sz val="10"/>
      <color rgb="FFFF0000"/>
      <name val="Arial"/>
      <family val="2"/>
      <charset val="204"/>
    </font>
    <font>
      <u/>
      <sz val="12"/>
      <color rgb="FF000000"/>
      <name val="Arial"/>
      <family val="2"/>
      <charset val="204"/>
    </font>
    <font>
      <b/>
      <sz val="12"/>
      <color rgb="FF0070C0"/>
      <name val="Arial"/>
      <family val="2"/>
      <charset val="204"/>
    </font>
    <font>
      <b/>
      <sz val="12"/>
      <color rgb="FFC00000"/>
      <name val="Arial"/>
      <family val="2"/>
      <charset val="204"/>
    </font>
    <font>
      <b/>
      <sz val="10"/>
      <color rgb="FF000000"/>
      <name val="Arial"/>
      <family val="2"/>
      <charset val="204"/>
    </font>
    <font>
      <sz val="10"/>
      <color rgb="FF000000"/>
      <name val="Arial"/>
      <family val="2"/>
      <charset val="204"/>
    </font>
    <font>
      <b/>
      <sz val="10"/>
      <color indexed="8"/>
      <name val="Arial"/>
      <family val="2"/>
      <charset val="204"/>
    </font>
    <font>
      <sz val="11"/>
      <color indexed="8"/>
      <name val="Arial"/>
      <family val="2"/>
      <charset val="204"/>
    </font>
    <font>
      <i/>
      <sz val="12"/>
      <name val="Arial"/>
      <family val="2"/>
      <charset val="204"/>
    </font>
    <font>
      <i/>
      <sz val="11"/>
      <name val="Arial"/>
      <family val="2"/>
      <charset val="204"/>
    </font>
    <font>
      <b/>
      <sz val="10"/>
      <color rgb="FF0070C0"/>
      <name val="Arial"/>
      <family val="2"/>
      <charset val="204"/>
    </font>
    <font>
      <sz val="14"/>
      <name val="Arial"/>
      <family val="2"/>
      <charset val="204"/>
    </font>
    <font>
      <b/>
      <sz val="14"/>
      <color rgb="FFC00000"/>
      <name val="Arial"/>
      <family val="2"/>
      <charset val="204"/>
    </font>
    <font>
      <b/>
      <sz val="11"/>
      <color rgb="FF0070C0"/>
      <name val="Arial"/>
      <family val="2"/>
      <charset val="204"/>
    </font>
    <font>
      <i/>
      <sz val="12"/>
      <color rgb="FF000000"/>
      <name val="Arial"/>
      <family val="2"/>
      <charset val="204"/>
    </font>
    <font>
      <b/>
      <sz val="14"/>
      <name val="Arial"/>
      <family val="2"/>
      <charset val="204"/>
    </font>
    <font>
      <i/>
      <sz val="14"/>
      <name val="Arial"/>
      <family val="2"/>
      <charset val="204"/>
    </font>
    <font>
      <sz val="11"/>
      <color theme="1"/>
      <name val="Calibri"/>
      <family val="2"/>
      <scheme val="minor"/>
    </font>
    <font>
      <b/>
      <sz val="14"/>
      <color rgb="FF002060"/>
      <name val="Arial"/>
      <family val="2"/>
      <charset val="204"/>
    </font>
    <font>
      <b/>
      <sz val="14"/>
      <color rgb="FFFF0000"/>
      <name val="Arial"/>
      <family val="2"/>
      <charset val="204"/>
    </font>
    <font>
      <sz val="11"/>
      <color theme="1"/>
      <name val="Arial"/>
      <family val="2"/>
      <charset val="204"/>
    </font>
    <font>
      <sz val="11"/>
      <color rgb="FF0070C0"/>
      <name val="Arial"/>
      <family val="2"/>
      <charset val="204"/>
    </font>
    <font>
      <i/>
      <sz val="10"/>
      <color rgb="FFC00000"/>
      <name val="Arial"/>
      <family val="2"/>
      <charset val="204"/>
    </font>
    <font>
      <sz val="11"/>
      <color rgb="FFC00000"/>
      <name val="Arial"/>
      <family val="2"/>
      <charset val="204"/>
    </font>
    <font>
      <b/>
      <i/>
      <sz val="10"/>
      <color rgb="FFC00000"/>
      <name val="Arial"/>
      <family val="2"/>
      <charset val="204"/>
    </font>
    <font>
      <b/>
      <i/>
      <sz val="11"/>
      <name val="Arial"/>
      <family val="2"/>
      <charset val="204"/>
    </font>
    <font>
      <b/>
      <sz val="11"/>
      <color theme="1"/>
      <name val="Arial"/>
      <family val="2"/>
      <charset val="204"/>
    </font>
    <font>
      <sz val="10"/>
      <color theme="1"/>
      <name val="Arial"/>
      <family val="2"/>
      <charset val="204"/>
    </font>
    <font>
      <i/>
      <sz val="9"/>
      <color rgb="FF0070C0"/>
      <name val="Arial"/>
      <family val="2"/>
      <charset val="204"/>
    </font>
    <font>
      <i/>
      <sz val="10"/>
      <color theme="1"/>
      <name val="Arial"/>
      <family val="2"/>
      <charset val="204"/>
    </font>
    <font>
      <b/>
      <sz val="14"/>
      <color theme="1"/>
      <name val="Arial"/>
      <family val="2"/>
      <charset val="204"/>
    </font>
    <font>
      <b/>
      <sz val="14"/>
      <color rgb="FF0070C0"/>
      <name val="Arial"/>
      <family val="2"/>
      <charset val="204"/>
    </font>
    <font>
      <i/>
      <sz val="12"/>
      <color rgb="FFC00000"/>
      <name val="Arial"/>
      <family val="2"/>
      <charset val="204"/>
    </font>
    <font>
      <i/>
      <sz val="14"/>
      <color rgb="FFC00000"/>
      <name val="Arial"/>
      <family val="2"/>
      <charset val="204"/>
    </font>
    <font>
      <sz val="18"/>
      <color theme="1"/>
      <name val="Arial"/>
      <family val="2"/>
      <charset val="204"/>
    </font>
    <font>
      <b/>
      <u/>
      <sz val="14"/>
      <color rgb="FF0070C0"/>
      <name val="Arial"/>
      <family val="2"/>
      <charset val="204"/>
    </font>
    <font>
      <sz val="12"/>
      <color rgb="FF0070C0"/>
      <name val="Arial"/>
      <family val="2"/>
      <charset val="204"/>
    </font>
  </fonts>
  <fills count="8">
    <fill>
      <patternFill patternType="none"/>
    </fill>
    <fill>
      <patternFill patternType="gray125"/>
    </fill>
    <fill>
      <patternFill patternType="solid">
        <fgColor indexed="43"/>
        <bgColor indexed="64"/>
      </patternFill>
    </fill>
    <fill>
      <patternFill patternType="solid">
        <fgColor rgb="FFFAFD91"/>
        <bgColor indexed="64"/>
      </patternFill>
    </fill>
    <fill>
      <patternFill patternType="solid">
        <fgColor rgb="FFFFFFCC"/>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style="thin">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bottom style="hair">
        <color indexed="64"/>
      </bottom>
      <diagonal/>
    </border>
    <border>
      <left style="hair">
        <color indexed="64"/>
      </left>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diagonal/>
    </border>
    <border>
      <left style="hair">
        <color indexed="64"/>
      </left>
      <right/>
      <top style="hair">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thin">
        <color indexed="64"/>
      </left>
      <right style="thin">
        <color indexed="64"/>
      </right>
      <top/>
      <bottom style="thin">
        <color indexed="64"/>
      </bottom>
      <diagonal/>
    </border>
    <border>
      <left style="hair">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hair">
        <color indexed="64"/>
      </left>
      <right style="thin">
        <color indexed="64"/>
      </right>
      <top style="thin">
        <color indexed="64"/>
      </top>
      <bottom/>
      <diagonal/>
    </border>
    <border>
      <left style="hair">
        <color indexed="64"/>
      </left>
      <right style="thin">
        <color indexed="64"/>
      </right>
      <top/>
      <bottom/>
      <diagonal/>
    </border>
  </borders>
  <cellStyleXfs count="7">
    <xf numFmtId="0" fontId="0" fillId="0" borderId="0"/>
    <xf numFmtId="0" fontId="8" fillId="0" borderId="0"/>
    <xf numFmtId="0" fontId="15" fillId="4" borderId="25" applyNumberFormat="0" applyFont="0" applyAlignment="0" applyProtection="0"/>
    <xf numFmtId="0" fontId="13" fillId="0" borderId="0"/>
    <xf numFmtId="0" fontId="13" fillId="0" borderId="0"/>
    <xf numFmtId="0" fontId="43" fillId="0" borderId="0"/>
    <xf numFmtId="43" fontId="43" fillId="0" borderId="0" applyFont="0" applyFill="0" applyBorder="0" applyAlignment="0" applyProtection="0"/>
  </cellStyleXfs>
  <cellXfs count="352">
    <xf numFmtId="0" fontId="0" fillId="0" borderId="0" xfId="0"/>
    <xf numFmtId="0" fontId="4" fillId="0" borderId="0" xfId="0" applyFont="1" applyAlignment="1">
      <alignment vertical="center"/>
    </xf>
    <xf numFmtId="0" fontId="4" fillId="2" borderId="2" xfId="0" applyFont="1"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4" fillId="0" borderId="0" xfId="0" applyFont="1" applyAlignment="1">
      <alignment horizontal="center" vertical="center"/>
    </xf>
    <xf numFmtId="49" fontId="7" fillId="0" borderId="11" xfId="0" applyNumberFormat="1" applyFont="1" applyBorder="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wrapText="1"/>
    </xf>
    <xf numFmtId="49" fontId="7" fillId="0" borderId="0" xfId="0" applyNumberFormat="1" applyFont="1" applyAlignment="1">
      <alignment horizontal="center" vertical="center" wrapText="1"/>
    </xf>
    <xf numFmtId="164" fontId="7" fillId="0" borderId="0" xfId="0" applyNumberFormat="1" applyFont="1" applyAlignment="1">
      <alignment horizontal="center" vertical="center" wrapText="1"/>
    </xf>
    <xf numFmtId="164" fontId="7" fillId="0" borderId="0" xfId="0" applyNumberFormat="1" applyFont="1" applyAlignment="1">
      <alignment horizontal="right" vertical="center" wrapText="1"/>
    </xf>
    <xf numFmtId="0" fontId="10" fillId="0" borderId="0" xfId="0" applyFont="1" applyAlignment="1">
      <alignment vertical="center"/>
    </xf>
    <xf numFmtId="0" fontId="10" fillId="0" borderId="0" xfId="0" applyFont="1" applyAlignment="1">
      <alignment horizontal="left" vertical="center" indent="1"/>
    </xf>
    <xf numFmtId="0" fontId="7" fillId="0" borderId="0" xfId="0" applyFont="1"/>
    <xf numFmtId="164" fontId="7" fillId="0" borderId="0" xfId="0" applyNumberFormat="1" applyFont="1" applyAlignment="1">
      <alignment horizontal="center" wrapText="1"/>
    </xf>
    <xf numFmtId="0" fontId="4" fillId="0" borderId="0" xfId="0" applyFont="1" applyAlignment="1">
      <alignment horizontal="left" vertical="center" wrapText="1"/>
    </xf>
    <xf numFmtId="0" fontId="11" fillId="0" borderId="0" xfId="0" applyFont="1" applyAlignment="1">
      <alignment vertical="center"/>
    </xf>
    <xf numFmtId="49" fontId="4" fillId="0" borderId="0" xfId="0" applyNumberFormat="1" applyFont="1" applyAlignment="1">
      <alignment horizontal="center" vertical="center" wrapText="1"/>
    </xf>
    <xf numFmtId="0" fontId="10" fillId="0" borderId="4" xfId="0" applyFont="1" applyBorder="1" applyAlignment="1">
      <alignment horizontal="center" vertical="center" wrapText="1"/>
    </xf>
    <xf numFmtId="164" fontId="4" fillId="0" borderId="0" xfId="0" applyNumberFormat="1" applyFont="1" applyAlignment="1">
      <alignment horizontal="center" vertical="center" wrapText="1"/>
    </xf>
    <xf numFmtId="0" fontId="9" fillId="0" borderId="0" xfId="0" applyFont="1" applyAlignment="1">
      <alignment horizontal="center" wrapText="1"/>
    </xf>
    <xf numFmtId="0" fontId="9" fillId="0" borderId="0" xfId="0" applyFont="1"/>
    <xf numFmtId="166" fontId="4" fillId="2" borderId="9" xfId="0" applyNumberFormat="1" applyFont="1" applyFill="1" applyBorder="1" applyAlignment="1">
      <alignment horizontal="center" vertical="center" wrapText="1"/>
    </xf>
    <xf numFmtId="0" fontId="7" fillId="0" borderId="0" xfId="0" applyFont="1" applyAlignment="1">
      <alignment horizontal="center" wrapText="1"/>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4" fontId="7" fillId="0" borderId="0" xfId="0" applyNumberFormat="1" applyFont="1"/>
    <xf numFmtId="0" fontId="18" fillId="0" borderId="0" xfId="0" applyFont="1"/>
    <xf numFmtId="0" fontId="19" fillId="0" borderId="0" xfId="0" applyFont="1" applyAlignment="1">
      <alignment horizontal="left" vertical="center"/>
    </xf>
    <xf numFmtId="0" fontId="19" fillId="0" borderId="0" xfId="0" applyFont="1" applyAlignment="1">
      <alignment horizontal="right" vertical="center"/>
    </xf>
    <xf numFmtId="0" fontId="18" fillId="0" borderId="0" xfId="0" applyFont="1" applyAlignment="1">
      <alignment horizontal="left" vertical="top"/>
    </xf>
    <xf numFmtId="0" fontId="18" fillId="0" borderId="0" xfId="0" applyFont="1" applyAlignment="1">
      <alignment wrapText="1"/>
    </xf>
    <xf numFmtId="0" fontId="18" fillId="0" borderId="0" xfId="0" applyFont="1" applyAlignment="1">
      <alignment horizontal="center" wrapText="1"/>
    </xf>
    <xf numFmtId="0" fontId="19" fillId="0" borderId="0" xfId="0" applyFont="1" applyAlignment="1">
      <alignment horizontal="center" wrapText="1"/>
    </xf>
    <xf numFmtId="0" fontId="18" fillId="0" borderId="0" xfId="0" applyFont="1" applyAlignment="1">
      <alignment vertical="center"/>
    </xf>
    <xf numFmtId="0" fontId="18" fillId="0" borderId="3" xfId="0" applyFont="1" applyBorder="1" applyAlignment="1">
      <alignment vertical="center" wrapText="1"/>
    </xf>
    <xf numFmtId="0" fontId="18" fillId="0" borderId="15" xfId="0" applyFont="1" applyBorder="1" applyAlignment="1">
      <alignment vertical="center" wrapText="1"/>
    </xf>
    <xf numFmtId="0" fontId="18" fillId="0" borderId="0" xfId="0" applyFont="1" applyAlignment="1">
      <alignment vertical="center" wrapText="1"/>
    </xf>
    <xf numFmtId="0" fontId="19" fillId="2" borderId="2" xfId="0" applyFont="1" applyFill="1" applyBorder="1" applyAlignment="1">
      <alignment vertical="center"/>
    </xf>
    <xf numFmtId="0" fontId="19" fillId="0" borderId="0" xfId="0" applyFont="1" applyAlignment="1">
      <alignment vertical="center"/>
    </xf>
    <xf numFmtId="0" fontId="20" fillId="0" borderId="0" xfId="0" applyFont="1" applyAlignment="1">
      <alignment horizontal="left" vertical="center" indent="1"/>
    </xf>
    <xf numFmtId="0" fontId="23" fillId="0" borderId="0" xfId="0" applyFont="1" applyAlignment="1">
      <alignment vertical="center"/>
    </xf>
    <xf numFmtId="0" fontId="4" fillId="2" borderId="2" xfId="0" applyFont="1" applyFill="1" applyBorder="1" applyAlignment="1">
      <alignment horizontal="center" vertical="center"/>
    </xf>
    <xf numFmtId="166" fontId="14" fillId="0" borderId="0" xfId="0" applyNumberFormat="1" applyFont="1" applyAlignment="1">
      <alignment horizontal="center" vertical="center"/>
    </xf>
    <xf numFmtId="0" fontId="19" fillId="0" borderId="0" xfId="0" applyFont="1" applyAlignment="1">
      <alignment horizontal="center" vertical="center"/>
    </xf>
    <xf numFmtId="0" fontId="23" fillId="0" borderId="0" xfId="0" applyFont="1" applyAlignment="1">
      <alignment horizontal="center" vertical="center"/>
    </xf>
    <xf numFmtId="0" fontId="23" fillId="0" borderId="3" xfId="0" applyFont="1" applyBorder="1" applyAlignment="1">
      <alignment horizontal="center" vertical="center" wrapText="1"/>
    </xf>
    <xf numFmtId="0" fontId="23" fillId="0" borderId="1"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0" xfId="0" applyFont="1" applyAlignment="1">
      <alignment horizontal="center" vertical="center" wrapText="1"/>
    </xf>
    <xf numFmtId="164" fontId="19" fillId="2" borderId="4" xfId="0" applyNumberFormat="1" applyFont="1" applyFill="1" applyBorder="1" applyAlignment="1">
      <alignment horizontal="center" vertical="center" wrapText="1"/>
    </xf>
    <xf numFmtId="164" fontId="19" fillId="2" borderId="17" xfId="0" applyNumberFormat="1" applyFont="1" applyFill="1" applyBorder="1" applyAlignment="1">
      <alignment horizontal="center" vertical="center" wrapText="1"/>
    </xf>
    <xf numFmtId="164" fontId="19" fillId="2" borderId="11" xfId="0" applyNumberFormat="1" applyFont="1" applyFill="1" applyBorder="1" applyAlignment="1">
      <alignment horizontal="center" vertical="center" wrapText="1"/>
    </xf>
    <xf numFmtId="0" fontId="20" fillId="0" borderId="3" xfId="0" applyFont="1" applyBorder="1" applyAlignment="1">
      <alignment horizontal="left" vertical="center" wrapText="1"/>
    </xf>
    <xf numFmtId="49" fontId="18" fillId="0" borderId="1" xfId="0" applyNumberFormat="1" applyFont="1" applyBorder="1" applyAlignment="1">
      <alignment horizontal="center" vertical="center" wrapText="1"/>
    </xf>
    <xf numFmtId="49" fontId="18" fillId="0" borderId="16" xfId="0" applyNumberFormat="1" applyFont="1" applyBorder="1" applyAlignment="1">
      <alignment horizontal="center" vertical="center" wrapText="1"/>
    </xf>
    <xf numFmtId="49" fontId="18" fillId="0" borderId="11" xfId="0" applyNumberFormat="1" applyFont="1" applyBorder="1" applyAlignment="1">
      <alignment horizontal="center" vertical="center" wrapText="1"/>
    </xf>
    <xf numFmtId="49" fontId="18" fillId="0" borderId="14" xfId="0" applyNumberFormat="1" applyFont="1" applyBorder="1" applyAlignment="1">
      <alignment horizontal="center" vertical="center" wrapText="1"/>
    </xf>
    <xf numFmtId="0" fontId="20" fillId="0" borderId="0" xfId="0" applyFont="1" applyAlignment="1">
      <alignment vertical="center"/>
    </xf>
    <xf numFmtId="49" fontId="7" fillId="0" borderId="16" xfId="0" applyNumberFormat="1" applyFont="1" applyBorder="1" applyAlignment="1">
      <alignment horizontal="center" vertical="center" wrapText="1"/>
    </xf>
    <xf numFmtId="165" fontId="9" fillId="0" borderId="0" xfId="0" applyNumberFormat="1" applyFont="1" applyAlignment="1">
      <alignment vertical="center"/>
    </xf>
    <xf numFmtId="0" fontId="19" fillId="0" borderId="0" xfId="0" applyFont="1"/>
    <xf numFmtId="0" fontId="18" fillId="2" borderId="2" xfId="0" applyFont="1" applyFill="1" applyBorder="1"/>
    <xf numFmtId="14" fontId="18" fillId="2" borderId="2" xfId="0" applyNumberFormat="1" applyFont="1" applyFill="1" applyBorder="1"/>
    <xf numFmtId="0" fontId="7" fillId="2" borderId="0" xfId="0" applyFont="1" applyFill="1" applyAlignment="1">
      <alignment horizontal="center" vertical="center"/>
    </xf>
    <xf numFmtId="49" fontId="7" fillId="0" borderId="14" xfId="0" applyNumberFormat="1" applyFont="1" applyBorder="1" applyAlignment="1">
      <alignment horizontal="center" vertical="center" wrapText="1"/>
    </xf>
    <xf numFmtId="164" fontId="7" fillId="2" borderId="19" xfId="0" applyNumberFormat="1" applyFont="1" applyFill="1" applyBorder="1" applyAlignment="1">
      <alignment horizontal="center" vertical="center" wrapText="1"/>
    </xf>
    <xf numFmtId="164" fontId="7" fillId="2" borderId="27" xfId="0" applyNumberFormat="1" applyFont="1" applyFill="1" applyBorder="1" applyAlignment="1">
      <alignment horizontal="center" vertical="center" wrapText="1"/>
    </xf>
    <xf numFmtId="0" fontId="10" fillId="0" borderId="36" xfId="0" applyFont="1" applyBorder="1" applyAlignment="1">
      <alignment horizontal="center" vertical="center" wrapText="1"/>
    </xf>
    <xf numFmtId="0" fontId="10" fillId="0" borderId="38" xfId="0" applyFont="1" applyBorder="1" applyAlignment="1">
      <alignment horizontal="center" vertical="center" wrapText="1"/>
    </xf>
    <xf numFmtId="0" fontId="18" fillId="2" borderId="1" xfId="0" applyFont="1" applyFill="1" applyBorder="1" applyAlignment="1">
      <alignment horizontal="center" vertical="center"/>
    </xf>
    <xf numFmtId="0" fontId="18" fillId="2" borderId="2" xfId="0" applyFont="1" applyFill="1" applyBorder="1" applyAlignment="1">
      <alignment horizontal="center" vertical="center"/>
    </xf>
    <xf numFmtId="164" fontId="16" fillId="0" borderId="0" xfId="0" applyNumberFormat="1" applyFont="1" applyAlignment="1">
      <alignment horizontal="center" vertical="center" wrapText="1"/>
    </xf>
    <xf numFmtId="164" fontId="7" fillId="2" borderId="32" xfId="0" applyNumberFormat="1" applyFont="1" applyFill="1" applyBorder="1" applyAlignment="1">
      <alignment horizontal="center" vertical="center" wrapText="1"/>
    </xf>
    <xf numFmtId="0" fontId="11" fillId="0" borderId="0" xfId="0" applyFont="1"/>
    <xf numFmtId="164" fontId="19" fillId="2" borderId="13" xfId="0" applyNumberFormat="1" applyFont="1" applyFill="1" applyBorder="1" applyAlignment="1">
      <alignment horizontal="center" vertical="center" wrapText="1"/>
    </xf>
    <xf numFmtId="0" fontId="24" fillId="0" borderId="0" xfId="0" applyFont="1" applyAlignment="1">
      <alignment vertical="center" wrapText="1"/>
    </xf>
    <xf numFmtId="0" fontId="12" fillId="0" borderId="0" xfId="0" applyFont="1" applyAlignment="1">
      <alignment vertical="center" wrapText="1"/>
    </xf>
    <xf numFmtId="164" fontId="19" fillId="2" borderId="10" xfId="0" applyNumberFormat="1" applyFont="1" applyFill="1" applyBorder="1" applyAlignment="1">
      <alignment horizontal="center" vertical="center" wrapText="1"/>
    </xf>
    <xf numFmtId="49" fontId="18" fillId="0" borderId="8" xfId="0" applyNumberFormat="1" applyFont="1" applyBorder="1" applyAlignment="1">
      <alignment horizontal="center" vertical="center" wrapText="1"/>
    </xf>
    <xf numFmtId="164" fontId="19" fillId="2" borderId="7" xfId="0" applyNumberFormat="1" applyFont="1" applyFill="1" applyBorder="1" applyAlignment="1">
      <alignment horizontal="center" vertical="center" wrapText="1"/>
    </xf>
    <xf numFmtId="166" fontId="4" fillId="2" borderId="42" xfId="0" applyNumberFormat="1" applyFont="1" applyFill="1" applyBorder="1" applyAlignment="1">
      <alignment horizontal="center" vertical="center" wrapText="1"/>
    </xf>
    <xf numFmtId="166" fontId="4" fillId="2" borderId="12" xfId="0" applyNumberFormat="1" applyFont="1" applyFill="1" applyBorder="1" applyAlignment="1">
      <alignment horizontal="center" vertical="center" wrapText="1"/>
    </xf>
    <xf numFmtId="0" fontId="4" fillId="0" borderId="0" xfId="0" applyFont="1" applyAlignment="1">
      <alignment horizontal="right" vertical="center" wrapText="1" shrinkToFit="1"/>
    </xf>
    <xf numFmtId="164" fontId="26" fillId="0" borderId="0" xfId="0" applyNumberFormat="1" applyFont="1" applyAlignment="1">
      <alignment horizontal="center" vertical="center" wrapText="1"/>
    </xf>
    <xf numFmtId="0" fontId="23" fillId="0" borderId="0" xfId="0" applyFont="1" applyAlignment="1">
      <alignment horizontal="left" vertical="center" indent="1"/>
    </xf>
    <xf numFmtId="0" fontId="19" fillId="2" borderId="2" xfId="0" applyFont="1" applyFill="1" applyBorder="1" applyAlignment="1">
      <alignment horizontal="left" vertical="center"/>
    </xf>
    <xf numFmtId="0" fontId="25" fillId="0" borderId="0" xfId="0" applyFont="1" applyAlignment="1">
      <alignment horizontal="center" vertical="center" wrapText="1" shrinkToFit="1"/>
    </xf>
    <xf numFmtId="0" fontId="23" fillId="0" borderId="3" xfId="0" applyFont="1" applyBorder="1" applyAlignment="1">
      <alignment horizontal="left" vertical="center" wrapText="1"/>
    </xf>
    <xf numFmtId="49" fontId="18" fillId="0" borderId="44" xfId="0" applyNumberFormat="1" applyFont="1" applyBorder="1" applyAlignment="1">
      <alignment horizontal="center" vertical="center" wrapText="1"/>
    </xf>
    <xf numFmtId="164" fontId="19" fillId="2" borderId="45" xfId="0" applyNumberFormat="1" applyFont="1" applyFill="1" applyBorder="1" applyAlignment="1">
      <alignment horizontal="center" vertical="center" wrapText="1"/>
    </xf>
    <xf numFmtId="164" fontId="19" fillId="0" borderId="9" xfId="0" applyNumberFormat="1" applyFont="1" applyBorder="1" applyAlignment="1">
      <alignment horizontal="center" vertical="center" wrapText="1"/>
    </xf>
    <xf numFmtId="164" fontId="18" fillId="2" borderId="10" xfId="0" applyNumberFormat="1" applyFont="1" applyFill="1" applyBorder="1" applyAlignment="1">
      <alignment horizontal="center" vertical="center" wrapText="1"/>
    </xf>
    <xf numFmtId="0" fontId="4" fillId="5" borderId="0" xfId="0" applyFont="1" applyFill="1" applyAlignment="1">
      <alignment vertical="center"/>
    </xf>
    <xf numFmtId="164" fontId="26" fillId="5" borderId="0" xfId="0" applyNumberFormat="1" applyFont="1" applyFill="1" applyAlignment="1">
      <alignment horizontal="center" vertical="center" wrapText="1"/>
    </xf>
    <xf numFmtId="0" fontId="4" fillId="5" borderId="0" xfId="0" applyFont="1" applyFill="1" applyAlignment="1">
      <alignment horizontal="left" vertical="center" wrapText="1"/>
    </xf>
    <xf numFmtId="0" fontId="23" fillId="5" borderId="0" xfId="0" applyFont="1" applyFill="1" applyAlignment="1">
      <alignment horizontal="left" vertical="center" indent="1"/>
    </xf>
    <xf numFmtId="0" fontId="19" fillId="5" borderId="0" xfId="0" applyFont="1" applyFill="1" applyAlignment="1">
      <alignment vertical="center"/>
    </xf>
    <xf numFmtId="0" fontId="23" fillId="5" borderId="0" xfId="0" applyFont="1" applyFill="1" applyAlignment="1">
      <alignment vertical="center"/>
    </xf>
    <xf numFmtId="0" fontId="17" fillId="0" borderId="0" xfId="0" applyFont="1" applyAlignment="1">
      <alignment horizontal="center" vertical="center"/>
    </xf>
    <xf numFmtId="0" fontId="7" fillId="0" borderId="0" xfId="0" applyFont="1" applyAlignment="1">
      <alignment horizontal="left" vertical="center" wrapText="1" indent="1"/>
    </xf>
    <xf numFmtId="4" fontId="19" fillId="2" borderId="10" xfId="0" applyNumberFormat="1" applyFont="1" applyFill="1" applyBorder="1" applyAlignment="1">
      <alignment horizontal="center" vertical="center" wrapText="1"/>
    </xf>
    <xf numFmtId="164" fontId="19" fillId="2" borderId="1" xfId="0" applyNumberFormat="1" applyFont="1" applyFill="1" applyBorder="1" applyAlignment="1">
      <alignment horizontal="center" vertical="center" wrapText="1"/>
    </xf>
    <xf numFmtId="164" fontId="19" fillId="2" borderId="24" xfId="0" applyNumberFormat="1" applyFont="1" applyFill="1" applyBorder="1" applyAlignment="1">
      <alignment horizontal="center" vertical="center" wrapText="1"/>
    </xf>
    <xf numFmtId="166" fontId="4" fillId="2" borderId="43" xfId="0" applyNumberFormat="1" applyFont="1" applyFill="1" applyBorder="1" applyAlignment="1">
      <alignment horizontal="center" vertical="center" wrapText="1"/>
    </xf>
    <xf numFmtId="0" fontId="7" fillId="0" borderId="0" xfId="0" applyFont="1" applyAlignment="1">
      <alignment horizontal="right" vertical="center"/>
    </xf>
    <xf numFmtId="0" fontId="30" fillId="0" borderId="3" xfId="0" applyFont="1" applyBorder="1" applyAlignment="1">
      <alignment horizontal="left" vertical="center" wrapText="1" indent="1"/>
    </xf>
    <xf numFmtId="49" fontId="7" fillId="0" borderId="1" xfId="0" quotePrefix="1" applyNumberFormat="1" applyFont="1" applyBorder="1" applyAlignment="1">
      <alignment horizontal="center" vertical="center" wrapText="1"/>
    </xf>
    <xf numFmtId="0" fontId="31" fillId="0" borderId="15" xfId="0" applyFont="1" applyBorder="1" applyAlignment="1">
      <alignment horizontal="left" vertical="center" wrapText="1" indent="2"/>
    </xf>
    <xf numFmtId="49" fontId="7" fillId="0" borderId="16" xfId="0" quotePrefix="1" applyNumberFormat="1" applyFont="1" applyBorder="1" applyAlignment="1">
      <alignment horizontal="center" vertical="center" wrapText="1"/>
    </xf>
    <xf numFmtId="0" fontId="31" fillId="0" borderId="9" xfId="0" applyFont="1" applyBorder="1" applyAlignment="1">
      <alignment horizontal="left" vertical="center" wrapText="1" indent="2"/>
    </xf>
    <xf numFmtId="49" fontId="7" fillId="0" borderId="11" xfId="0" quotePrefix="1" applyNumberFormat="1" applyFont="1" applyBorder="1" applyAlignment="1">
      <alignment horizontal="center" vertical="center" wrapText="1"/>
    </xf>
    <xf numFmtId="0" fontId="7" fillId="0" borderId="9" xfId="0" applyFont="1" applyBorder="1" applyAlignment="1">
      <alignment horizontal="left" vertical="center" wrapText="1" indent="2"/>
    </xf>
    <xf numFmtId="0" fontId="31" fillId="0" borderId="12" xfId="0" applyFont="1" applyBorder="1" applyAlignment="1">
      <alignment horizontal="left" vertical="center" wrapText="1" indent="2"/>
    </xf>
    <xf numFmtId="49" fontId="7" fillId="0" borderId="14" xfId="0" quotePrefix="1" applyNumberFormat="1" applyFont="1" applyBorder="1" applyAlignment="1">
      <alignment horizontal="center" vertical="center" wrapText="1"/>
    </xf>
    <xf numFmtId="0" fontId="10" fillId="0" borderId="3" xfId="0" applyFont="1" applyBorder="1" applyAlignment="1">
      <alignment horizontal="left" vertical="center" wrapText="1" indent="1"/>
    </xf>
    <xf numFmtId="0" fontId="4" fillId="0" borderId="9" xfId="0" applyFont="1" applyBorder="1" applyAlignment="1">
      <alignment horizontal="left" vertical="center" wrapText="1" indent="2"/>
    </xf>
    <xf numFmtId="0" fontId="32" fillId="0" borderId="3" xfId="0" applyFont="1" applyBorder="1" applyAlignment="1">
      <alignment horizontal="left" vertical="center" wrapText="1" indent="1"/>
    </xf>
    <xf numFmtId="0" fontId="4" fillId="0" borderId="15" xfId="0" applyFont="1" applyBorder="1" applyAlignment="1">
      <alignment horizontal="left" vertical="center" wrapText="1" indent="2"/>
    </xf>
    <xf numFmtId="0" fontId="4" fillId="0" borderId="12" xfId="0" applyFont="1" applyBorder="1" applyAlignment="1">
      <alignment horizontal="left" vertical="center" wrapText="1" indent="2"/>
    </xf>
    <xf numFmtId="0" fontId="4" fillId="0" borderId="42" xfId="0" applyFont="1" applyBorder="1" applyAlignment="1">
      <alignment horizontal="left" vertical="center" wrapText="1" indent="2"/>
    </xf>
    <xf numFmtId="49" fontId="7" fillId="0" borderId="8" xfId="0" applyNumberFormat="1" applyFont="1" applyBorder="1" applyAlignment="1">
      <alignment horizontal="center" vertical="center" wrapText="1"/>
    </xf>
    <xf numFmtId="0" fontId="18" fillId="0" borderId="15" xfId="0" applyFont="1" applyBorder="1" applyAlignment="1">
      <alignment horizontal="justify" vertical="center" wrapText="1"/>
    </xf>
    <xf numFmtId="0" fontId="18" fillId="0" borderId="9" xfId="0" applyFont="1" applyBorder="1" applyAlignment="1">
      <alignment horizontal="justify" vertical="center" wrapText="1"/>
    </xf>
    <xf numFmtId="0" fontId="10" fillId="0" borderId="35" xfId="0" applyFont="1" applyBorder="1" applyAlignment="1">
      <alignment horizontal="center" vertical="center" wrapText="1"/>
    </xf>
    <xf numFmtId="164" fontId="7" fillId="2" borderId="26" xfId="0" applyNumberFormat="1" applyFont="1" applyFill="1" applyBorder="1" applyAlignment="1">
      <alignment horizontal="center" vertical="center" wrapText="1"/>
    </xf>
    <xf numFmtId="164" fontId="7" fillId="2" borderId="18" xfId="0" applyNumberFormat="1" applyFont="1" applyFill="1" applyBorder="1" applyAlignment="1">
      <alignment horizontal="center" vertical="center" wrapText="1"/>
    </xf>
    <xf numFmtId="0" fontId="10" fillId="0" borderId="39" xfId="0" applyFont="1" applyBorder="1" applyAlignment="1">
      <alignment horizontal="center" vertical="center" wrapText="1"/>
    </xf>
    <xf numFmtId="0" fontId="10" fillId="0" borderId="40" xfId="0" applyFont="1" applyBorder="1" applyAlignment="1">
      <alignment horizontal="center" vertical="center" wrapText="1"/>
    </xf>
    <xf numFmtId="0" fontId="10" fillId="0" borderId="41" xfId="0" applyFont="1" applyBorder="1" applyAlignment="1">
      <alignment horizontal="center" vertical="center" wrapText="1"/>
    </xf>
    <xf numFmtId="0" fontId="34" fillId="0" borderId="9" xfId="0" applyFont="1" applyBorder="1" applyAlignment="1">
      <alignment horizontal="justify" vertical="center" wrapText="1"/>
    </xf>
    <xf numFmtId="0" fontId="18" fillId="0" borderId="43" xfId="0" applyFont="1" applyBorder="1" applyAlignment="1">
      <alignment horizontal="justify" vertical="center" wrapText="1"/>
    </xf>
    <xf numFmtId="166" fontId="7" fillId="2" borderId="9" xfId="0" applyNumberFormat="1" applyFont="1" applyFill="1" applyBorder="1" applyAlignment="1">
      <alignment horizontal="center" vertical="center" wrapText="1"/>
    </xf>
    <xf numFmtId="0" fontId="34" fillId="0" borderId="9" xfId="0" applyFont="1" applyBorder="1" applyAlignment="1">
      <alignment horizontal="left" vertical="center" wrapText="1"/>
    </xf>
    <xf numFmtId="0" fontId="18" fillId="6" borderId="43" xfId="0" applyFont="1" applyFill="1" applyBorder="1" applyAlignment="1">
      <alignment horizontal="justify" vertical="center" wrapText="1"/>
    </xf>
    <xf numFmtId="0" fontId="25" fillId="0" borderId="0" xfId="0" applyFont="1" applyAlignment="1">
      <alignment vertical="center" wrapText="1" shrinkToFit="1"/>
    </xf>
    <xf numFmtId="49" fontId="7" fillId="0" borderId="44" xfId="0" applyNumberFormat="1" applyFont="1" applyBorder="1" applyAlignment="1">
      <alignment horizontal="center" vertical="center" wrapText="1"/>
    </xf>
    <xf numFmtId="164" fontId="7" fillId="2" borderId="39" xfId="0" applyNumberFormat="1" applyFont="1" applyFill="1" applyBorder="1" applyAlignment="1">
      <alignment horizontal="center" vertical="center" wrapText="1"/>
    </xf>
    <xf numFmtId="164" fontId="7" fillId="2" borderId="40" xfId="0" applyNumberFormat="1" applyFont="1" applyFill="1" applyBorder="1" applyAlignment="1">
      <alignment horizontal="center" vertical="center" wrapText="1"/>
    </xf>
    <xf numFmtId="164" fontId="7" fillId="2" borderId="41" xfId="0" applyNumberFormat="1" applyFont="1" applyFill="1" applyBorder="1" applyAlignment="1">
      <alignment horizontal="center" vertical="center" wrapText="1"/>
    </xf>
    <xf numFmtId="0" fontId="34" fillId="0" borderId="3" xfId="0" applyFont="1" applyBorder="1" applyAlignment="1">
      <alignment horizontal="left" vertical="center" wrapText="1"/>
    </xf>
    <xf numFmtId="0" fontId="34" fillId="0" borderId="0" xfId="0" applyFont="1" applyAlignment="1">
      <alignment vertical="center" wrapText="1"/>
    </xf>
    <xf numFmtId="0" fontId="20" fillId="7" borderId="0" xfId="0" applyFont="1" applyFill="1" applyAlignment="1">
      <alignment horizontal="center" vertical="center" wrapText="1"/>
    </xf>
    <xf numFmtId="164" fontId="7" fillId="7" borderId="0" xfId="0" applyNumberFormat="1" applyFont="1" applyFill="1" applyAlignment="1">
      <alignment horizontal="right" vertical="center" wrapText="1"/>
    </xf>
    <xf numFmtId="0" fontId="36" fillId="0" borderId="1" xfId="0" applyFont="1" applyBorder="1" applyAlignment="1">
      <alignment horizontal="center" vertical="center" wrapText="1"/>
    </xf>
    <xf numFmtId="0" fontId="7" fillId="0" borderId="1" xfId="0" applyFont="1" applyBorder="1" applyAlignment="1">
      <alignment horizontal="left" vertical="center" wrapText="1" indent="1"/>
    </xf>
    <xf numFmtId="164" fontId="31"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6" fontId="7" fillId="0" borderId="1" xfId="0" applyNumberFormat="1" applyFont="1" applyBorder="1" applyAlignment="1">
      <alignment horizontal="left" vertical="center" wrapText="1" indent="1"/>
    </xf>
    <xf numFmtId="0" fontId="28" fillId="0" borderId="1" xfId="0" applyFont="1" applyBorder="1" applyAlignment="1">
      <alignment horizontal="center" vertical="center" wrapText="1"/>
    </xf>
    <xf numFmtId="0" fontId="18" fillId="0" borderId="1" xfId="0" applyFont="1" applyBorder="1" applyAlignment="1">
      <alignment horizontal="left" vertical="center" wrapText="1" indent="1"/>
    </xf>
    <xf numFmtId="166" fontId="18" fillId="0" borderId="1" xfId="0" applyNumberFormat="1" applyFont="1" applyBorder="1" applyAlignment="1">
      <alignment horizontal="left" vertical="center" wrapText="1" indent="1"/>
    </xf>
    <xf numFmtId="166" fontId="19" fillId="0" borderId="11" xfId="0" applyNumberFormat="1" applyFont="1" applyBorder="1" applyAlignment="1">
      <alignment horizontal="left" vertical="center" wrapText="1" indent="1"/>
    </xf>
    <xf numFmtId="0" fontId="20" fillId="0" borderId="1" xfId="0" applyFont="1" applyBorder="1" applyAlignment="1">
      <alignment horizontal="left" vertical="center"/>
    </xf>
    <xf numFmtId="0" fontId="20" fillId="0" borderId="1" xfId="0" applyFont="1" applyBorder="1" applyAlignment="1">
      <alignment horizontal="center" vertical="center"/>
    </xf>
    <xf numFmtId="0" fontId="18" fillId="0" borderId="1" xfId="0" applyFont="1" applyBorder="1" applyAlignment="1">
      <alignment horizontal="left" vertical="center"/>
    </xf>
    <xf numFmtId="0" fontId="18" fillId="0" borderId="1" xfId="0" applyFont="1" applyBorder="1" applyAlignment="1">
      <alignment horizontal="center" vertical="center"/>
    </xf>
    <xf numFmtId="0" fontId="35" fillId="0" borderId="1" xfId="0" applyFont="1" applyBorder="1" applyAlignment="1">
      <alignment horizontal="left" vertical="center" wrapText="1"/>
    </xf>
    <xf numFmtId="0" fontId="35" fillId="0" borderId="1" xfId="0" applyFont="1" applyBorder="1" applyAlignment="1">
      <alignment horizontal="center" vertical="center"/>
    </xf>
    <xf numFmtId="0" fontId="41" fillId="0" borderId="1" xfId="0" applyFont="1" applyBorder="1" applyAlignment="1">
      <alignment horizontal="left" vertical="center"/>
    </xf>
    <xf numFmtId="0" fontId="41" fillId="0" borderId="1" xfId="0" applyFont="1" applyBorder="1" applyAlignment="1">
      <alignment horizontal="center" vertical="center"/>
    </xf>
    <xf numFmtId="0" fontId="37" fillId="0" borderId="1" xfId="0" applyFont="1" applyBorder="1" applyAlignment="1">
      <alignment horizontal="left" vertical="center"/>
    </xf>
    <xf numFmtId="0" fontId="37" fillId="0" borderId="1" xfId="0" applyFont="1" applyBorder="1" applyAlignment="1">
      <alignment horizontal="center" vertical="center"/>
    </xf>
    <xf numFmtId="0" fontId="42" fillId="0" borderId="1" xfId="0" applyFont="1" applyBorder="1" applyAlignment="1">
      <alignment horizontal="left" vertical="center" wrapText="1"/>
    </xf>
    <xf numFmtId="0" fontId="42" fillId="0" borderId="1" xfId="0" applyFont="1" applyBorder="1" applyAlignment="1">
      <alignment horizontal="center" vertical="center"/>
    </xf>
    <xf numFmtId="0" fontId="46" fillId="0" borderId="0" xfId="5" applyFont="1"/>
    <xf numFmtId="0" fontId="46" fillId="0" borderId="0" xfId="5" applyFont="1" applyAlignment="1">
      <alignment horizontal="center"/>
    </xf>
    <xf numFmtId="0" fontId="46" fillId="0" borderId="0" xfId="5" applyFont="1" applyAlignment="1">
      <alignment horizontal="center" vertical="center"/>
    </xf>
    <xf numFmtId="167" fontId="39" fillId="0" borderId="35" xfId="5" applyNumberFormat="1" applyFont="1" applyBorder="1" applyAlignment="1">
      <alignment horizontal="center" vertical="center" wrapText="1"/>
    </xf>
    <xf numFmtId="167" fontId="50" fillId="0" borderId="36" xfId="5" applyNumberFormat="1" applyFont="1" applyBorder="1" applyAlignment="1">
      <alignment horizontal="center" vertical="center" wrapText="1"/>
    </xf>
    <xf numFmtId="167" fontId="51" fillId="0" borderId="36" xfId="5" applyNumberFormat="1" applyFont="1" applyBorder="1" applyAlignment="1">
      <alignment horizontal="center" vertical="center" wrapText="1"/>
    </xf>
    <xf numFmtId="167" fontId="51" fillId="0" borderId="37" xfId="5" applyNumberFormat="1" applyFont="1" applyBorder="1" applyAlignment="1">
      <alignment horizontal="center" vertical="center" wrapText="1"/>
    </xf>
    <xf numFmtId="167" fontId="17" fillId="0" borderId="35" xfId="5" applyNumberFormat="1" applyFont="1" applyBorder="1" applyAlignment="1">
      <alignment horizontal="center" vertical="center" wrapText="1"/>
    </xf>
    <xf numFmtId="167" fontId="50" fillId="0" borderId="38" xfId="5" applyNumberFormat="1" applyFont="1" applyBorder="1" applyAlignment="1">
      <alignment horizontal="center" vertical="center" wrapText="1"/>
    </xf>
    <xf numFmtId="167" fontId="52" fillId="0" borderId="0" xfId="5" applyNumberFormat="1" applyFont="1" applyAlignment="1">
      <alignment horizontal="left" vertical="center"/>
    </xf>
    <xf numFmtId="167" fontId="52" fillId="0" borderId="0" xfId="5" applyNumberFormat="1" applyFont="1" applyAlignment="1">
      <alignment horizontal="center" vertical="center"/>
    </xf>
    <xf numFmtId="0" fontId="52" fillId="0" borderId="0" xfId="5" applyFont="1" applyAlignment="1">
      <alignment horizontal="left" vertical="center"/>
    </xf>
    <xf numFmtId="0" fontId="16" fillId="0" borderId="15" xfId="5" applyFont="1" applyBorder="1" applyAlignment="1">
      <alignment horizontal="center" vertical="center"/>
    </xf>
    <xf numFmtId="0" fontId="17" fillId="0" borderId="15" xfId="5" applyFont="1" applyBorder="1" applyAlignment="1">
      <alignment horizontal="left" vertical="center" wrapText="1" indent="1"/>
    </xf>
    <xf numFmtId="167" fontId="47" fillId="0" borderId="26" xfId="6" applyNumberFormat="1" applyFont="1" applyFill="1" applyBorder="1" applyAlignment="1">
      <alignment horizontal="center" vertical="center" wrapText="1"/>
    </xf>
    <xf numFmtId="167" fontId="48" fillId="0" borderId="27" xfId="6" applyNumberFormat="1" applyFont="1" applyFill="1" applyBorder="1" applyAlignment="1">
      <alignment horizontal="center" vertical="center" wrapText="1"/>
    </xf>
    <xf numFmtId="167" fontId="35" fillId="0" borderId="27" xfId="6" applyNumberFormat="1" applyFont="1" applyBorder="1" applyAlignment="1">
      <alignment horizontal="center" vertical="center" wrapText="1"/>
    </xf>
    <xf numFmtId="167" fontId="35" fillId="0" borderId="28" xfId="6" applyNumberFormat="1" applyFont="1" applyBorder="1" applyAlignment="1">
      <alignment horizontal="center" vertical="center" wrapText="1"/>
    </xf>
    <xf numFmtId="167" fontId="16" fillId="0" borderId="26" xfId="6" applyNumberFormat="1" applyFont="1" applyBorder="1" applyAlignment="1">
      <alignment horizontal="center" vertical="center" wrapText="1"/>
    </xf>
    <xf numFmtId="167" fontId="48" fillId="0" borderId="33" xfId="6" applyNumberFormat="1" applyFont="1" applyBorder="1" applyAlignment="1">
      <alignment horizontal="center" vertical="center" wrapText="1"/>
    </xf>
    <xf numFmtId="0" fontId="46" fillId="0" borderId="0" xfId="5" applyFont="1" applyAlignment="1">
      <alignment horizontal="left" vertical="center"/>
    </xf>
    <xf numFmtId="0" fontId="16" fillId="0" borderId="9" xfId="5" applyFont="1" applyBorder="1" applyAlignment="1">
      <alignment horizontal="center" vertical="center"/>
    </xf>
    <xf numFmtId="0" fontId="16" fillId="0" borderId="9" xfId="5" applyFont="1" applyBorder="1" applyAlignment="1">
      <alignment horizontal="left" vertical="center" wrapText="1" indent="1"/>
    </xf>
    <xf numFmtId="167" fontId="47" fillId="0" borderId="18" xfId="6" applyNumberFormat="1" applyFont="1" applyFill="1" applyBorder="1" applyAlignment="1">
      <alignment horizontal="center" vertical="center" wrapText="1"/>
    </xf>
    <xf numFmtId="167" fontId="48" fillId="0" borderId="19" xfId="6" applyNumberFormat="1" applyFont="1" applyFill="1" applyBorder="1" applyAlignment="1">
      <alignment horizontal="center" vertical="center" wrapText="1"/>
    </xf>
    <xf numFmtId="167" fontId="35" fillId="0" borderId="19" xfId="6" applyNumberFormat="1" applyFont="1" applyFill="1" applyBorder="1" applyAlignment="1">
      <alignment horizontal="center" vertical="center" wrapText="1"/>
    </xf>
    <xf numFmtId="167" fontId="35" fillId="0" borderId="20" xfId="6" applyNumberFormat="1" applyFont="1" applyFill="1" applyBorder="1" applyAlignment="1">
      <alignment horizontal="center" vertical="center" wrapText="1"/>
    </xf>
    <xf numFmtId="167" fontId="16" fillId="0" borderId="18" xfId="6" applyNumberFormat="1" applyFont="1" applyFill="1" applyBorder="1" applyAlignment="1">
      <alignment horizontal="center" vertical="center" wrapText="1"/>
    </xf>
    <xf numFmtId="167" fontId="48" fillId="0" borderId="32" xfId="6" applyNumberFormat="1" applyFont="1" applyBorder="1" applyAlignment="1">
      <alignment horizontal="center" vertical="center" wrapText="1"/>
    </xf>
    <xf numFmtId="0" fontId="16" fillId="0" borderId="12" xfId="5" applyFont="1" applyBorder="1" applyAlignment="1">
      <alignment horizontal="center" vertical="center"/>
    </xf>
    <xf numFmtId="0" fontId="16" fillId="0" borderId="12" xfId="5" applyFont="1" applyBorder="1" applyAlignment="1">
      <alignment horizontal="left" vertical="center" wrapText="1" indent="1"/>
    </xf>
    <xf numFmtId="167" fontId="47" fillId="0" borderId="21" xfId="6" applyNumberFormat="1" applyFont="1" applyFill="1" applyBorder="1" applyAlignment="1">
      <alignment horizontal="center" vertical="center" wrapText="1"/>
    </xf>
    <xf numFmtId="167" fontId="48" fillId="0" borderId="22" xfId="6" applyNumberFormat="1" applyFont="1" applyFill="1" applyBorder="1" applyAlignment="1">
      <alignment horizontal="center" vertical="center" wrapText="1"/>
    </xf>
    <xf numFmtId="167" fontId="35" fillId="0" borderId="22" xfId="6" applyNumberFormat="1" applyFont="1" applyBorder="1" applyAlignment="1">
      <alignment horizontal="center" vertical="center" wrapText="1"/>
    </xf>
    <xf numFmtId="167" fontId="35" fillId="0" borderId="23" xfId="6" applyNumberFormat="1" applyFont="1" applyBorder="1" applyAlignment="1">
      <alignment horizontal="center" vertical="center" wrapText="1"/>
    </xf>
    <xf numFmtId="167" fontId="16" fillId="0" borderId="21" xfId="6" applyNumberFormat="1" applyFont="1" applyBorder="1" applyAlignment="1">
      <alignment horizontal="center" vertical="center" wrapText="1"/>
    </xf>
    <xf numFmtId="167" fontId="48" fillId="0" borderId="58" xfId="6" applyNumberFormat="1" applyFont="1" applyBorder="1" applyAlignment="1">
      <alignment horizontal="center" vertical="center" wrapText="1"/>
    </xf>
    <xf numFmtId="0" fontId="46" fillId="0" borderId="0" xfId="5" applyFont="1" applyAlignment="1">
      <alignment horizontal="center" wrapText="1"/>
    </xf>
    <xf numFmtId="0" fontId="48" fillId="0" borderId="0" xfId="5" applyFont="1" applyAlignment="1">
      <alignment horizontal="center" wrapText="1"/>
    </xf>
    <xf numFmtId="0" fontId="53" fillId="0" borderId="0" xfId="5" applyFont="1" applyAlignment="1">
      <alignment horizontal="center" wrapText="1"/>
    </xf>
    <xf numFmtId="0" fontId="54" fillId="0" borderId="0" xfId="5" applyFont="1" applyAlignment="1">
      <alignment horizontal="right"/>
    </xf>
    <xf numFmtId="0" fontId="55" fillId="0" borderId="0" xfId="5" applyFont="1"/>
    <xf numFmtId="167" fontId="17" fillId="7" borderId="1" xfId="5" applyNumberFormat="1" applyFont="1" applyFill="1" applyBorder="1" applyAlignment="1">
      <alignment horizontal="center" vertical="center" wrapText="1"/>
    </xf>
    <xf numFmtId="167" fontId="16" fillId="7" borderId="16" xfId="6" applyNumberFormat="1" applyFont="1" applyFill="1" applyBorder="1" applyAlignment="1">
      <alignment horizontal="center" vertical="center" wrapText="1"/>
    </xf>
    <xf numFmtId="167" fontId="16" fillId="7" borderId="11" xfId="6" applyNumberFormat="1" applyFont="1" applyFill="1" applyBorder="1" applyAlignment="1">
      <alignment horizontal="center" vertical="center" wrapText="1"/>
    </xf>
    <xf numFmtId="167" fontId="16" fillId="7" borderId="14" xfId="6" applyNumberFormat="1" applyFont="1" applyFill="1" applyBorder="1" applyAlignment="1">
      <alignment horizontal="center" vertical="center" wrapText="1"/>
    </xf>
    <xf numFmtId="164" fontId="19" fillId="0" borderId="15" xfId="0" applyNumberFormat="1" applyFont="1" applyBorder="1" applyAlignment="1">
      <alignment horizontal="center" vertical="center" wrapText="1"/>
    </xf>
    <xf numFmtId="0" fontId="20" fillId="0" borderId="1" xfId="0" applyFont="1" applyBorder="1" applyAlignment="1">
      <alignment horizontal="center" vertical="center" wrapText="1"/>
    </xf>
    <xf numFmtId="164" fontId="22" fillId="0" borderId="1" xfId="0" applyNumberFormat="1" applyFont="1" applyBorder="1" applyAlignment="1">
      <alignment horizontal="center" vertical="center" wrapText="1"/>
    </xf>
    <xf numFmtId="164" fontId="19" fillId="0" borderId="1" xfId="0" applyNumberFormat="1" applyFont="1" applyBorder="1" applyAlignment="1">
      <alignment horizontal="center" vertical="center" wrapText="1"/>
    </xf>
    <xf numFmtId="0" fontId="4" fillId="0" borderId="1" xfId="0" applyFont="1" applyBorder="1" applyAlignment="1">
      <alignment vertical="center"/>
    </xf>
    <xf numFmtId="164" fontId="21" fillId="0" borderId="1" xfId="0" applyNumberFormat="1" applyFont="1" applyBorder="1" applyAlignment="1">
      <alignment horizontal="center" vertical="center" wrapText="1"/>
    </xf>
    <xf numFmtId="0" fontId="52" fillId="0" borderId="0" xfId="0" applyFont="1"/>
    <xf numFmtId="0" fontId="46" fillId="0" borderId="0" xfId="0" applyFont="1"/>
    <xf numFmtId="0" fontId="46" fillId="0" borderId="35" xfId="0" applyFont="1" applyBorder="1" applyAlignment="1">
      <alignment horizontal="center" vertical="center"/>
    </xf>
    <xf numFmtId="0" fontId="57" fillId="0" borderId="36" xfId="0" applyFont="1" applyBorder="1" applyAlignment="1">
      <alignment horizontal="center" vertical="center" wrapText="1"/>
    </xf>
    <xf numFmtId="0" fontId="3" fillId="0" borderId="38" xfId="0" applyFont="1" applyBorder="1" applyAlignment="1">
      <alignment horizontal="center" wrapText="1"/>
    </xf>
    <xf numFmtId="0" fontId="3" fillId="0" borderId="35"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59" xfId="0" applyFont="1" applyBorder="1" applyAlignment="1">
      <alignment horizontal="center" vertical="center" wrapText="1"/>
    </xf>
    <xf numFmtId="0" fontId="60" fillId="0" borderId="63" xfId="0" applyFont="1" applyBorder="1" applyAlignment="1">
      <alignment horizontal="center" vertical="center" wrapText="1"/>
    </xf>
    <xf numFmtId="49" fontId="3" fillId="0" borderId="35" xfId="0" applyNumberFormat="1" applyFont="1" applyBorder="1" applyAlignment="1">
      <alignment horizontal="center" vertical="center" wrapText="1"/>
    </xf>
    <xf numFmtId="0" fontId="2" fillId="0" borderId="36" xfId="0" applyFont="1" applyBorder="1" applyAlignment="1">
      <alignment horizontal="center" vertical="center" wrapText="1"/>
    </xf>
    <xf numFmtId="0" fontId="2" fillId="0" borderId="38" xfId="0" applyFont="1" applyBorder="1" applyAlignment="1">
      <alignment horizontal="center" vertical="center" wrapText="1"/>
    </xf>
    <xf numFmtId="0" fontId="61" fillId="0" borderId="36" xfId="0" applyFont="1" applyBorder="1" applyAlignment="1">
      <alignment horizontal="center" vertical="center" wrapText="1"/>
    </xf>
    <xf numFmtId="164" fontId="7" fillId="3" borderId="4" xfId="0" applyNumberFormat="1" applyFont="1" applyFill="1" applyBorder="1" applyAlignment="1">
      <alignment horizontal="center" vertical="center" wrapText="1"/>
    </xf>
    <xf numFmtId="164" fontId="7" fillId="3" borderId="17" xfId="0" applyNumberFormat="1" applyFont="1" applyFill="1" applyBorder="1" applyAlignment="1">
      <alignment horizontal="center" vertical="center" wrapText="1"/>
    </xf>
    <xf numFmtId="164" fontId="7" fillId="3" borderId="7" xfId="0" applyNumberFormat="1" applyFont="1" applyFill="1" applyBorder="1" applyAlignment="1">
      <alignment horizontal="center" vertical="center" wrapText="1"/>
    </xf>
    <xf numFmtId="164" fontId="7" fillId="3" borderId="5" xfId="0" applyNumberFormat="1" applyFont="1" applyFill="1" applyBorder="1" applyAlignment="1">
      <alignment horizontal="center" vertical="center" wrapText="1"/>
    </xf>
    <xf numFmtId="164" fontId="18" fillId="0" borderId="1" xfId="0" applyNumberFormat="1" applyFont="1" applyBorder="1" applyAlignment="1">
      <alignment horizontal="center" vertical="center" wrapText="1"/>
    </xf>
    <xf numFmtId="166" fontId="4" fillId="2" borderId="55" xfId="0" applyNumberFormat="1" applyFont="1" applyFill="1" applyBorder="1" applyAlignment="1">
      <alignment horizontal="center" vertical="center" wrapText="1"/>
    </xf>
    <xf numFmtId="49" fontId="18" fillId="0" borderId="55" xfId="0" applyNumberFormat="1" applyFont="1" applyBorder="1" applyAlignment="1">
      <alignment horizontal="center" vertical="center" wrapText="1"/>
    </xf>
    <xf numFmtId="0" fontId="18" fillId="0" borderId="53" xfId="0" applyFont="1" applyBorder="1" applyAlignment="1">
      <alignment horizontal="justify" vertical="center" wrapText="1"/>
    </xf>
    <xf numFmtId="0" fontId="56" fillId="0" borderId="0" xfId="0" applyFont="1" applyAlignment="1">
      <alignment horizontal="center" wrapText="1"/>
    </xf>
    <xf numFmtId="0" fontId="17" fillId="0" borderId="3" xfId="5" applyFont="1" applyBorder="1" applyAlignment="1">
      <alignment horizontal="center" vertical="center"/>
    </xf>
    <xf numFmtId="0" fontId="17" fillId="0" borderId="54" xfId="5" applyFont="1" applyBorder="1" applyAlignment="1">
      <alignment horizontal="center" vertical="center"/>
    </xf>
    <xf numFmtId="0" fontId="49" fillId="0" borderId="60" xfId="5" applyFont="1" applyBorder="1" applyAlignment="1">
      <alignment horizontal="center" vertical="center" wrapText="1"/>
    </xf>
    <xf numFmtId="0" fontId="49" fillId="0" borderId="61" xfId="5" applyFont="1" applyBorder="1" applyAlignment="1">
      <alignment horizontal="center" vertical="center" wrapText="1"/>
    </xf>
    <xf numFmtId="0" fontId="49" fillId="0" borderId="48" xfId="5" applyFont="1" applyBorder="1" applyAlignment="1">
      <alignment horizontal="center" vertical="center" wrapText="1"/>
    </xf>
    <xf numFmtId="0" fontId="48" fillId="0" borderId="62" xfId="5" applyFont="1" applyBorder="1" applyAlignment="1">
      <alignment horizontal="center" vertical="center" wrapText="1"/>
    </xf>
    <xf numFmtId="0" fontId="48" fillId="0" borderId="63" xfId="5" applyFont="1" applyBorder="1" applyAlignment="1">
      <alignment horizontal="center" vertical="center" wrapText="1"/>
    </xf>
    <xf numFmtId="0" fontId="48" fillId="0" borderId="51" xfId="5" applyFont="1" applyBorder="1" applyAlignment="1">
      <alignment horizontal="center" vertical="center" wrapText="1"/>
    </xf>
    <xf numFmtId="0" fontId="12" fillId="0" borderId="40" xfId="5" applyFont="1" applyBorder="1" applyAlignment="1">
      <alignment horizontal="center" vertical="center" wrapText="1"/>
    </xf>
    <xf numFmtId="0" fontId="12" fillId="0" borderId="49" xfId="5" applyFont="1" applyBorder="1" applyAlignment="1">
      <alignment horizontal="center" vertical="center" wrapText="1"/>
    </xf>
    <xf numFmtId="0" fontId="12" fillId="0" borderId="41" xfId="5" applyFont="1" applyBorder="1" applyAlignment="1">
      <alignment horizontal="center" vertical="center" wrapText="1"/>
    </xf>
    <xf numFmtId="0" fontId="12" fillId="0" borderId="51" xfId="5" applyFont="1" applyBorder="1" applyAlignment="1">
      <alignment horizontal="center" vertical="center" wrapText="1"/>
    </xf>
    <xf numFmtId="0" fontId="44" fillId="0" borderId="2" xfId="5" applyFont="1" applyBorder="1" applyAlignment="1">
      <alignment horizontal="center" vertical="center" wrapText="1"/>
    </xf>
    <xf numFmtId="0" fontId="16" fillId="0" borderId="46" xfId="5" applyFont="1" applyBorder="1" applyAlignment="1">
      <alignment horizontal="center" vertical="center" wrapText="1"/>
    </xf>
    <xf numFmtId="0" fontId="16" fillId="0" borderId="55" xfId="5" applyFont="1" applyBorder="1" applyAlignment="1">
      <alignment horizontal="center" vertical="center" wrapText="1"/>
    </xf>
    <xf numFmtId="0" fontId="16" fillId="0" borderId="50" xfId="5" applyFont="1" applyBorder="1" applyAlignment="1">
      <alignment horizontal="center" vertical="center" wrapText="1"/>
    </xf>
    <xf numFmtId="0" fontId="16" fillId="0" borderId="56" xfId="5" applyFont="1" applyBorder="1" applyAlignment="1">
      <alignment horizontal="center" vertical="center" wrapText="1"/>
    </xf>
    <xf numFmtId="0" fontId="16" fillId="0" borderId="52" xfId="5" applyFont="1" applyBorder="1" applyAlignment="1">
      <alignment horizontal="center" vertical="center" wrapText="1"/>
    </xf>
    <xf numFmtId="0" fontId="16" fillId="0" borderId="53" xfId="5" applyFont="1" applyBorder="1" applyAlignment="1">
      <alignment horizontal="center" vertical="center" wrapText="1"/>
    </xf>
    <xf numFmtId="0" fontId="16" fillId="7" borderId="46" xfId="5" applyFont="1" applyFill="1" applyBorder="1" applyAlignment="1">
      <alignment horizontal="center" vertical="center" wrapText="1"/>
    </xf>
    <xf numFmtId="0" fontId="16" fillId="7" borderId="55" xfId="5" applyFont="1" applyFill="1" applyBorder="1" applyAlignment="1">
      <alignment horizontal="center" vertical="center" wrapText="1"/>
    </xf>
    <xf numFmtId="0" fontId="16" fillId="7" borderId="50" xfId="5" applyFont="1" applyFill="1" applyBorder="1" applyAlignment="1">
      <alignment horizontal="center" vertical="center" wrapText="1"/>
    </xf>
    <xf numFmtId="0" fontId="16" fillId="7" borderId="3" xfId="5" applyFont="1" applyFill="1" applyBorder="1" applyAlignment="1">
      <alignment horizontal="center" vertical="center" wrapText="1"/>
    </xf>
    <xf numFmtId="0" fontId="16" fillId="7" borderId="54" xfId="5" applyFont="1" applyFill="1" applyBorder="1" applyAlignment="1">
      <alignment horizontal="center" vertical="center" wrapText="1"/>
    </xf>
    <xf numFmtId="0" fontId="16" fillId="7" borderId="4" xfId="5" applyFont="1" applyFill="1" applyBorder="1" applyAlignment="1">
      <alignment horizontal="center" vertical="center" wrapText="1"/>
    </xf>
    <xf numFmtId="0" fontId="47" fillId="0" borderId="60" xfId="5" applyFont="1" applyBorder="1" applyAlignment="1">
      <alignment horizontal="center" vertical="center" wrapText="1"/>
    </xf>
    <xf numFmtId="0" fontId="47" fillId="0" borderId="61" xfId="5" applyFont="1" applyBorder="1" applyAlignment="1">
      <alignment horizontal="center" vertical="center" wrapText="1"/>
    </xf>
    <xf numFmtId="0" fontId="47" fillId="0" borderId="48" xfId="5" applyFont="1" applyBorder="1" applyAlignment="1">
      <alignment horizontal="center" vertical="center" wrapText="1"/>
    </xf>
    <xf numFmtId="0" fontId="48" fillId="0" borderId="57" xfId="5" applyFont="1" applyBorder="1" applyAlignment="1">
      <alignment horizontal="center" vertical="center" wrapText="1"/>
    </xf>
    <xf numFmtId="0" fontId="48" fillId="0" borderId="59" xfId="5" applyFont="1" applyBorder="1" applyAlignment="1">
      <alignment horizontal="center" vertical="center" wrapText="1"/>
    </xf>
    <xf numFmtId="0" fontId="48" fillId="0" borderId="49" xfId="5" applyFont="1" applyBorder="1" applyAlignment="1">
      <alignment horizontal="center" vertical="center" wrapText="1"/>
    </xf>
    <xf numFmtId="0" fontId="12" fillId="0" borderId="34" xfId="5" applyFont="1" applyBorder="1" applyAlignment="1">
      <alignment horizontal="center" vertical="center" wrapText="1"/>
    </xf>
    <xf numFmtId="0" fontId="12" fillId="0" borderId="7" xfId="5" applyFont="1" applyBorder="1" applyAlignment="1">
      <alignment horizontal="center" vertical="center" wrapText="1"/>
    </xf>
    <xf numFmtId="164" fontId="4" fillId="0" borderId="3" xfId="0" applyNumberFormat="1" applyFont="1" applyBorder="1" applyAlignment="1">
      <alignment horizontal="center" vertical="center" wrapText="1"/>
    </xf>
    <xf numFmtId="164" fontId="4" fillId="0" borderId="54"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39" fillId="0" borderId="1" xfId="0" applyFont="1" applyBorder="1" applyAlignment="1">
      <alignment horizontal="center" vertical="center" wrapText="1"/>
    </xf>
    <xf numFmtId="0" fontId="17" fillId="0" borderId="0" xfId="0" applyFont="1" applyAlignment="1">
      <alignment horizontal="center" vertical="center"/>
    </xf>
    <xf numFmtId="0" fontId="7" fillId="0" borderId="18" xfId="0" applyFont="1" applyBorder="1" applyAlignment="1">
      <alignment horizontal="left" vertical="center" wrapText="1" indent="1"/>
    </xf>
    <xf numFmtId="0" fontId="7" fillId="0" borderId="19" xfId="0" applyFont="1" applyBorder="1" applyAlignment="1">
      <alignment horizontal="left" vertical="center" wrapText="1" indent="1"/>
    </xf>
    <xf numFmtId="0" fontId="7" fillId="0" borderId="20" xfId="0" applyFont="1" applyBorder="1" applyAlignment="1">
      <alignment horizontal="left" vertical="center" wrapText="1" inden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7" fillId="0" borderId="26" xfId="0" applyFont="1" applyBorder="1" applyAlignment="1">
      <alignment horizontal="left" vertical="center" wrapText="1" indent="1"/>
    </xf>
    <xf numFmtId="0" fontId="7" fillId="0" borderId="27" xfId="0" applyFont="1" applyBorder="1" applyAlignment="1">
      <alignment horizontal="left" vertical="center" wrapText="1" indent="1"/>
    </xf>
    <xf numFmtId="0" fontId="7" fillId="0" borderId="28" xfId="0" applyFont="1" applyBorder="1" applyAlignment="1">
      <alignment horizontal="left" vertical="center" wrapText="1" indent="1"/>
    </xf>
    <xf numFmtId="164" fontId="7" fillId="2" borderId="19"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40" xfId="0" applyFont="1" applyBorder="1" applyAlignment="1">
      <alignment horizontal="center" vertical="center" wrapText="1"/>
    </xf>
    <xf numFmtId="164" fontId="7" fillId="2" borderId="27" xfId="0" applyNumberFormat="1" applyFont="1" applyFill="1" applyBorder="1" applyAlignment="1">
      <alignment horizontal="center" vertical="center" wrapText="1"/>
    </xf>
    <xf numFmtId="0" fontId="10" fillId="0" borderId="31"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4" xfId="0" applyFont="1" applyBorder="1" applyAlignment="1">
      <alignment horizontal="center" vertical="center" wrapText="1"/>
    </xf>
    <xf numFmtId="0" fontId="7" fillId="0" borderId="0" xfId="0" applyFont="1" applyAlignment="1">
      <alignment horizontal="center"/>
    </xf>
    <xf numFmtId="0" fontId="18" fillId="2" borderId="2" xfId="0" applyFont="1" applyFill="1" applyBorder="1" applyAlignment="1">
      <alignment horizontal="center" vertical="center" wrapText="1"/>
    </xf>
    <xf numFmtId="0" fontId="4" fillId="0" borderId="0" xfId="0" applyFont="1" applyAlignment="1">
      <alignment horizontal="center" vertical="top"/>
    </xf>
    <xf numFmtId="0" fontId="19" fillId="0" borderId="0" xfId="0" applyFont="1" applyAlignment="1">
      <alignment horizontal="center"/>
    </xf>
    <xf numFmtId="0" fontId="18" fillId="2" borderId="2" xfId="0" applyFont="1" applyFill="1" applyBorder="1" applyAlignment="1">
      <alignment horizontal="center"/>
    </xf>
    <xf numFmtId="0" fontId="19" fillId="0" borderId="0" xfId="0" applyFont="1" applyAlignment="1">
      <alignment horizontal="center" vertical="center"/>
    </xf>
    <xf numFmtId="0" fontId="19" fillId="0" borderId="24" xfId="0" applyFont="1" applyBorder="1" applyAlignment="1">
      <alignment horizontal="center" vertical="center"/>
    </xf>
    <xf numFmtId="0" fontId="19" fillId="0" borderId="0" xfId="0" applyFont="1" applyAlignment="1">
      <alignment horizontal="right" vertical="center"/>
    </xf>
    <xf numFmtId="0" fontId="18" fillId="0" borderId="0" xfId="0" applyFont="1" applyAlignment="1">
      <alignment horizontal="center"/>
    </xf>
    <xf numFmtId="0" fontId="18" fillId="0" borderId="0" xfId="0" applyFont="1" applyAlignment="1">
      <alignment horizontal="left"/>
    </xf>
    <xf numFmtId="0" fontId="18" fillId="0" borderId="0" xfId="0" applyFont="1" applyAlignment="1">
      <alignment horizontal="left" vertical="center" wrapText="1"/>
    </xf>
    <xf numFmtId="0" fontId="19" fillId="0" borderId="0" xfId="0" applyFont="1" applyAlignment="1">
      <alignment horizontal="left"/>
    </xf>
    <xf numFmtId="0" fontId="33" fillId="0" borderId="0" xfId="0" applyFont="1" applyAlignment="1">
      <alignment horizontal="left" vertical="center"/>
    </xf>
    <xf numFmtId="164" fontId="7" fillId="2" borderId="40" xfId="0" applyNumberFormat="1" applyFont="1" applyFill="1" applyBorder="1" applyAlignment="1">
      <alignment horizontal="center" vertical="center" wrapText="1"/>
    </xf>
    <xf numFmtId="0" fontId="7" fillId="2" borderId="2" xfId="0" applyFont="1" applyFill="1" applyBorder="1" applyAlignment="1">
      <alignment horizontal="center" vertical="center"/>
    </xf>
    <xf numFmtId="0" fontId="7" fillId="0" borderId="39" xfId="0" applyFont="1" applyBorder="1" applyAlignment="1">
      <alignment horizontal="left" vertical="center" wrapText="1" indent="1"/>
    </xf>
    <xf numFmtId="0" fontId="7" fillId="0" borderId="40" xfId="0" applyFont="1" applyBorder="1" applyAlignment="1">
      <alignment horizontal="left" vertical="center" wrapText="1" indent="1"/>
    </xf>
    <xf numFmtId="0" fontId="7" fillId="0" borderId="47" xfId="0" applyFont="1" applyBorder="1" applyAlignment="1">
      <alignment horizontal="left" vertical="center" wrapText="1" indent="1"/>
    </xf>
    <xf numFmtId="0" fontId="10" fillId="0" borderId="6" xfId="0" applyFont="1" applyBorder="1" applyAlignment="1">
      <alignment horizontal="left" vertical="center"/>
    </xf>
    <xf numFmtId="0" fontId="10" fillId="0" borderId="0" xfId="0" applyFont="1" applyAlignment="1">
      <alignment horizontal="left" vertical="center"/>
    </xf>
    <xf numFmtId="0" fontId="7" fillId="0" borderId="0" xfId="0" applyFont="1" applyAlignment="1">
      <alignment horizontal="left" vertical="center" wrapText="1"/>
    </xf>
    <xf numFmtId="164" fontId="7" fillId="2" borderId="18" xfId="0" applyNumberFormat="1" applyFont="1" applyFill="1" applyBorder="1" applyAlignment="1">
      <alignment horizontal="center" vertical="center" wrapText="1"/>
    </xf>
    <xf numFmtId="164" fontId="7" fillId="2" borderId="20" xfId="0" applyNumberFormat="1" applyFont="1" applyFill="1" applyBorder="1" applyAlignment="1">
      <alignment horizontal="center" vertical="center" wrapText="1"/>
    </xf>
    <xf numFmtId="164" fontId="7" fillId="0" borderId="18" xfId="0" applyNumberFormat="1" applyFont="1" applyBorder="1" applyAlignment="1">
      <alignment horizontal="center" vertical="center" wrapText="1"/>
    </xf>
    <xf numFmtId="164" fontId="7" fillId="0" borderId="19" xfId="0" applyNumberFormat="1" applyFont="1" applyBorder="1" applyAlignment="1">
      <alignment horizontal="center" vertical="center" wrapText="1"/>
    </xf>
    <xf numFmtId="164" fontId="7" fillId="0" borderId="20" xfId="0" applyNumberFormat="1" applyFont="1" applyBorder="1" applyAlignment="1">
      <alignment horizontal="center" vertical="center" wrapText="1"/>
    </xf>
    <xf numFmtId="164" fontId="7" fillId="2" borderId="39" xfId="0" applyNumberFormat="1" applyFont="1" applyFill="1" applyBorder="1" applyAlignment="1">
      <alignment horizontal="center" vertical="center" wrapText="1"/>
    </xf>
    <xf numFmtId="164" fontId="7" fillId="2" borderId="47" xfId="0" applyNumberFormat="1" applyFont="1" applyFill="1" applyBorder="1" applyAlignment="1">
      <alignment horizontal="center" vertical="center" wrapText="1"/>
    </xf>
    <xf numFmtId="164" fontId="7" fillId="2" borderId="26" xfId="0" applyNumberFormat="1" applyFont="1" applyFill="1" applyBorder="1" applyAlignment="1">
      <alignment horizontal="center" vertical="center" wrapText="1"/>
    </xf>
    <xf numFmtId="164" fontId="7" fillId="2" borderId="28" xfId="0" applyNumberFormat="1" applyFont="1" applyFill="1" applyBorder="1" applyAlignment="1">
      <alignment horizontal="center" vertical="center" wrapText="1"/>
    </xf>
    <xf numFmtId="166" fontId="7" fillId="0" borderId="46" xfId="0" quotePrefix="1" applyNumberFormat="1" applyFont="1" applyBorder="1" applyAlignment="1">
      <alignment horizontal="center" vertical="center" wrapText="1"/>
    </xf>
    <xf numFmtId="166" fontId="7" fillId="0" borderId="55" xfId="0" applyNumberFormat="1" applyFont="1" applyBorder="1" applyAlignment="1">
      <alignment horizontal="center" vertical="center" wrapText="1"/>
    </xf>
    <xf numFmtId="166" fontId="7" fillId="0" borderId="50" xfId="0" applyNumberFormat="1" applyFont="1" applyBorder="1" applyAlignment="1">
      <alignment horizontal="center" vertical="center" wrapText="1"/>
    </xf>
    <xf numFmtId="166" fontId="7" fillId="0" borderId="46" xfId="0" applyNumberFormat="1" applyFont="1" applyBorder="1" applyAlignment="1">
      <alignment horizontal="center" vertical="center" wrapText="1"/>
    </xf>
    <xf numFmtId="0" fontId="20" fillId="0" borderId="0" xfId="0" applyFont="1" applyAlignment="1">
      <alignment horizontal="center" vertical="center"/>
    </xf>
    <xf numFmtId="166" fontId="18" fillId="0" borderId="46" xfId="0" applyNumberFormat="1" applyFont="1" applyBorder="1" applyAlignment="1">
      <alignment horizontal="center" vertical="center" wrapText="1"/>
    </xf>
    <xf numFmtId="166" fontId="18" fillId="0" borderId="55" xfId="0" applyNumberFormat="1" applyFont="1" applyBorder="1" applyAlignment="1">
      <alignment horizontal="center" vertical="center" wrapText="1"/>
    </xf>
    <xf numFmtId="166" fontId="18" fillId="0" borderId="50" xfId="0" applyNumberFormat="1" applyFont="1" applyBorder="1" applyAlignment="1">
      <alignment horizontal="center" vertical="center" wrapText="1"/>
    </xf>
    <xf numFmtId="0" fontId="34" fillId="0" borderId="0" xfId="0" applyFont="1" applyAlignment="1">
      <alignment horizontal="center" vertical="center" wrapText="1"/>
    </xf>
    <xf numFmtId="0" fontId="23" fillId="0" borderId="0" xfId="0" applyFont="1" applyAlignment="1">
      <alignment horizontal="center" vertical="center" wrapText="1"/>
    </xf>
    <xf numFmtId="0" fontId="20" fillId="0" borderId="0" xfId="0" applyFont="1" applyAlignment="1">
      <alignment horizontal="left" vertical="center" indent="1"/>
    </xf>
    <xf numFmtId="0" fontId="23" fillId="0" borderId="0" xfId="0" applyFont="1" applyAlignment="1">
      <alignment horizontal="center" vertical="center"/>
    </xf>
    <xf numFmtId="0" fontId="23" fillId="0" borderId="0" xfId="0" applyFont="1" applyAlignment="1">
      <alignment horizontal="left" vertical="center" indent="1"/>
    </xf>
    <xf numFmtId="164" fontId="21" fillId="0" borderId="1" xfId="0" applyNumberFormat="1" applyFont="1" applyBorder="1" applyAlignment="1">
      <alignment horizontal="center" vertical="center" wrapText="1"/>
    </xf>
    <xf numFmtId="164" fontId="23" fillId="0" borderId="1" xfId="0" applyNumberFormat="1" applyFont="1" applyBorder="1" applyAlignment="1">
      <alignment horizontal="center" vertical="center" wrapText="1"/>
    </xf>
    <xf numFmtId="164" fontId="19" fillId="0" borderId="1" xfId="0" applyNumberFormat="1" applyFont="1" applyBorder="1" applyAlignment="1">
      <alignment horizontal="center" vertical="center" wrapText="1"/>
    </xf>
    <xf numFmtId="164" fontId="19" fillId="0" borderId="15" xfId="0" applyNumberFormat="1" applyFont="1" applyBorder="1" applyAlignment="1">
      <alignment horizontal="center" vertical="center" wrapText="1"/>
    </xf>
    <xf numFmtId="164" fontId="19" fillId="0" borderId="17" xfId="0" applyNumberFormat="1" applyFont="1" applyBorder="1" applyAlignment="1">
      <alignment horizontal="center" vertical="center" wrapText="1"/>
    </xf>
    <xf numFmtId="164" fontId="19" fillId="0" borderId="9" xfId="0" applyNumberFormat="1" applyFont="1" applyBorder="1" applyAlignment="1">
      <alignment horizontal="center" vertical="center" wrapText="1"/>
    </xf>
    <xf numFmtId="164" fontId="19" fillId="0" borderId="10" xfId="0" applyNumberFormat="1" applyFont="1" applyBorder="1" applyAlignment="1">
      <alignment horizontal="center" vertical="center" wrapText="1"/>
    </xf>
    <xf numFmtId="164" fontId="7" fillId="2" borderId="33" xfId="0" applyNumberFormat="1" applyFont="1" applyFill="1" applyBorder="1" applyAlignment="1">
      <alignment horizontal="center" vertical="center" wrapText="1"/>
    </xf>
    <xf numFmtId="166" fontId="7" fillId="0" borderId="1" xfId="0" applyNumberFormat="1" applyFont="1" applyBorder="1" applyAlignment="1">
      <alignment horizontal="center" vertical="center" wrapText="1"/>
    </xf>
  </cellXfs>
  <cellStyles count="7">
    <cellStyle name="Обычный" xfId="0" builtinId="0"/>
    <cellStyle name="Обычный 1031" xfId="3" xr:uid="{9BDF4C98-16FA-44AE-BBD0-3A632705DD73}"/>
    <cellStyle name="Обычный 2" xfId="4" xr:uid="{90B5E3BE-6EC8-49E1-A5CE-A6F9EDF2BF72}"/>
    <cellStyle name="Обычный 2 2" xfId="1" xr:uid="{00000000-0005-0000-0000-000001000000}"/>
    <cellStyle name="Обычный 2 3" xfId="5" xr:uid="{06DE0041-4795-4DBB-A4D1-970F11D8F334}"/>
    <cellStyle name="Примечание 2" xfId="2" xr:uid="{00000000-0005-0000-0000-000002000000}"/>
    <cellStyle name="Финансовый 2" xfId="6" xr:uid="{F58D9B86-C8A0-40F3-B8FC-4E08E3E2E298}"/>
  </cellStyles>
  <dxfs count="0"/>
  <tableStyles count="0" defaultTableStyle="TableStyleMedium9" defaultPivotStyle="PivotStyleLight16"/>
  <colors>
    <mruColors>
      <color rgb="FFDAEEF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F9056-D973-44A3-A0E3-195022D22AFE}">
  <sheetPr>
    <pageSetUpPr fitToPage="1"/>
  </sheetPr>
  <dimension ref="A1:C17"/>
  <sheetViews>
    <sheetView view="pageBreakPreview" zoomScale="60" zoomScaleNormal="70" workbookViewId="0">
      <selection activeCell="B14" sqref="B14"/>
    </sheetView>
  </sheetViews>
  <sheetFormatPr defaultRowHeight="15" x14ac:dyDescent="0.25"/>
  <cols>
    <col min="1" max="1" width="6" style="219" customWidth="1"/>
    <col min="2" max="2" width="128.85546875" style="220" customWidth="1"/>
    <col min="3" max="3" width="31" style="220" customWidth="1"/>
  </cols>
  <sheetData>
    <row r="1" spans="1:3" ht="18" x14ac:dyDescent="0.25">
      <c r="A1" s="240" t="s">
        <v>269</v>
      </c>
      <c r="B1" s="240"/>
      <c r="C1" s="240"/>
    </row>
    <row r="3" spans="1:3" ht="51.75" customHeight="1" x14ac:dyDescent="0.3">
      <c r="A3" s="221" t="s">
        <v>254</v>
      </c>
      <c r="B3" s="222" t="s">
        <v>270</v>
      </c>
      <c r="C3" s="223" t="s">
        <v>271</v>
      </c>
    </row>
    <row r="4" spans="1:3" ht="37.5" customHeight="1" x14ac:dyDescent="0.25">
      <c r="A4" s="224" t="s">
        <v>272</v>
      </c>
      <c r="B4" s="229" t="s">
        <v>279</v>
      </c>
      <c r="C4" s="230">
        <v>4</v>
      </c>
    </row>
    <row r="5" spans="1:3" ht="37.5" customHeight="1" x14ac:dyDescent="0.25">
      <c r="A5" s="224" t="s">
        <v>273</v>
      </c>
      <c r="B5" s="229" t="s">
        <v>284</v>
      </c>
      <c r="C5" s="230"/>
    </row>
    <row r="6" spans="1:3" ht="37.5" customHeight="1" x14ac:dyDescent="0.25">
      <c r="A6" s="228"/>
      <c r="B6" s="229" t="s">
        <v>282</v>
      </c>
      <c r="C6" s="230">
        <v>4</v>
      </c>
    </row>
    <row r="7" spans="1:3" ht="37.5" customHeight="1" x14ac:dyDescent="0.25">
      <c r="A7" s="224"/>
      <c r="B7" s="231" t="s">
        <v>278</v>
      </c>
      <c r="C7" s="230">
        <v>2</v>
      </c>
    </row>
    <row r="8" spans="1:3" ht="37.5" customHeight="1" x14ac:dyDescent="0.25">
      <c r="A8" s="224"/>
      <c r="B8" s="229" t="s">
        <v>283</v>
      </c>
      <c r="C8" s="230">
        <v>1</v>
      </c>
    </row>
    <row r="9" spans="1:3" ht="37.5" customHeight="1" x14ac:dyDescent="0.25">
      <c r="A9" s="224"/>
      <c r="B9" s="229" t="s">
        <v>285</v>
      </c>
      <c r="C9" s="230">
        <v>4</v>
      </c>
    </row>
    <row r="10" spans="1:3" ht="37.5" customHeight="1" x14ac:dyDescent="0.25">
      <c r="A10" s="224" t="s">
        <v>274</v>
      </c>
      <c r="B10" s="229" t="s">
        <v>286</v>
      </c>
      <c r="C10" s="230"/>
    </row>
    <row r="11" spans="1:3" ht="37.5" customHeight="1" x14ac:dyDescent="0.25">
      <c r="A11" s="224"/>
      <c r="B11" s="229" t="s">
        <v>282</v>
      </c>
      <c r="C11" s="230">
        <v>3</v>
      </c>
    </row>
    <row r="12" spans="1:3" ht="37.5" customHeight="1" x14ac:dyDescent="0.25">
      <c r="A12" s="224"/>
      <c r="B12" s="231" t="s">
        <v>278</v>
      </c>
      <c r="C12" s="230">
        <v>2</v>
      </c>
    </row>
    <row r="13" spans="1:3" ht="37.5" customHeight="1" x14ac:dyDescent="0.25">
      <c r="A13" s="224"/>
      <c r="B13" s="229" t="s">
        <v>283</v>
      </c>
      <c r="C13" s="230">
        <v>1</v>
      </c>
    </row>
    <row r="14" spans="1:3" ht="72" x14ac:dyDescent="0.25">
      <c r="A14" s="224" t="s">
        <v>275</v>
      </c>
      <c r="B14" s="229" t="s">
        <v>287</v>
      </c>
      <c r="C14" s="230" t="s">
        <v>281</v>
      </c>
    </row>
    <row r="15" spans="1:3" ht="54" x14ac:dyDescent="0.25">
      <c r="A15" s="224" t="s">
        <v>276</v>
      </c>
      <c r="B15" s="229" t="s">
        <v>288</v>
      </c>
      <c r="C15" s="230">
        <v>2</v>
      </c>
    </row>
    <row r="16" spans="1:3" ht="108" x14ac:dyDescent="0.25">
      <c r="A16" s="224" t="s">
        <v>277</v>
      </c>
      <c r="B16" s="229" t="s">
        <v>280</v>
      </c>
      <c r="C16" s="230">
        <v>0</v>
      </c>
    </row>
    <row r="17" spans="1:3" ht="23.25" x14ac:dyDescent="0.25">
      <c r="A17" s="225"/>
      <c r="B17" s="226"/>
      <c r="C17" s="227"/>
    </row>
  </sheetData>
  <mergeCells count="1">
    <mergeCell ref="A1:C1"/>
  </mergeCells>
  <pageMargins left="0.3" right="0.38" top="0.41" bottom="0.75" header="0.3" footer="0.3"/>
  <pageSetup paperSize="9"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6F57-A0C7-4C9D-8DC6-125805D75745}">
  <sheetPr>
    <tabColor rgb="FF002060"/>
    <outlinePr summaryBelow="0" summaryRight="0"/>
  </sheetPr>
  <dimension ref="A1:K12"/>
  <sheetViews>
    <sheetView showGridLines="0" tabSelected="1" view="pageBreakPreview" zoomScale="115" zoomScaleNormal="115" zoomScaleSheetLayoutView="115" workbookViewId="0">
      <selection activeCell="F7" sqref="F7:H10"/>
    </sheetView>
  </sheetViews>
  <sheetFormatPr defaultColWidth="9.140625" defaultRowHeight="14.25" outlineLevelCol="1" x14ac:dyDescent="0.2"/>
  <cols>
    <col min="1" max="1" width="3.28515625" style="167" customWidth="1"/>
    <col min="2" max="2" width="39.42578125" style="167" customWidth="1"/>
    <col min="3" max="3" width="10.42578125" style="204" customWidth="1"/>
    <col min="4" max="4" width="14.28515625" style="204" customWidth="1"/>
    <col min="5" max="5" width="4.85546875" style="205" customWidth="1"/>
    <col min="6" max="7" width="14.28515625" style="206" customWidth="1" outlineLevel="1"/>
    <col min="8" max="8" width="14.28515625" style="204" customWidth="1"/>
    <col min="9" max="9" width="3.85546875" style="205" customWidth="1"/>
    <col min="10" max="10" width="9.140625" style="167"/>
    <col min="11" max="11" width="3.85546875" style="168" bestFit="1" customWidth="1"/>
    <col min="12" max="16384" width="9.140625" style="167"/>
  </cols>
  <sheetData>
    <row r="1" spans="1:11" ht="66.75" customHeight="1" x14ac:dyDescent="0.2">
      <c r="A1" s="253" t="s">
        <v>268</v>
      </c>
      <c r="B1" s="253"/>
      <c r="C1" s="253"/>
      <c r="D1" s="253"/>
      <c r="E1" s="253"/>
      <c r="F1" s="253"/>
      <c r="G1" s="253"/>
      <c r="H1" s="253"/>
      <c r="I1" s="253"/>
    </row>
    <row r="2" spans="1:11" s="168" customFormat="1" ht="17.25" customHeight="1" x14ac:dyDescent="0.2">
      <c r="A2" s="254" t="s">
        <v>254</v>
      </c>
      <c r="B2" s="257" t="s">
        <v>255</v>
      </c>
      <c r="C2" s="260" t="s">
        <v>262</v>
      </c>
      <c r="D2" s="263" t="s">
        <v>256</v>
      </c>
      <c r="E2" s="264"/>
      <c r="F2" s="264"/>
      <c r="G2" s="264"/>
      <c r="H2" s="264"/>
      <c r="I2" s="265"/>
    </row>
    <row r="3" spans="1:11" s="169" customFormat="1" ht="17.25" customHeight="1" x14ac:dyDescent="0.25">
      <c r="A3" s="255"/>
      <c r="B3" s="258"/>
      <c r="C3" s="261"/>
      <c r="D3" s="266" t="s">
        <v>266</v>
      </c>
      <c r="E3" s="269" t="s">
        <v>257</v>
      </c>
      <c r="F3" s="272" t="s">
        <v>256</v>
      </c>
      <c r="G3" s="273"/>
      <c r="H3" s="243" t="s">
        <v>190</v>
      </c>
      <c r="I3" s="246" t="s">
        <v>257</v>
      </c>
    </row>
    <row r="4" spans="1:11" s="169" customFormat="1" ht="17.25" customHeight="1" x14ac:dyDescent="0.25">
      <c r="A4" s="255"/>
      <c r="B4" s="258"/>
      <c r="C4" s="261"/>
      <c r="D4" s="267"/>
      <c r="E4" s="270"/>
      <c r="F4" s="249" t="s">
        <v>258</v>
      </c>
      <c r="G4" s="251" t="s">
        <v>259</v>
      </c>
      <c r="H4" s="244"/>
      <c r="I4" s="247"/>
    </row>
    <row r="5" spans="1:11" s="169" customFormat="1" ht="78" customHeight="1" x14ac:dyDescent="0.25">
      <c r="A5" s="256"/>
      <c r="B5" s="259"/>
      <c r="C5" s="262"/>
      <c r="D5" s="268"/>
      <c r="E5" s="271"/>
      <c r="F5" s="250"/>
      <c r="G5" s="252"/>
      <c r="H5" s="245"/>
      <c r="I5" s="248"/>
    </row>
    <row r="6" spans="1:11" s="178" customFormat="1" ht="29.25" customHeight="1" x14ac:dyDescent="0.25">
      <c r="A6" s="241" t="s">
        <v>260</v>
      </c>
      <c r="B6" s="242"/>
      <c r="C6" s="209">
        <f>+SUM(C7:C10)</f>
        <v>108</v>
      </c>
      <c r="D6" s="170">
        <f t="shared" ref="D6" si="0">+SUM(D7:D10)</f>
        <v>108</v>
      </c>
      <c r="E6" s="171">
        <f>+D6/C6*100</f>
        <v>100</v>
      </c>
      <c r="F6" s="172">
        <f t="shared" ref="F6:H6" si="1">+SUM(F7:F10)</f>
        <v>45</v>
      </c>
      <c r="G6" s="173">
        <f t="shared" si="1"/>
        <v>63</v>
      </c>
      <c r="H6" s="174">
        <f t="shared" si="1"/>
        <v>0</v>
      </c>
      <c r="I6" s="175">
        <f>+H6/C6*100</f>
        <v>0</v>
      </c>
      <c r="J6" s="176"/>
      <c r="K6" s="177"/>
    </row>
    <row r="7" spans="1:11" s="187" customFormat="1" ht="42" customHeight="1" x14ac:dyDescent="0.25">
      <c r="A7" s="179">
        <v>1</v>
      </c>
      <c r="B7" s="180" t="s">
        <v>261</v>
      </c>
      <c r="C7" s="210">
        <v>38</v>
      </c>
      <c r="D7" s="181">
        <v>38</v>
      </c>
      <c r="E7" s="182">
        <f t="shared" ref="E7:E10" si="2">+D7/C7*100</f>
        <v>100</v>
      </c>
      <c r="F7" s="183">
        <v>0</v>
      </c>
      <c r="G7" s="184">
        <v>38</v>
      </c>
      <c r="H7" s="185">
        <v>0</v>
      </c>
      <c r="I7" s="186">
        <f t="shared" ref="I7:I10" si="3">+H7/C7*100</f>
        <v>0</v>
      </c>
      <c r="J7" s="176"/>
      <c r="K7" s="169"/>
    </row>
    <row r="8" spans="1:11" s="187" customFormat="1" ht="42" customHeight="1" x14ac:dyDescent="0.25">
      <c r="A8" s="188">
        <v>2</v>
      </c>
      <c r="B8" s="189" t="s">
        <v>263</v>
      </c>
      <c r="C8" s="211">
        <v>25</v>
      </c>
      <c r="D8" s="190">
        <v>25</v>
      </c>
      <c r="E8" s="191">
        <f t="shared" si="2"/>
        <v>100</v>
      </c>
      <c r="F8" s="192">
        <v>19</v>
      </c>
      <c r="G8" s="193">
        <v>6</v>
      </c>
      <c r="H8" s="194">
        <v>0</v>
      </c>
      <c r="I8" s="195">
        <f t="shared" si="3"/>
        <v>0</v>
      </c>
      <c r="J8" s="176"/>
      <c r="K8" s="169"/>
    </row>
    <row r="9" spans="1:11" s="187" customFormat="1" ht="42" customHeight="1" x14ac:dyDescent="0.25">
      <c r="A9" s="188">
        <v>3</v>
      </c>
      <c r="B9" s="189" t="s">
        <v>264</v>
      </c>
      <c r="C9" s="211">
        <v>23</v>
      </c>
      <c r="D9" s="190">
        <v>23</v>
      </c>
      <c r="E9" s="191">
        <f t="shared" si="2"/>
        <v>100</v>
      </c>
      <c r="F9" s="192">
        <v>11</v>
      </c>
      <c r="G9" s="193">
        <v>12</v>
      </c>
      <c r="H9" s="194">
        <v>0</v>
      </c>
      <c r="I9" s="195">
        <f t="shared" si="3"/>
        <v>0</v>
      </c>
      <c r="J9" s="176"/>
      <c r="K9" s="169"/>
    </row>
    <row r="10" spans="1:11" s="187" customFormat="1" ht="49.5" customHeight="1" x14ac:dyDescent="0.25">
      <c r="A10" s="196">
        <v>4</v>
      </c>
      <c r="B10" s="197" t="s">
        <v>265</v>
      </c>
      <c r="C10" s="212">
        <v>22</v>
      </c>
      <c r="D10" s="198">
        <v>22</v>
      </c>
      <c r="E10" s="199">
        <f t="shared" si="2"/>
        <v>100</v>
      </c>
      <c r="F10" s="200">
        <v>15</v>
      </c>
      <c r="G10" s="201">
        <v>7</v>
      </c>
      <c r="H10" s="202">
        <v>0</v>
      </c>
      <c r="I10" s="203">
        <f t="shared" si="3"/>
        <v>0</v>
      </c>
      <c r="J10" s="176"/>
      <c r="K10" s="169"/>
    </row>
    <row r="11" spans="1:11" ht="9" customHeight="1" x14ac:dyDescent="0.2"/>
    <row r="12" spans="1:11" ht="9.75" customHeight="1" x14ac:dyDescent="0.2">
      <c r="A12" s="207"/>
      <c r="B12" s="208"/>
    </row>
  </sheetData>
  <mergeCells count="13">
    <mergeCell ref="A1:I1"/>
    <mergeCell ref="A2:A5"/>
    <mergeCell ref="B2:B5"/>
    <mergeCell ref="C2:C5"/>
    <mergeCell ref="D2:I2"/>
    <mergeCell ref="D3:D5"/>
    <mergeCell ref="E3:E5"/>
    <mergeCell ref="F3:G3"/>
    <mergeCell ref="A6:B6"/>
    <mergeCell ref="H3:H5"/>
    <mergeCell ref="I3:I5"/>
    <mergeCell ref="F4:F5"/>
    <mergeCell ref="G4:G5"/>
  </mergeCells>
  <printOptions horizontalCentered="1"/>
  <pageMargins left="0.15748031496062992" right="0.19685039370078741" top="0.23622047244094491" bottom="0.15748031496062992" header="0.23622047244094491" footer="0.15748031496062992"/>
  <pageSetup paperSize="9" scale="11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pageSetUpPr fitToPage="1"/>
  </sheetPr>
  <dimension ref="A1:AK54"/>
  <sheetViews>
    <sheetView view="pageBreakPreview" zoomScale="85" zoomScaleNormal="100" zoomScaleSheetLayoutView="85" workbookViewId="0">
      <selection activeCell="Y1" sqref="Y1:Z1048576"/>
    </sheetView>
  </sheetViews>
  <sheetFormatPr defaultColWidth="9.28515625" defaultRowHeight="12.75" x14ac:dyDescent="0.2"/>
  <cols>
    <col min="1" max="1" width="2.7109375" style="15" customWidth="1"/>
    <col min="2" max="3" width="9.5703125" style="15" customWidth="1"/>
    <col min="4" max="4" width="8.42578125" style="15" customWidth="1"/>
    <col min="5" max="5" width="7.42578125" style="15" customWidth="1"/>
    <col min="6" max="6" width="9.140625" style="15" customWidth="1"/>
    <col min="7" max="10" width="2.28515625" style="15" customWidth="1"/>
    <col min="11" max="11" width="10" style="15" customWidth="1"/>
    <col min="12" max="12" width="8.28515625" style="15" customWidth="1"/>
    <col min="13" max="13" width="2.7109375" style="15" customWidth="1"/>
    <col min="14" max="14" width="5.85546875" style="15" customWidth="1"/>
    <col min="15" max="15" width="4.5703125" style="15" customWidth="1"/>
    <col min="16" max="16" width="12.7109375" style="15" customWidth="1"/>
    <col min="17" max="18" width="6.7109375" style="15" customWidth="1"/>
    <col min="19" max="20" width="12.7109375" style="15" customWidth="1"/>
    <col min="21" max="21" width="3.85546875" style="15" customWidth="1"/>
    <col min="22" max="23" width="42.5703125" style="15" customWidth="1"/>
    <col min="24" max="24" width="12.7109375" style="15" bestFit="1" customWidth="1"/>
    <col min="25" max="25" width="32.140625" style="15" hidden="1" customWidth="1"/>
    <col min="26" max="26" width="9.28515625" style="15" hidden="1" customWidth="1"/>
    <col min="27" max="27" width="9.28515625" style="15" customWidth="1"/>
    <col min="28" max="16384" width="9.28515625" style="15"/>
  </cols>
  <sheetData>
    <row r="1" spans="1:23" ht="6.75" customHeight="1" x14ac:dyDescent="0.2">
      <c r="A1" s="23" t="s">
        <v>7</v>
      </c>
      <c r="B1" s="300"/>
      <c r="C1" s="300"/>
      <c r="D1" s="300"/>
      <c r="E1" s="300"/>
      <c r="F1" s="300"/>
      <c r="G1" s="300"/>
      <c r="H1" s="300"/>
      <c r="I1" s="300"/>
      <c r="J1" s="300"/>
      <c r="K1" s="300"/>
      <c r="L1" s="300"/>
      <c r="M1" s="300"/>
      <c r="N1" s="300"/>
      <c r="O1" s="300"/>
      <c r="P1" s="300"/>
      <c r="Q1" s="300"/>
      <c r="R1" s="300"/>
      <c r="S1" s="300"/>
    </row>
    <row r="2" spans="1:23" s="29" customFormat="1" ht="15" hidden="1" customHeight="1" x14ac:dyDescent="0.2">
      <c r="B2" s="303" t="s">
        <v>38</v>
      </c>
      <c r="C2" s="303"/>
      <c r="D2" s="304"/>
      <c r="E2" s="304"/>
      <c r="F2" s="60"/>
      <c r="G2" s="60"/>
      <c r="H2" s="60"/>
      <c r="I2" s="60"/>
      <c r="J2" s="60"/>
      <c r="K2" s="60"/>
      <c r="L2" s="60"/>
      <c r="M2" s="60"/>
      <c r="N2" s="51"/>
      <c r="O2" s="51"/>
      <c r="P2" s="51"/>
      <c r="Q2" s="51"/>
      <c r="R2" s="51"/>
      <c r="S2" s="74"/>
      <c r="T2" s="74"/>
      <c r="U2" s="74"/>
      <c r="V2" s="74"/>
      <c r="W2" s="74"/>
    </row>
    <row r="3" spans="1:23" s="29" customFormat="1" ht="4.1500000000000004" customHeight="1" x14ac:dyDescent="0.2">
      <c r="N3" s="51"/>
      <c r="O3" s="51"/>
      <c r="P3" s="51"/>
      <c r="Q3" s="51"/>
      <c r="R3" s="51"/>
      <c r="S3" s="74"/>
      <c r="T3" s="74"/>
      <c r="U3" s="74"/>
      <c r="V3" s="74"/>
      <c r="W3" s="74"/>
    </row>
    <row r="4" spans="1:23" s="36" customFormat="1" ht="20.25" hidden="1" customHeight="1" x14ac:dyDescent="0.25">
      <c r="B4" s="305" t="s">
        <v>39</v>
      </c>
      <c r="C4" s="306"/>
      <c r="D4" s="72"/>
      <c r="E4" s="72"/>
      <c r="F4" s="41"/>
      <c r="K4" s="307" t="s">
        <v>40</v>
      </c>
      <c r="L4" s="307"/>
      <c r="M4" s="73"/>
      <c r="N4" s="30" t="s">
        <v>41</v>
      </c>
      <c r="O4" s="51"/>
      <c r="P4" s="51"/>
      <c r="Q4" s="51"/>
      <c r="R4" s="51"/>
      <c r="T4" s="31" t="s">
        <v>42</v>
      </c>
      <c r="U4" s="74"/>
      <c r="V4" s="74"/>
      <c r="W4" s="74"/>
    </row>
    <row r="5" spans="1:23" s="36" customFormat="1" ht="18" hidden="1" customHeight="1" x14ac:dyDescent="0.25">
      <c r="B5" s="312" t="s">
        <v>43</v>
      </c>
      <c r="C5" s="312"/>
      <c r="D5" s="312"/>
      <c r="E5" s="312"/>
      <c r="F5" s="312"/>
      <c r="G5" s="312"/>
      <c r="H5" s="312"/>
      <c r="I5" s="312"/>
      <c r="J5" s="312"/>
      <c r="K5" s="312"/>
      <c r="L5" s="312"/>
      <c r="M5" s="312"/>
      <c r="N5" s="312"/>
      <c r="O5" s="312"/>
      <c r="P5" s="312"/>
      <c r="Q5" s="312"/>
      <c r="R5" s="312"/>
      <c r="S5" s="312"/>
      <c r="T5" s="312"/>
      <c r="U5" s="74"/>
      <c r="V5" s="74"/>
      <c r="W5" s="74"/>
    </row>
    <row r="6" spans="1:23" s="29" customFormat="1" ht="4.1500000000000004" hidden="1" customHeight="1" x14ac:dyDescent="0.2">
      <c r="B6" s="32"/>
      <c r="C6" s="32"/>
      <c r="D6" s="32"/>
      <c r="E6" s="32"/>
      <c r="F6" s="32"/>
      <c r="G6" s="32"/>
      <c r="H6" s="32"/>
      <c r="I6" s="32"/>
      <c r="J6" s="32"/>
      <c r="K6" s="32"/>
      <c r="L6" s="32"/>
      <c r="M6" s="32"/>
      <c r="N6" s="51"/>
      <c r="O6" s="51"/>
      <c r="P6" s="51"/>
      <c r="Q6" s="51"/>
      <c r="R6" s="51"/>
      <c r="S6" s="74"/>
      <c r="T6" s="74"/>
      <c r="U6" s="74"/>
      <c r="V6" s="74"/>
      <c r="W6" s="74"/>
    </row>
    <row r="7" spans="1:23" s="29" customFormat="1" ht="18.75" hidden="1" customHeight="1" x14ac:dyDescent="0.2">
      <c r="B7" s="310" t="s">
        <v>44</v>
      </c>
      <c r="C7" s="310"/>
      <c r="D7" s="310"/>
      <c r="E7" s="310"/>
      <c r="F7" s="310"/>
      <c r="G7" s="39"/>
      <c r="H7" s="301"/>
      <c r="I7" s="301"/>
      <c r="J7" s="301"/>
      <c r="K7" s="301"/>
      <c r="L7" s="301"/>
      <c r="M7" s="301"/>
      <c r="N7" s="301"/>
      <c r="O7" s="301"/>
      <c r="P7" s="301"/>
      <c r="Q7" s="301"/>
      <c r="R7" s="301"/>
      <c r="S7" s="301"/>
      <c r="T7" s="74"/>
      <c r="U7" s="74"/>
      <c r="V7" s="74"/>
      <c r="W7" s="74"/>
    </row>
    <row r="8" spans="1:23" s="29" customFormat="1" ht="4.1500000000000004" hidden="1" customHeight="1" x14ac:dyDescent="0.2">
      <c r="B8" s="33"/>
      <c r="C8" s="33"/>
      <c r="D8" s="33"/>
      <c r="E8" s="33"/>
      <c r="F8" s="33"/>
      <c r="G8" s="33"/>
      <c r="H8" s="33"/>
      <c r="I8" s="33"/>
      <c r="J8" s="33"/>
      <c r="K8" s="33"/>
      <c r="L8" s="33"/>
      <c r="M8" s="33"/>
      <c r="N8" s="51"/>
      <c r="O8" s="51"/>
      <c r="P8" s="51"/>
      <c r="Q8" s="51"/>
      <c r="R8" s="51"/>
      <c r="S8" s="74"/>
      <c r="T8" s="74"/>
      <c r="U8" s="74"/>
      <c r="V8" s="74"/>
      <c r="W8" s="74"/>
    </row>
    <row r="9" spans="1:23" s="29" customFormat="1" ht="15" hidden="1" customHeight="1" x14ac:dyDescent="0.2">
      <c r="B9" s="309" t="s">
        <v>45</v>
      </c>
      <c r="C9" s="309"/>
      <c r="D9" s="309"/>
      <c r="E9" s="309"/>
      <c r="F9" s="309"/>
      <c r="H9" s="64"/>
      <c r="I9" s="64"/>
      <c r="J9" s="64"/>
      <c r="K9" s="64"/>
      <c r="L9" s="64"/>
      <c r="M9" s="64"/>
      <c r="N9" s="64"/>
      <c r="O9" s="64"/>
      <c r="P9" s="64"/>
      <c r="Q9" s="64"/>
      <c r="R9" s="64"/>
      <c r="S9" s="64"/>
      <c r="T9" s="74"/>
      <c r="U9" s="74"/>
      <c r="V9" s="74"/>
      <c r="W9" s="74"/>
    </row>
    <row r="10" spans="1:23" s="29" customFormat="1" ht="4.1500000000000004" hidden="1" customHeight="1" x14ac:dyDescent="0.2">
      <c r="B10" s="35"/>
      <c r="C10" s="35"/>
      <c r="D10" s="35"/>
      <c r="E10" s="35"/>
      <c r="F10" s="35"/>
      <c r="G10" s="35"/>
      <c r="H10" s="35"/>
      <c r="I10" s="35"/>
      <c r="J10" s="34"/>
      <c r="K10" s="34"/>
      <c r="L10" s="34"/>
      <c r="M10" s="34"/>
      <c r="N10" s="51"/>
      <c r="O10" s="51"/>
      <c r="P10" s="51"/>
      <c r="Q10" s="51"/>
      <c r="R10" s="51"/>
      <c r="S10" s="74"/>
      <c r="T10" s="74"/>
      <c r="U10" s="74"/>
      <c r="V10" s="74"/>
      <c r="W10" s="74"/>
    </row>
    <row r="11" spans="1:23" s="29" customFormat="1" ht="18" hidden="1" customHeight="1" x14ac:dyDescent="0.2">
      <c r="B11" s="311" t="s">
        <v>46</v>
      </c>
      <c r="C11" s="311"/>
      <c r="D11" s="311"/>
      <c r="E11" s="311"/>
      <c r="F11" s="311"/>
      <c r="G11" s="63"/>
      <c r="H11" s="64"/>
      <c r="I11" s="64"/>
      <c r="J11" s="64"/>
      <c r="K11" s="64"/>
      <c r="L11" s="64"/>
      <c r="M11" s="64"/>
      <c r="N11" s="64"/>
      <c r="O11" s="64"/>
      <c r="P11" s="64"/>
      <c r="Q11" s="64"/>
      <c r="R11" s="64"/>
      <c r="S11" s="64"/>
      <c r="T11" s="74"/>
      <c r="U11" s="74"/>
      <c r="V11" s="74"/>
      <c r="W11" s="74"/>
    </row>
    <row r="12" spans="1:23" s="29" customFormat="1" ht="4.1500000000000004" hidden="1" customHeight="1" x14ac:dyDescent="0.2">
      <c r="B12" s="35"/>
      <c r="C12" s="35"/>
      <c r="D12" s="35"/>
      <c r="E12" s="35"/>
      <c r="F12" s="35"/>
      <c r="G12" s="35"/>
      <c r="H12" s="35"/>
      <c r="I12" s="35"/>
      <c r="J12" s="34"/>
      <c r="K12" s="34"/>
      <c r="L12" s="34"/>
      <c r="M12" s="34"/>
      <c r="N12" s="51"/>
      <c r="O12" s="51"/>
      <c r="P12" s="51"/>
      <c r="Q12" s="51"/>
      <c r="R12" s="51"/>
      <c r="S12" s="74"/>
      <c r="T12" s="74"/>
      <c r="U12" s="74"/>
      <c r="V12" s="74"/>
      <c r="W12" s="74"/>
    </row>
    <row r="13" spans="1:23" s="29" customFormat="1" ht="15.75" hidden="1" customHeight="1" x14ac:dyDescent="0.2">
      <c r="B13" s="311" t="s">
        <v>47</v>
      </c>
      <c r="C13" s="311"/>
      <c r="D13" s="311"/>
      <c r="E13" s="311"/>
      <c r="F13" s="311"/>
      <c r="G13" s="311"/>
      <c r="H13" s="65"/>
      <c r="I13" s="65"/>
      <c r="J13" s="65"/>
      <c r="K13" s="65"/>
      <c r="N13" s="51"/>
      <c r="O13" s="51"/>
      <c r="P13" s="51"/>
      <c r="Q13" s="51"/>
      <c r="R13" s="51"/>
      <c r="S13" s="74"/>
      <c r="T13" s="74"/>
      <c r="U13" s="74"/>
      <c r="V13" s="74"/>
      <c r="W13" s="74"/>
    </row>
    <row r="14" spans="1:23" s="29" customFormat="1" ht="4.1500000000000004" hidden="1" customHeight="1" x14ac:dyDescent="0.2">
      <c r="N14" s="51"/>
      <c r="O14" s="51"/>
      <c r="P14" s="51"/>
      <c r="Q14" s="51"/>
      <c r="R14" s="51"/>
      <c r="S14" s="74"/>
      <c r="T14" s="74"/>
      <c r="U14" s="74"/>
      <c r="V14" s="74"/>
      <c r="W14" s="74"/>
    </row>
    <row r="15" spans="1:23" s="29" customFormat="1" ht="15" hidden="1" customHeight="1" x14ac:dyDescent="0.2">
      <c r="H15" s="64"/>
      <c r="I15" s="64"/>
      <c r="J15" s="64"/>
      <c r="K15" s="64"/>
      <c r="L15" s="64"/>
      <c r="M15" s="64"/>
      <c r="N15" s="64"/>
      <c r="O15" s="64"/>
      <c r="P15" s="64"/>
      <c r="Q15" s="64"/>
      <c r="R15" s="63" t="s">
        <v>49</v>
      </c>
      <c r="S15" s="74"/>
      <c r="T15" s="74"/>
      <c r="U15" s="74"/>
      <c r="V15" s="74"/>
      <c r="W15" s="74"/>
    </row>
    <row r="16" spans="1:23" s="29" customFormat="1" ht="4.1500000000000004" hidden="1" customHeight="1" x14ac:dyDescent="0.2">
      <c r="N16" s="51"/>
      <c r="O16" s="51"/>
      <c r="P16" s="51"/>
      <c r="Q16" s="51"/>
      <c r="R16" s="51"/>
      <c r="S16" s="74"/>
      <c r="T16" s="74"/>
      <c r="U16" s="74"/>
      <c r="V16" s="74"/>
      <c r="W16" s="74"/>
    </row>
    <row r="17" spans="2:37" s="29" customFormat="1" ht="15" hidden="1" customHeight="1" x14ac:dyDescent="0.2">
      <c r="B17" s="308"/>
      <c r="C17" s="308"/>
      <c r="D17" s="308"/>
      <c r="E17" s="308"/>
      <c r="F17" s="308"/>
      <c r="G17" s="308"/>
      <c r="H17" s="302" t="s">
        <v>48</v>
      </c>
      <c r="I17" s="302"/>
      <c r="J17" s="302"/>
      <c r="K17" s="302"/>
      <c r="L17" s="302"/>
      <c r="M17" s="302"/>
      <c r="N17" s="302"/>
      <c r="O17" s="302"/>
      <c r="P17" s="302"/>
      <c r="Q17" s="302"/>
      <c r="R17" s="51"/>
      <c r="S17" s="74"/>
      <c r="T17" s="74"/>
      <c r="U17" s="74"/>
      <c r="V17" s="74"/>
      <c r="W17" s="74"/>
    </row>
    <row r="18" spans="2:37" ht="4.1500000000000004" hidden="1" customHeight="1" x14ac:dyDescent="0.2">
      <c r="B18" s="25"/>
      <c r="C18" s="25"/>
      <c r="D18" s="25"/>
      <c r="E18" s="25"/>
      <c r="F18" s="25"/>
      <c r="G18" s="25"/>
      <c r="H18" s="25"/>
      <c r="I18" s="25"/>
      <c r="J18" s="25"/>
      <c r="K18" s="25"/>
      <c r="L18" s="25"/>
      <c r="M18" s="25"/>
      <c r="N18" s="51"/>
      <c r="O18" s="51"/>
      <c r="P18" s="51"/>
      <c r="Q18" s="51"/>
      <c r="R18" s="51"/>
      <c r="S18" s="74"/>
      <c r="T18" s="74"/>
      <c r="U18" s="74"/>
      <c r="V18" s="74"/>
      <c r="W18" s="74"/>
    </row>
    <row r="19" spans="2:37" ht="9.75" hidden="1" customHeight="1" x14ac:dyDescent="0.2">
      <c r="B19" s="25"/>
      <c r="C19" s="25"/>
      <c r="D19" s="25"/>
      <c r="E19" s="25"/>
      <c r="F19" s="25"/>
      <c r="G19" s="25"/>
      <c r="H19" s="25"/>
      <c r="I19" s="25"/>
      <c r="J19" s="25"/>
      <c r="K19" s="25"/>
      <c r="L19" s="25"/>
      <c r="M19" s="25"/>
      <c r="N19" s="51"/>
      <c r="O19" s="51"/>
      <c r="P19" s="51"/>
      <c r="Q19" s="51"/>
      <c r="R19" s="51"/>
      <c r="S19" s="74"/>
      <c r="T19" s="74"/>
      <c r="U19" s="74"/>
      <c r="V19" s="74"/>
      <c r="W19" s="74"/>
    </row>
    <row r="20" spans="2:37" ht="24" customHeight="1" x14ac:dyDescent="0.2">
      <c r="B20" s="278" t="s">
        <v>50</v>
      </c>
      <c r="C20" s="278"/>
      <c r="D20" s="278"/>
      <c r="E20" s="278"/>
      <c r="F20" s="278"/>
      <c r="G20" s="278"/>
      <c r="H20" s="278"/>
      <c r="I20" s="278"/>
      <c r="J20" s="278"/>
      <c r="K20" s="278"/>
      <c r="L20" s="278"/>
      <c r="M20" s="278"/>
      <c r="N20" s="278"/>
      <c r="O20" s="278"/>
      <c r="P20" s="278"/>
      <c r="Q20" s="278"/>
      <c r="R20" s="278"/>
      <c r="S20" s="278"/>
      <c r="T20" s="278"/>
      <c r="U20" s="101"/>
      <c r="V20" s="101"/>
      <c r="W20" s="101"/>
    </row>
    <row r="21" spans="2:37" ht="17.25" customHeight="1" x14ac:dyDescent="0.2">
      <c r="B21" s="25"/>
      <c r="C21" s="25"/>
      <c r="D21" s="25"/>
      <c r="E21" s="25"/>
      <c r="F21" s="25"/>
      <c r="G21" s="25"/>
      <c r="H21" s="25"/>
      <c r="I21" s="25"/>
      <c r="J21" s="25"/>
      <c r="K21" s="25"/>
      <c r="S21" s="276" t="s">
        <v>51</v>
      </c>
      <c r="T21" s="276"/>
      <c r="U21" s="9"/>
      <c r="V21" s="9"/>
      <c r="W21" s="9"/>
    </row>
    <row r="22" spans="2:37" ht="30" customHeight="1" x14ac:dyDescent="0.2">
      <c r="B22" s="289" t="s">
        <v>52</v>
      </c>
      <c r="C22" s="290"/>
      <c r="D22" s="290"/>
      <c r="E22" s="290"/>
      <c r="F22" s="290"/>
      <c r="G22" s="290"/>
      <c r="H22" s="290"/>
      <c r="I22" s="290"/>
      <c r="J22" s="290"/>
      <c r="K22" s="291"/>
      <c r="L22" s="298" t="s">
        <v>31</v>
      </c>
      <c r="M22" s="289" t="s">
        <v>53</v>
      </c>
      <c r="N22" s="290"/>
      <c r="O22" s="291"/>
      <c r="P22" s="289" t="s">
        <v>163</v>
      </c>
      <c r="Q22" s="290"/>
      <c r="R22" s="290"/>
      <c r="S22" s="290"/>
      <c r="T22" s="297"/>
      <c r="U22" s="145"/>
      <c r="V22" s="277" t="s">
        <v>189</v>
      </c>
      <c r="W22" s="277"/>
    </row>
    <row r="23" spans="2:37" ht="39" customHeight="1" x14ac:dyDescent="0.2">
      <c r="B23" s="292"/>
      <c r="C23" s="293"/>
      <c r="D23" s="293"/>
      <c r="E23" s="293"/>
      <c r="F23" s="293"/>
      <c r="G23" s="293"/>
      <c r="H23" s="293"/>
      <c r="I23" s="293"/>
      <c r="J23" s="293"/>
      <c r="K23" s="294"/>
      <c r="L23" s="299"/>
      <c r="M23" s="292"/>
      <c r="N23" s="293"/>
      <c r="O23" s="294"/>
      <c r="P23" s="129" t="s">
        <v>100</v>
      </c>
      <c r="Q23" s="295" t="s">
        <v>101</v>
      </c>
      <c r="R23" s="295"/>
      <c r="S23" s="130" t="s">
        <v>102</v>
      </c>
      <c r="T23" s="131" t="s">
        <v>103</v>
      </c>
      <c r="U23" s="145"/>
      <c r="V23" s="277"/>
      <c r="W23" s="277"/>
    </row>
    <row r="24" spans="2:37" ht="15" customHeight="1" x14ac:dyDescent="0.2">
      <c r="B24" s="282">
        <v>1</v>
      </c>
      <c r="C24" s="283"/>
      <c r="D24" s="283"/>
      <c r="E24" s="283"/>
      <c r="F24" s="283"/>
      <c r="G24" s="283"/>
      <c r="H24" s="283"/>
      <c r="I24" s="283"/>
      <c r="J24" s="283"/>
      <c r="K24" s="284"/>
      <c r="L24" s="27">
        <f>B24+1</f>
        <v>2</v>
      </c>
      <c r="M24" s="282">
        <v>3</v>
      </c>
      <c r="N24" s="283"/>
      <c r="O24" s="284"/>
      <c r="P24" s="126">
        <v>4</v>
      </c>
      <c r="Q24" s="283">
        <v>5</v>
      </c>
      <c r="R24" s="283"/>
      <c r="S24" s="70">
        <v>6</v>
      </c>
      <c r="T24" s="71">
        <v>7</v>
      </c>
      <c r="U24" s="145"/>
      <c r="V24" s="126" t="s">
        <v>193</v>
      </c>
      <c r="W24" s="126" t="s">
        <v>195</v>
      </c>
      <c r="Y24" s="28"/>
      <c r="Z24" s="300"/>
      <c r="AA24" s="300"/>
      <c r="AB24" s="300"/>
      <c r="AC24" s="300"/>
      <c r="AD24" s="300"/>
      <c r="AE24" s="300"/>
      <c r="AF24" s="300"/>
      <c r="AG24" s="300"/>
      <c r="AH24" s="300"/>
      <c r="AI24" s="300"/>
      <c r="AJ24" s="300"/>
      <c r="AK24" s="300"/>
    </row>
    <row r="25" spans="2:37" ht="84.75" customHeight="1" x14ac:dyDescent="0.2">
      <c r="B25" s="285" t="s">
        <v>108</v>
      </c>
      <c r="C25" s="286"/>
      <c r="D25" s="286"/>
      <c r="E25" s="286"/>
      <c r="F25" s="286"/>
      <c r="G25" s="286"/>
      <c r="H25" s="286"/>
      <c r="I25" s="286"/>
      <c r="J25" s="286"/>
      <c r="K25" s="287"/>
      <c r="L25" s="61" t="s">
        <v>8</v>
      </c>
      <c r="M25" s="328"/>
      <c r="N25" s="296"/>
      <c r="O25" s="329"/>
      <c r="P25" s="127"/>
      <c r="Q25" s="296"/>
      <c r="R25" s="296"/>
      <c r="S25" s="69"/>
      <c r="T25" s="350"/>
      <c r="U25" s="145"/>
      <c r="V25" s="148" t="s">
        <v>194</v>
      </c>
      <c r="W25" s="148" t="s">
        <v>196</v>
      </c>
      <c r="X25" s="28"/>
      <c r="Y25" s="155" t="s">
        <v>249</v>
      </c>
      <c r="Z25" s="156">
        <v>38</v>
      </c>
    </row>
    <row r="26" spans="2:37" ht="45" customHeight="1" x14ac:dyDescent="0.2">
      <c r="B26" s="279" t="s">
        <v>107</v>
      </c>
      <c r="C26" s="280"/>
      <c r="D26" s="280"/>
      <c r="E26" s="280"/>
      <c r="F26" s="280"/>
      <c r="G26" s="280"/>
      <c r="H26" s="280"/>
      <c r="I26" s="280"/>
      <c r="J26" s="280"/>
      <c r="K26" s="281"/>
      <c r="L26" s="7" t="s">
        <v>0</v>
      </c>
      <c r="M26" s="321"/>
      <c r="N26" s="288"/>
      <c r="O26" s="322"/>
      <c r="P26" s="128"/>
      <c r="Q26" s="288"/>
      <c r="R26" s="288"/>
      <c r="S26" s="68"/>
      <c r="T26" s="75"/>
      <c r="U26" s="145"/>
      <c r="V26" s="149" t="s">
        <v>191</v>
      </c>
      <c r="W26" s="149" t="s">
        <v>197</v>
      </c>
      <c r="Y26" s="157" t="s">
        <v>250</v>
      </c>
      <c r="Z26" s="158">
        <v>38</v>
      </c>
    </row>
    <row r="27" spans="2:37" ht="48" customHeight="1" x14ac:dyDescent="0.2">
      <c r="B27" s="279" t="s">
        <v>105</v>
      </c>
      <c r="C27" s="280"/>
      <c r="D27" s="280"/>
      <c r="E27" s="280"/>
      <c r="F27" s="280"/>
      <c r="G27" s="280"/>
      <c r="H27" s="280"/>
      <c r="I27" s="280"/>
      <c r="J27" s="280"/>
      <c r="K27" s="281"/>
      <c r="L27" s="7" t="s">
        <v>1</v>
      </c>
      <c r="M27" s="321"/>
      <c r="N27" s="288"/>
      <c r="O27" s="322"/>
      <c r="P27" s="128"/>
      <c r="Q27" s="288"/>
      <c r="R27" s="288"/>
      <c r="S27" s="68"/>
      <c r="T27" s="75"/>
      <c r="U27" s="145"/>
      <c r="V27" s="274" t="s">
        <v>192</v>
      </c>
      <c r="W27" s="275"/>
      <c r="X27" s="28"/>
      <c r="Y27" s="159" t="s">
        <v>251</v>
      </c>
      <c r="Z27" s="160">
        <v>0</v>
      </c>
    </row>
    <row r="28" spans="2:37" ht="55.5" customHeight="1" x14ac:dyDescent="0.2">
      <c r="B28" s="279" t="s">
        <v>106</v>
      </c>
      <c r="C28" s="280"/>
      <c r="D28" s="280"/>
      <c r="E28" s="280"/>
      <c r="F28" s="280"/>
      <c r="G28" s="280"/>
      <c r="H28" s="280"/>
      <c r="I28" s="280"/>
      <c r="J28" s="280"/>
      <c r="K28" s="281"/>
      <c r="L28" s="7" t="s">
        <v>2</v>
      </c>
      <c r="M28" s="321"/>
      <c r="N28" s="288"/>
      <c r="O28" s="322"/>
      <c r="P28" s="128"/>
      <c r="Q28" s="288"/>
      <c r="R28" s="288"/>
      <c r="S28" s="68"/>
      <c r="T28" s="75"/>
      <c r="U28" s="145"/>
      <c r="V28" s="274" t="s">
        <v>198</v>
      </c>
      <c r="W28" s="275"/>
      <c r="Y28" s="159" t="s">
        <v>252</v>
      </c>
      <c r="Z28" s="160">
        <v>38</v>
      </c>
    </row>
    <row r="29" spans="2:37" ht="30" customHeight="1" x14ac:dyDescent="0.2">
      <c r="B29" s="279" t="s">
        <v>104</v>
      </c>
      <c r="C29" s="280"/>
      <c r="D29" s="280"/>
      <c r="E29" s="280"/>
      <c r="F29" s="280"/>
      <c r="G29" s="280"/>
      <c r="H29" s="280"/>
      <c r="I29" s="280"/>
      <c r="J29" s="280"/>
      <c r="K29" s="281"/>
      <c r="L29" s="7" t="s">
        <v>3</v>
      </c>
      <c r="M29" s="321"/>
      <c r="N29" s="288"/>
      <c r="O29" s="322"/>
      <c r="P29" s="128"/>
      <c r="Q29" s="288"/>
      <c r="R29" s="288"/>
      <c r="S29" s="68"/>
      <c r="T29" s="75"/>
      <c r="U29" s="145"/>
      <c r="V29" s="274" t="s">
        <v>199</v>
      </c>
      <c r="W29" s="275"/>
      <c r="Y29" s="157" t="s">
        <v>253</v>
      </c>
      <c r="Z29" s="158">
        <v>0</v>
      </c>
    </row>
    <row r="30" spans="2:37" ht="30" customHeight="1" x14ac:dyDescent="0.2">
      <c r="B30" s="279" t="s">
        <v>54</v>
      </c>
      <c r="C30" s="280"/>
      <c r="D30" s="280"/>
      <c r="E30" s="280"/>
      <c r="F30" s="280"/>
      <c r="G30" s="280"/>
      <c r="H30" s="280"/>
      <c r="I30" s="280"/>
      <c r="J30" s="280"/>
      <c r="K30" s="281"/>
      <c r="L30" s="7" t="s">
        <v>4</v>
      </c>
      <c r="M30" s="323" t="s">
        <v>17</v>
      </c>
      <c r="N30" s="324"/>
      <c r="O30" s="325"/>
      <c r="P30" s="128"/>
      <c r="Q30" s="288"/>
      <c r="R30" s="288"/>
      <c r="S30" s="68"/>
      <c r="T30" s="75"/>
      <c r="U30" s="145"/>
      <c r="V30" s="274" t="s">
        <v>200</v>
      </c>
      <c r="W30" s="275"/>
    </row>
    <row r="31" spans="2:37" ht="30" customHeight="1" x14ac:dyDescent="0.2">
      <c r="B31" s="279" t="s">
        <v>187</v>
      </c>
      <c r="C31" s="280"/>
      <c r="D31" s="280"/>
      <c r="E31" s="280"/>
      <c r="F31" s="280"/>
      <c r="G31" s="280"/>
      <c r="H31" s="280"/>
      <c r="I31" s="280"/>
      <c r="J31" s="280"/>
      <c r="K31" s="281"/>
      <c r="L31" s="7" t="s">
        <v>26</v>
      </c>
      <c r="M31" s="323" t="s">
        <v>17</v>
      </c>
      <c r="N31" s="324"/>
      <c r="O31" s="325"/>
      <c r="P31" s="128"/>
      <c r="Q31" s="288"/>
      <c r="R31" s="288"/>
      <c r="S31" s="68"/>
      <c r="T31" s="75"/>
      <c r="U31" s="145"/>
      <c r="V31" s="274" t="s">
        <v>201</v>
      </c>
      <c r="W31" s="275"/>
    </row>
    <row r="32" spans="2:37" ht="30" customHeight="1" x14ac:dyDescent="0.2">
      <c r="B32" s="315" t="s">
        <v>188</v>
      </c>
      <c r="C32" s="316"/>
      <c r="D32" s="316"/>
      <c r="E32" s="316"/>
      <c r="F32" s="316"/>
      <c r="G32" s="316"/>
      <c r="H32" s="316"/>
      <c r="I32" s="316"/>
      <c r="J32" s="316"/>
      <c r="K32" s="317"/>
      <c r="L32" s="138" t="s">
        <v>14</v>
      </c>
      <c r="M32" s="326"/>
      <c r="N32" s="313"/>
      <c r="O32" s="327"/>
      <c r="P32" s="139"/>
      <c r="Q32" s="313"/>
      <c r="R32" s="313"/>
      <c r="S32" s="140"/>
      <c r="T32" s="141"/>
      <c r="U32" s="145"/>
      <c r="V32" s="274" t="s">
        <v>202</v>
      </c>
      <c r="W32" s="275"/>
    </row>
    <row r="33" spans="2:23" ht="15" customHeight="1" x14ac:dyDescent="0.2">
      <c r="B33" s="8"/>
      <c r="C33" s="8"/>
      <c r="D33" s="8"/>
      <c r="E33" s="8"/>
      <c r="F33" s="8"/>
      <c r="G33" s="8"/>
      <c r="H33" s="8"/>
      <c r="I33" s="8"/>
      <c r="J33" s="9"/>
      <c r="K33" s="8"/>
      <c r="L33" s="10"/>
      <c r="M33" s="10"/>
      <c r="N33" s="12"/>
      <c r="O33" s="12"/>
      <c r="P33" s="11"/>
      <c r="Q33" s="11"/>
      <c r="R33" s="11"/>
      <c r="S33" s="11"/>
      <c r="T33" s="11"/>
      <c r="U33" s="11"/>
      <c r="V33" s="11"/>
      <c r="W33" s="11"/>
    </row>
    <row r="34" spans="2:23" s="76" customFormat="1" ht="15" hidden="1" customHeight="1" x14ac:dyDescent="0.2">
      <c r="B34" s="78" t="s">
        <v>55</v>
      </c>
      <c r="C34" s="78"/>
      <c r="D34" s="78"/>
      <c r="E34" s="79"/>
      <c r="F34" s="79"/>
      <c r="G34" s="79"/>
      <c r="H34" s="79"/>
      <c r="I34" s="79"/>
      <c r="J34" s="79"/>
      <c r="K34" s="79"/>
      <c r="L34" s="15"/>
      <c r="M34" s="15"/>
      <c r="N34" s="15"/>
      <c r="O34" s="15"/>
      <c r="P34" s="15"/>
      <c r="Q34" s="15"/>
      <c r="R34" s="15"/>
      <c r="S34" s="15"/>
      <c r="T34" s="15"/>
      <c r="U34" s="15"/>
      <c r="V34" s="15"/>
      <c r="W34" s="15"/>
    </row>
    <row r="35" spans="2:23" s="76" customFormat="1" ht="47.25" hidden="1" customHeight="1" x14ac:dyDescent="0.2">
      <c r="B35" s="320" t="s">
        <v>137</v>
      </c>
      <c r="C35" s="320"/>
      <c r="D35" s="320"/>
      <c r="E35" s="320"/>
      <c r="F35" s="320"/>
      <c r="G35" s="320"/>
      <c r="H35" s="320"/>
      <c r="I35" s="320"/>
      <c r="J35" s="320"/>
      <c r="K35" s="320"/>
      <c r="L35" s="320"/>
      <c r="M35" s="320"/>
      <c r="N35" s="320"/>
      <c r="O35" s="320"/>
      <c r="P35" s="320"/>
      <c r="Q35" s="320"/>
      <c r="R35" s="320"/>
      <c r="S35" s="320"/>
      <c r="T35" s="320"/>
      <c r="U35" s="102"/>
      <c r="V35" s="102"/>
      <c r="W35" s="102"/>
    </row>
    <row r="36" spans="2:23" ht="15" hidden="1" customHeight="1" x14ac:dyDescent="0.2">
      <c r="B36" s="8"/>
      <c r="C36" s="8"/>
      <c r="D36" s="8"/>
      <c r="E36" s="8"/>
      <c r="F36" s="8"/>
      <c r="G36" s="8"/>
      <c r="H36" s="8"/>
      <c r="I36" s="8"/>
      <c r="J36" s="9"/>
      <c r="K36" s="8"/>
      <c r="L36" s="8"/>
      <c r="M36" s="8"/>
      <c r="N36" s="8"/>
      <c r="O36" s="8"/>
      <c r="P36" s="8"/>
      <c r="Q36" s="8"/>
      <c r="R36" s="8"/>
      <c r="S36" s="8"/>
      <c r="T36" s="8"/>
      <c r="U36" s="8"/>
      <c r="V36" s="8"/>
      <c r="W36" s="8"/>
    </row>
    <row r="37" spans="2:23" ht="15" hidden="1" customHeight="1" x14ac:dyDescent="0.2">
      <c r="B37" s="319" t="s">
        <v>56</v>
      </c>
      <c r="C37" s="319"/>
      <c r="D37" s="319"/>
      <c r="E37" s="319"/>
      <c r="F37" s="13"/>
      <c r="G37" s="13"/>
      <c r="H37" s="13"/>
      <c r="I37" s="13"/>
      <c r="J37" s="13"/>
      <c r="K37" s="13"/>
      <c r="L37" s="13"/>
      <c r="M37" s="13"/>
      <c r="N37" s="13"/>
      <c r="O37" s="13"/>
      <c r="P37" s="13"/>
      <c r="Q37" s="13"/>
      <c r="R37" s="13"/>
      <c r="S37" s="13"/>
      <c r="T37" s="13"/>
      <c r="U37" s="13"/>
      <c r="V37" s="13"/>
      <c r="W37" s="13"/>
    </row>
    <row r="38" spans="2:23" ht="4.1500000000000004" hidden="1" customHeight="1" x14ac:dyDescent="0.2">
      <c r="B38" s="14"/>
      <c r="C38" s="14"/>
      <c r="D38" s="14"/>
      <c r="E38" s="14"/>
      <c r="F38" s="14"/>
      <c r="G38" s="14"/>
      <c r="H38" s="14"/>
      <c r="I38" s="14"/>
      <c r="J38" s="14"/>
      <c r="K38" s="14"/>
      <c r="L38" s="14"/>
      <c r="M38" s="14"/>
      <c r="N38" s="14"/>
      <c r="O38" s="14"/>
      <c r="P38" s="14"/>
      <c r="Q38" s="14"/>
      <c r="R38" s="14"/>
      <c r="S38" s="14"/>
      <c r="T38" s="14"/>
      <c r="U38" s="14"/>
      <c r="V38" s="14"/>
      <c r="W38" s="14"/>
    </row>
    <row r="39" spans="2:23" ht="15" hidden="1" customHeight="1" x14ac:dyDescent="0.2">
      <c r="B39" s="314"/>
      <c r="C39" s="314"/>
      <c r="D39" s="314"/>
      <c r="E39" s="314"/>
      <c r="F39" s="314"/>
      <c r="G39" s="314"/>
      <c r="H39" s="314"/>
      <c r="I39" s="314"/>
      <c r="J39" s="314"/>
      <c r="K39" s="314"/>
      <c r="L39" s="314"/>
      <c r="M39" s="66"/>
      <c r="N39" s="4"/>
      <c r="O39" s="4"/>
      <c r="P39" s="4"/>
      <c r="Q39" s="4"/>
      <c r="R39" s="4"/>
      <c r="S39" s="4"/>
      <c r="T39" s="4"/>
      <c r="U39" s="4"/>
      <c r="V39" s="4"/>
      <c r="W39" s="4"/>
    </row>
    <row r="40" spans="2:23" ht="15" hidden="1" customHeight="1" x14ac:dyDescent="0.2">
      <c r="B40" s="318" t="s">
        <v>57</v>
      </c>
      <c r="C40" s="318"/>
      <c r="D40" s="318"/>
      <c r="E40" s="318"/>
      <c r="F40" s="13"/>
      <c r="G40" s="13"/>
      <c r="H40" s="13"/>
      <c r="I40" s="13"/>
      <c r="J40" s="13"/>
      <c r="K40" s="13"/>
      <c r="L40" s="13"/>
      <c r="M40" s="13"/>
      <c r="N40" s="13"/>
      <c r="O40" s="13"/>
      <c r="P40" s="13"/>
      <c r="Q40" s="13"/>
      <c r="R40" s="13"/>
      <c r="S40" s="13"/>
      <c r="T40" s="13"/>
      <c r="U40" s="13"/>
      <c r="V40" s="13"/>
      <c r="W40" s="13"/>
    </row>
    <row r="41" spans="2:23" ht="4.1500000000000004" hidden="1" customHeight="1" x14ac:dyDescent="0.2">
      <c r="B41" s="13"/>
      <c r="C41" s="13"/>
      <c r="D41" s="13"/>
      <c r="E41" s="13"/>
      <c r="F41" s="13"/>
      <c r="G41" s="13"/>
      <c r="H41" s="13"/>
      <c r="I41" s="13"/>
      <c r="J41" s="13"/>
      <c r="K41" s="13"/>
      <c r="L41" s="13"/>
      <c r="M41" s="13"/>
      <c r="N41" s="13"/>
      <c r="O41" s="13"/>
      <c r="P41" s="13"/>
      <c r="Q41" s="13"/>
      <c r="R41" s="13"/>
      <c r="S41" s="13"/>
      <c r="T41" s="13"/>
      <c r="U41" s="13"/>
      <c r="V41" s="13"/>
      <c r="W41" s="13"/>
    </row>
    <row r="42" spans="2:23" ht="15" hidden="1" customHeight="1" x14ac:dyDescent="0.2">
      <c r="B42" s="314"/>
      <c r="C42" s="314"/>
      <c r="D42" s="314"/>
      <c r="E42" s="314"/>
      <c r="F42" s="314"/>
      <c r="G42" s="314"/>
      <c r="H42" s="314"/>
      <c r="I42" s="314"/>
      <c r="J42" s="314"/>
      <c r="K42" s="314"/>
      <c r="L42" s="314"/>
      <c r="M42" s="66"/>
      <c r="N42" s="4"/>
      <c r="O42" s="4"/>
      <c r="P42" s="4"/>
      <c r="Q42" s="4"/>
      <c r="R42" s="4"/>
      <c r="S42" s="4"/>
      <c r="T42" s="4"/>
      <c r="U42" s="4"/>
      <c r="V42" s="4"/>
      <c r="W42" s="4"/>
    </row>
    <row r="43" spans="2:23" ht="15" customHeight="1" x14ac:dyDescent="0.2">
      <c r="B43" s="22" t="s">
        <v>30</v>
      </c>
      <c r="C43" s="22"/>
      <c r="D43" s="22"/>
      <c r="E43" s="25"/>
      <c r="F43" s="25"/>
      <c r="G43" s="25"/>
      <c r="H43" s="25"/>
      <c r="I43" s="25"/>
      <c r="J43" s="25"/>
      <c r="K43" s="25"/>
      <c r="L43" s="25"/>
      <c r="M43" s="25"/>
      <c r="N43" s="25"/>
      <c r="O43" s="25"/>
      <c r="P43" s="25"/>
      <c r="Q43" s="25"/>
      <c r="R43" s="25"/>
      <c r="S43" s="25"/>
    </row>
    <row r="44" spans="2:23" ht="31.5" customHeight="1" x14ac:dyDescent="0.2">
      <c r="B44" s="23" t="s">
        <v>30</v>
      </c>
      <c r="C44" s="23"/>
      <c r="D44" s="23"/>
    </row>
    <row r="45" spans="2:23" ht="31.5" customHeight="1" x14ac:dyDescent="0.2">
      <c r="B45" s="23" t="s">
        <v>30</v>
      </c>
      <c r="C45" s="23"/>
      <c r="D45" s="23"/>
    </row>
    <row r="46" spans="2:23" ht="31.5" customHeight="1" x14ac:dyDescent="0.2">
      <c r="B46" s="23" t="s">
        <v>30</v>
      </c>
      <c r="C46" s="23"/>
      <c r="D46" s="23"/>
    </row>
    <row r="47" spans="2:23" ht="31.5" customHeight="1" x14ac:dyDescent="0.2">
      <c r="B47" s="23" t="s">
        <v>30</v>
      </c>
      <c r="C47" s="23"/>
      <c r="D47" s="23"/>
    </row>
    <row r="48" spans="2:23" ht="31.5" customHeight="1" x14ac:dyDescent="0.2">
      <c r="B48" s="23" t="s">
        <v>30</v>
      </c>
      <c r="C48" s="23"/>
      <c r="D48" s="23"/>
    </row>
    <row r="49" spans="2:23" ht="31.5" customHeight="1" x14ac:dyDescent="0.2">
      <c r="B49" s="23" t="s">
        <v>30</v>
      </c>
      <c r="C49" s="23"/>
      <c r="D49" s="23"/>
    </row>
    <row r="50" spans="2:23" ht="31.5" customHeight="1" x14ac:dyDescent="0.2">
      <c r="B50" s="23" t="s">
        <v>30</v>
      </c>
      <c r="C50" s="23"/>
      <c r="D50" s="23"/>
    </row>
    <row r="51" spans="2:23" x14ac:dyDescent="0.2">
      <c r="B51" s="23" t="s">
        <v>30</v>
      </c>
      <c r="C51" s="23"/>
      <c r="D51" s="23"/>
    </row>
    <row r="52" spans="2:23" x14ac:dyDescent="0.2">
      <c r="B52" s="23" t="s">
        <v>30</v>
      </c>
      <c r="C52" s="23"/>
      <c r="D52" s="23"/>
    </row>
    <row r="53" spans="2:23" x14ac:dyDescent="0.2">
      <c r="B53" s="23" t="s">
        <v>30</v>
      </c>
      <c r="C53" s="23"/>
      <c r="D53" s="23"/>
    </row>
    <row r="54" spans="2:23" x14ac:dyDescent="0.2">
      <c r="T54" s="16"/>
      <c r="U54" s="16"/>
      <c r="V54" s="16"/>
      <c r="W54" s="16"/>
    </row>
  </sheetData>
  <mergeCells count="65">
    <mergeCell ref="S21:T21"/>
    <mergeCell ref="Q30:R30"/>
    <mergeCell ref="M24:O24"/>
    <mergeCell ref="M25:O25"/>
    <mergeCell ref="M26:O26"/>
    <mergeCell ref="M27:O27"/>
    <mergeCell ref="M28:O28"/>
    <mergeCell ref="Q31:R31"/>
    <mergeCell ref="Q32:R32"/>
    <mergeCell ref="B42:L42"/>
    <mergeCell ref="B39:L39"/>
    <mergeCell ref="B29:K29"/>
    <mergeCell ref="B30:K30"/>
    <mergeCell ref="B31:K31"/>
    <mergeCell ref="B32:K32"/>
    <mergeCell ref="B40:E40"/>
    <mergeCell ref="B37:E37"/>
    <mergeCell ref="B35:T35"/>
    <mergeCell ref="M29:O29"/>
    <mergeCell ref="M30:O30"/>
    <mergeCell ref="M31:O31"/>
    <mergeCell ref="M32:O32"/>
    <mergeCell ref="Q29:R29"/>
    <mergeCell ref="H7:S7"/>
    <mergeCell ref="H17:Q17"/>
    <mergeCell ref="B1:S1"/>
    <mergeCell ref="B2:C2"/>
    <mergeCell ref="D2:E2"/>
    <mergeCell ref="B4:C4"/>
    <mergeCell ref="K4:L4"/>
    <mergeCell ref="B17:G17"/>
    <mergeCell ref="B9:F9"/>
    <mergeCell ref="B7:F7"/>
    <mergeCell ref="B11:F11"/>
    <mergeCell ref="B13:G13"/>
    <mergeCell ref="B5:T5"/>
    <mergeCell ref="AJ24:AK24"/>
    <mergeCell ref="Z24:AA24"/>
    <mergeCell ref="AB24:AC24"/>
    <mergeCell ref="AD24:AE24"/>
    <mergeCell ref="AF24:AG24"/>
    <mergeCell ref="AH24:AI24"/>
    <mergeCell ref="B20:T20"/>
    <mergeCell ref="B28:K28"/>
    <mergeCell ref="B24:K24"/>
    <mergeCell ref="B25:K25"/>
    <mergeCell ref="B27:K27"/>
    <mergeCell ref="Q27:R27"/>
    <mergeCell ref="Q28:R28"/>
    <mergeCell ref="B26:K26"/>
    <mergeCell ref="B22:K23"/>
    <mergeCell ref="Q23:R23"/>
    <mergeCell ref="Q24:R24"/>
    <mergeCell ref="Q25:R25"/>
    <mergeCell ref="Q26:R26"/>
    <mergeCell ref="P22:T22"/>
    <mergeCell ref="L22:L23"/>
    <mergeCell ref="M22:O23"/>
    <mergeCell ref="V29:W29"/>
    <mergeCell ref="V30:W30"/>
    <mergeCell ref="V31:W31"/>
    <mergeCell ref="V32:W32"/>
    <mergeCell ref="V22:W23"/>
    <mergeCell ref="V27:W27"/>
    <mergeCell ref="V28:W28"/>
  </mergeCells>
  <phoneticPr fontId="5" type="noConversion"/>
  <printOptions horizontalCentered="1"/>
  <pageMargins left="0.19685039370078741" right="0.19685039370078741" top="0.19685039370078741" bottom="0.19685039370078741" header="0" footer="0"/>
  <pageSetup paperSize="8" scale="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FD3FA-AB2E-47F3-B778-B11BB68BABE3}">
  <sheetPr codeName="Лист5">
    <pageSetUpPr fitToPage="1"/>
  </sheetPr>
  <dimension ref="B1:I27"/>
  <sheetViews>
    <sheetView view="pageBreakPreview" topLeftCell="A2" zoomScale="85" zoomScaleNormal="100" zoomScaleSheetLayoutView="85" workbookViewId="0">
      <selection activeCell="I6" sqref="H1:I1048576"/>
    </sheetView>
  </sheetViews>
  <sheetFormatPr defaultColWidth="9.28515625" defaultRowHeight="12.75" x14ac:dyDescent="0.2"/>
  <cols>
    <col min="1" max="1" width="3" style="15" customWidth="1"/>
    <col min="2" max="2" width="87.7109375" style="15" customWidth="1"/>
    <col min="3" max="3" width="9.28515625" style="5" customWidth="1"/>
    <col min="4" max="4" width="17.85546875" style="15" customWidth="1"/>
    <col min="5" max="5" width="2.42578125" style="4" customWidth="1"/>
    <col min="6" max="6" width="67.140625" style="4" customWidth="1"/>
    <col min="7" max="7" width="16.85546875" style="4" customWidth="1"/>
    <col min="8" max="8" width="37.7109375" style="4" hidden="1" customWidth="1"/>
    <col min="9" max="9" width="16.85546875" style="15" hidden="1" customWidth="1"/>
    <col min="10" max="16384" width="9.28515625" style="15"/>
  </cols>
  <sheetData>
    <row r="1" spans="2:9" ht="27" customHeight="1" x14ac:dyDescent="0.2">
      <c r="B1" s="334" t="s">
        <v>58</v>
      </c>
      <c r="C1" s="334"/>
      <c r="D1" s="334"/>
    </row>
    <row r="2" spans="2:9" ht="33.75" customHeight="1" x14ac:dyDescent="0.2">
      <c r="B2" s="26" t="s">
        <v>52</v>
      </c>
      <c r="C2" s="27" t="s">
        <v>31</v>
      </c>
      <c r="D2" s="20" t="s">
        <v>5</v>
      </c>
      <c r="E2" s="144"/>
      <c r="F2" s="146" t="s">
        <v>189</v>
      </c>
    </row>
    <row r="3" spans="2:9" ht="31.5" customHeight="1" x14ac:dyDescent="0.2">
      <c r="B3" s="108" t="s">
        <v>135</v>
      </c>
      <c r="C3" s="109" t="s">
        <v>8</v>
      </c>
      <c r="D3" s="232">
        <v>0</v>
      </c>
      <c r="E3" s="144"/>
      <c r="F3" s="147" t="s">
        <v>204</v>
      </c>
      <c r="H3" s="155" t="s">
        <v>249</v>
      </c>
      <c r="I3" s="156">
        <v>25</v>
      </c>
    </row>
    <row r="4" spans="2:9" ht="31.5" customHeight="1" x14ac:dyDescent="0.2">
      <c r="B4" s="110" t="s">
        <v>59</v>
      </c>
      <c r="C4" s="111" t="s">
        <v>32</v>
      </c>
      <c r="D4" s="233">
        <v>0</v>
      </c>
      <c r="E4" s="145"/>
      <c r="F4" s="150" t="s">
        <v>207</v>
      </c>
      <c r="H4" s="157" t="s">
        <v>250</v>
      </c>
      <c r="I4" s="158">
        <v>25</v>
      </c>
    </row>
    <row r="5" spans="2:9" ht="31.5" customHeight="1" x14ac:dyDescent="0.2">
      <c r="B5" s="112" t="s">
        <v>60</v>
      </c>
      <c r="C5" s="113" t="s">
        <v>33</v>
      </c>
      <c r="D5" s="233">
        <v>0</v>
      </c>
      <c r="E5" s="145"/>
      <c r="F5" s="150" t="s">
        <v>206</v>
      </c>
      <c r="H5" s="159" t="s">
        <v>251</v>
      </c>
      <c r="I5" s="160">
        <v>19</v>
      </c>
    </row>
    <row r="6" spans="2:9" ht="31.5" customHeight="1" x14ac:dyDescent="0.2">
      <c r="B6" s="114" t="s">
        <v>61</v>
      </c>
      <c r="C6" s="113" t="s">
        <v>34</v>
      </c>
      <c r="D6" s="233">
        <v>0</v>
      </c>
      <c r="E6" s="145"/>
      <c r="F6" s="150" t="s">
        <v>205</v>
      </c>
      <c r="H6" s="159" t="s">
        <v>252</v>
      </c>
      <c r="I6" s="160">
        <f>+I4-I5</f>
        <v>6</v>
      </c>
    </row>
    <row r="7" spans="2:9" ht="28.5" customHeight="1" x14ac:dyDescent="0.2">
      <c r="B7" s="112" t="s">
        <v>62</v>
      </c>
      <c r="C7" s="113" t="s">
        <v>35</v>
      </c>
      <c r="D7" s="233">
        <v>0</v>
      </c>
      <c r="E7" s="145"/>
      <c r="F7" s="150" t="s">
        <v>203</v>
      </c>
      <c r="H7" s="157" t="s">
        <v>253</v>
      </c>
      <c r="I7" s="158">
        <v>0</v>
      </c>
    </row>
    <row r="8" spans="2:9" ht="27" customHeight="1" x14ac:dyDescent="0.2">
      <c r="B8" s="115" t="s">
        <v>63</v>
      </c>
      <c r="C8" s="116" t="s">
        <v>36</v>
      </c>
      <c r="D8" s="233">
        <v>0</v>
      </c>
      <c r="E8" s="145"/>
      <c r="F8" s="150" t="s">
        <v>289</v>
      </c>
    </row>
    <row r="9" spans="2:9" ht="45" customHeight="1" x14ac:dyDescent="0.2">
      <c r="B9" s="117" t="s">
        <v>64</v>
      </c>
      <c r="C9" s="109" t="s">
        <v>0</v>
      </c>
      <c r="D9" s="232">
        <v>0</v>
      </c>
      <c r="E9" s="145"/>
      <c r="F9" s="150" t="s">
        <v>292</v>
      </c>
    </row>
    <row r="10" spans="2:9" ht="30" customHeight="1" x14ac:dyDescent="0.2">
      <c r="B10" s="110" t="s">
        <v>65</v>
      </c>
      <c r="C10" s="111" t="s">
        <v>9</v>
      </c>
      <c r="D10" s="233">
        <v>0</v>
      </c>
      <c r="E10" s="145"/>
      <c r="F10" s="150" t="s">
        <v>208</v>
      </c>
    </row>
    <row r="11" spans="2:9" ht="48.75" customHeight="1" x14ac:dyDescent="0.2">
      <c r="B11" s="118" t="s">
        <v>66</v>
      </c>
      <c r="C11" s="113" t="s">
        <v>10</v>
      </c>
      <c r="D11" s="233">
        <v>0</v>
      </c>
      <c r="E11" s="145"/>
      <c r="F11" s="150" t="s">
        <v>214</v>
      </c>
    </row>
    <row r="12" spans="2:9" ht="31.5" customHeight="1" x14ac:dyDescent="0.2">
      <c r="B12" s="118" t="s">
        <v>67</v>
      </c>
      <c r="C12" s="113" t="s">
        <v>11</v>
      </c>
      <c r="D12" s="233">
        <v>0</v>
      </c>
      <c r="E12" s="145"/>
      <c r="F12" s="150" t="s">
        <v>214</v>
      </c>
    </row>
    <row r="13" spans="2:9" ht="33" customHeight="1" x14ac:dyDescent="0.2">
      <c r="B13" s="118" t="s">
        <v>68</v>
      </c>
      <c r="C13" s="113" t="s">
        <v>12</v>
      </c>
      <c r="D13" s="233">
        <v>0</v>
      </c>
      <c r="E13" s="145"/>
      <c r="F13" s="150" t="s">
        <v>209</v>
      </c>
    </row>
    <row r="14" spans="2:9" ht="33" customHeight="1" x14ac:dyDescent="0.2">
      <c r="B14" s="118" t="s">
        <v>290</v>
      </c>
      <c r="C14" s="113" t="s">
        <v>13</v>
      </c>
      <c r="D14" s="233">
        <v>0</v>
      </c>
      <c r="E14" s="145"/>
      <c r="F14" s="150" t="s">
        <v>291</v>
      </c>
    </row>
    <row r="15" spans="2:9" ht="39" customHeight="1" x14ac:dyDescent="0.2">
      <c r="B15" s="119" t="s">
        <v>79</v>
      </c>
      <c r="C15" s="109" t="s">
        <v>1</v>
      </c>
      <c r="D15" s="232">
        <v>0</v>
      </c>
      <c r="E15" s="145"/>
      <c r="F15" s="150" t="s">
        <v>210</v>
      </c>
    </row>
    <row r="16" spans="2:9" ht="33" customHeight="1" x14ac:dyDescent="0.2">
      <c r="B16" s="120" t="s">
        <v>69</v>
      </c>
      <c r="C16" s="111" t="s">
        <v>19</v>
      </c>
      <c r="D16" s="233">
        <v>0</v>
      </c>
      <c r="E16" s="145"/>
      <c r="F16" s="330" t="s">
        <v>211</v>
      </c>
    </row>
    <row r="17" spans="2:6" ht="36" customHeight="1" x14ac:dyDescent="0.2">
      <c r="B17" s="118" t="s">
        <v>70</v>
      </c>
      <c r="C17" s="113" t="s">
        <v>20</v>
      </c>
      <c r="D17" s="233">
        <v>0</v>
      </c>
      <c r="E17" s="145"/>
      <c r="F17" s="331"/>
    </row>
    <row r="18" spans="2:6" ht="32.25" customHeight="1" x14ac:dyDescent="0.2">
      <c r="B18" s="118" t="s">
        <v>71</v>
      </c>
      <c r="C18" s="113" t="s">
        <v>21</v>
      </c>
      <c r="D18" s="233">
        <v>0</v>
      </c>
      <c r="E18" s="145"/>
      <c r="F18" s="331"/>
    </row>
    <row r="19" spans="2:6" ht="20.25" customHeight="1" x14ac:dyDescent="0.2">
      <c r="B19" s="118" t="s">
        <v>72</v>
      </c>
      <c r="C19" s="113" t="s">
        <v>22</v>
      </c>
      <c r="D19" s="233">
        <v>0</v>
      </c>
      <c r="E19" s="145"/>
      <c r="F19" s="331"/>
    </row>
    <row r="20" spans="2:6" ht="30" customHeight="1" x14ac:dyDescent="0.2">
      <c r="B20" s="118" t="s">
        <v>73</v>
      </c>
      <c r="C20" s="113" t="s">
        <v>23</v>
      </c>
      <c r="D20" s="233">
        <v>0</v>
      </c>
      <c r="E20" s="145"/>
      <c r="F20" s="331"/>
    </row>
    <row r="21" spans="2:6" ht="18" customHeight="1" x14ac:dyDescent="0.2">
      <c r="B21" s="121" t="s">
        <v>74</v>
      </c>
      <c r="C21" s="116" t="s">
        <v>24</v>
      </c>
      <c r="D21" s="233">
        <v>0</v>
      </c>
      <c r="E21" s="145"/>
      <c r="F21" s="332"/>
    </row>
    <row r="22" spans="2:6" ht="46.5" customHeight="1" x14ac:dyDescent="0.2">
      <c r="B22" s="119" t="s">
        <v>136</v>
      </c>
      <c r="C22" s="109" t="s">
        <v>2</v>
      </c>
      <c r="D22" s="232">
        <v>0</v>
      </c>
      <c r="E22" s="145"/>
      <c r="F22" s="351" t="s">
        <v>212</v>
      </c>
    </row>
    <row r="23" spans="2:6" ht="18" customHeight="1" x14ac:dyDescent="0.2">
      <c r="B23" s="122" t="s">
        <v>75</v>
      </c>
      <c r="C23" s="123" t="s">
        <v>25</v>
      </c>
      <c r="D23" s="234">
        <v>0</v>
      </c>
      <c r="E23" s="145"/>
      <c r="F23" s="333" t="s">
        <v>213</v>
      </c>
    </row>
    <row r="24" spans="2:6" ht="18" customHeight="1" x14ac:dyDescent="0.2">
      <c r="B24" s="118" t="s">
        <v>76</v>
      </c>
      <c r="C24" s="7" t="s">
        <v>37</v>
      </c>
      <c r="D24" s="233">
        <v>0</v>
      </c>
      <c r="E24" s="145"/>
      <c r="F24" s="331"/>
    </row>
    <row r="25" spans="2:6" ht="18" customHeight="1" x14ac:dyDescent="0.2">
      <c r="B25" s="118" t="s">
        <v>77</v>
      </c>
      <c r="C25" s="7" t="s">
        <v>27</v>
      </c>
      <c r="D25" s="233">
        <v>0</v>
      </c>
      <c r="E25" s="145"/>
      <c r="F25" s="331"/>
    </row>
    <row r="26" spans="2:6" ht="18" customHeight="1" x14ac:dyDescent="0.2">
      <c r="B26" s="118" t="s">
        <v>78</v>
      </c>
      <c r="C26" s="7" t="s">
        <v>28</v>
      </c>
      <c r="D26" s="233">
        <v>0</v>
      </c>
      <c r="E26" s="145"/>
      <c r="F26" s="331"/>
    </row>
    <row r="27" spans="2:6" ht="18" customHeight="1" x14ac:dyDescent="0.2">
      <c r="B27" s="121" t="s">
        <v>63</v>
      </c>
      <c r="C27" s="67" t="s">
        <v>29</v>
      </c>
      <c r="D27" s="235">
        <v>0</v>
      </c>
      <c r="E27" s="145"/>
      <c r="F27" s="332"/>
    </row>
  </sheetData>
  <mergeCells count="3">
    <mergeCell ref="F16:F21"/>
    <mergeCell ref="F23:F27"/>
    <mergeCell ref="B1:D1"/>
  </mergeCells>
  <printOptions horizontalCentered="1"/>
  <pageMargins left="0.39370078740157483" right="0.39370078740157483" top="0.39370078740157483" bottom="0.39370078740157483" header="0.31496062992125984" footer="0.31496062992125984"/>
  <pageSetup paperSize="8" fitToHeight="2"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3">
    <pageSetUpPr fitToPage="1"/>
  </sheetPr>
  <dimension ref="A1:I44"/>
  <sheetViews>
    <sheetView view="pageBreakPreview" topLeftCell="A4" zoomScale="85" zoomScaleNormal="100" zoomScaleSheetLayoutView="85" workbookViewId="0">
      <selection activeCell="I10" sqref="H1:I1048576"/>
    </sheetView>
  </sheetViews>
  <sheetFormatPr defaultColWidth="9.28515625" defaultRowHeight="12.75" x14ac:dyDescent="0.25"/>
  <cols>
    <col min="1" max="1" width="2.7109375" style="1" customWidth="1"/>
    <col min="2" max="2" width="112.42578125" style="1" customWidth="1"/>
    <col min="3" max="3" width="11.42578125" style="1" customWidth="1"/>
    <col min="4" max="4" width="17.42578125" style="6" customWidth="1"/>
    <col min="5" max="5" width="3.85546875" style="1" customWidth="1"/>
    <col min="6" max="6" width="66.28515625" style="1" customWidth="1"/>
    <col min="7" max="7" width="9.28515625" style="1"/>
    <col min="8" max="8" width="30.42578125" style="1" hidden="1" customWidth="1"/>
    <col min="9" max="9" width="9.28515625" style="1" hidden="1" customWidth="1"/>
    <col min="10" max="16384" width="9.28515625" style="1"/>
  </cols>
  <sheetData>
    <row r="1" spans="1:9" hidden="1" x14ac:dyDescent="0.25">
      <c r="A1" s="3" t="s">
        <v>6</v>
      </c>
    </row>
    <row r="2" spans="1:9" ht="49.5" hidden="1" customHeight="1" x14ac:dyDescent="0.25">
      <c r="B2" s="143"/>
      <c r="C2" s="338" t="s">
        <v>167</v>
      </c>
      <c r="D2" s="338"/>
    </row>
    <row r="3" spans="1:9" ht="14.25" hidden="1" customHeight="1" x14ac:dyDescent="0.25">
      <c r="C3" s="107" t="s">
        <v>38</v>
      </c>
      <c r="D3" s="44">
        <f>+'Хисоб-китоб шакли'!D2</f>
        <v>0</v>
      </c>
    </row>
    <row r="4" spans="1:9" ht="38.25" customHeight="1" x14ac:dyDescent="0.25">
      <c r="B4" s="339" t="s">
        <v>81</v>
      </c>
      <c r="C4" s="339"/>
      <c r="D4" s="339"/>
    </row>
    <row r="5" spans="1:9" ht="12" customHeight="1" x14ac:dyDescent="0.25">
      <c r="C5" s="62"/>
      <c r="D5" s="45"/>
    </row>
    <row r="6" spans="1:9" ht="72" customHeight="1" x14ac:dyDescent="0.25">
      <c r="B6" s="48" t="s">
        <v>82</v>
      </c>
      <c r="C6" s="49" t="s">
        <v>31</v>
      </c>
      <c r="D6" s="50" t="s">
        <v>5</v>
      </c>
      <c r="E6" s="144"/>
      <c r="F6" s="151" t="s">
        <v>189</v>
      </c>
    </row>
    <row r="7" spans="1:9" ht="38.25" customHeight="1" x14ac:dyDescent="0.25">
      <c r="B7" s="55" t="s">
        <v>133</v>
      </c>
      <c r="C7" s="56" t="s">
        <v>8</v>
      </c>
      <c r="D7" s="52"/>
      <c r="E7" s="144"/>
      <c r="F7" s="152" t="s">
        <v>215</v>
      </c>
      <c r="H7" s="155" t="s">
        <v>249</v>
      </c>
      <c r="I7" s="156">
        <v>23</v>
      </c>
    </row>
    <row r="8" spans="1:9" ht="20.100000000000001" customHeight="1" x14ac:dyDescent="0.25">
      <c r="B8" s="142" t="s">
        <v>168</v>
      </c>
      <c r="C8" s="56" t="s">
        <v>32</v>
      </c>
      <c r="D8" s="52"/>
      <c r="E8" s="145"/>
      <c r="F8" s="153" t="s">
        <v>216</v>
      </c>
      <c r="H8" s="157" t="s">
        <v>250</v>
      </c>
      <c r="I8" s="158">
        <v>23</v>
      </c>
    </row>
    <row r="9" spans="1:9" ht="36.75" customHeight="1" x14ac:dyDescent="0.25">
      <c r="B9" s="37" t="s">
        <v>217</v>
      </c>
      <c r="C9" s="56" t="s">
        <v>0</v>
      </c>
      <c r="D9" s="52"/>
      <c r="E9" s="145"/>
      <c r="F9" s="152" t="s">
        <v>218</v>
      </c>
      <c r="H9" s="159" t="s">
        <v>251</v>
      </c>
      <c r="I9" s="160">
        <v>11</v>
      </c>
    </row>
    <row r="10" spans="1:9" ht="36.75" customHeight="1" x14ac:dyDescent="0.25">
      <c r="B10" s="38" t="s">
        <v>83</v>
      </c>
      <c r="C10" s="57" t="s">
        <v>9</v>
      </c>
      <c r="D10" s="54"/>
      <c r="E10" s="145"/>
      <c r="F10" s="153" t="s">
        <v>216</v>
      </c>
      <c r="H10" s="159" t="s">
        <v>252</v>
      </c>
      <c r="I10" s="160">
        <f>+I8-I9</f>
        <v>12</v>
      </c>
    </row>
    <row r="11" spans="1:9" ht="24.75" customHeight="1" x14ac:dyDescent="0.25">
      <c r="B11" s="38" t="s">
        <v>84</v>
      </c>
      <c r="C11" s="57" t="s">
        <v>10</v>
      </c>
      <c r="D11" s="54"/>
      <c r="E11" s="145"/>
      <c r="F11" s="153" t="s">
        <v>216</v>
      </c>
      <c r="H11" s="157" t="s">
        <v>253</v>
      </c>
      <c r="I11" s="158">
        <v>0</v>
      </c>
    </row>
    <row r="12" spans="1:9" ht="48.75" customHeight="1" x14ac:dyDescent="0.25">
      <c r="B12" s="38" t="s">
        <v>85</v>
      </c>
      <c r="C12" s="57" t="s">
        <v>11</v>
      </c>
      <c r="D12" s="54"/>
      <c r="E12" s="145"/>
      <c r="F12" s="154" t="s">
        <v>293</v>
      </c>
    </row>
    <row r="13" spans="1:9" s="18" customFormat="1" ht="24.75" customHeight="1" x14ac:dyDescent="0.25">
      <c r="B13" s="38" t="s">
        <v>86</v>
      </c>
      <c r="C13" s="57" t="s">
        <v>12</v>
      </c>
      <c r="D13" s="54"/>
      <c r="E13" s="145"/>
      <c r="F13" s="153" t="s">
        <v>267</v>
      </c>
    </row>
    <row r="14" spans="1:9" ht="24" customHeight="1" x14ac:dyDescent="0.25">
      <c r="B14" s="38" t="s">
        <v>87</v>
      </c>
      <c r="C14" s="57" t="s">
        <v>13</v>
      </c>
      <c r="D14" s="54"/>
      <c r="E14" s="145"/>
      <c r="F14" s="153" t="s">
        <v>294</v>
      </c>
    </row>
    <row r="15" spans="1:9" s="4" customFormat="1" ht="33.75" customHeight="1" x14ac:dyDescent="0.25">
      <c r="B15" s="38" t="s">
        <v>90</v>
      </c>
      <c r="C15" s="57" t="s">
        <v>15</v>
      </c>
      <c r="D15" s="54"/>
      <c r="E15" s="145"/>
      <c r="F15" s="153" t="s">
        <v>294</v>
      </c>
    </row>
    <row r="16" spans="1:9" ht="36" customHeight="1" x14ac:dyDescent="0.25">
      <c r="B16" s="38" t="s">
        <v>88</v>
      </c>
      <c r="C16" s="57" t="s">
        <v>16</v>
      </c>
      <c r="D16" s="54"/>
      <c r="E16" s="145"/>
      <c r="F16" s="153" t="s">
        <v>216</v>
      </c>
    </row>
    <row r="17" spans="2:6" ht="24" customHeight="1" x14ac:dyDescent="0.25">
      <c r="B17" s="38" t="s">
        <v>91</v>
      </c>
      <c r="C17" s="57" t="s">
        <v>92</v>
      </c>
      <c r="D17" s="54"/>
      <c r="E17" s="145"/>
      <c r="F17" s="153" t="s">
        <v>294</v>
      </c>
    </row>
    <row r="18" spans="2:6" ht="47.25" customHeight="1" x14ac:dyDescent="0.25">
      <c r="B18" s="38" t="s">
        <v>93</v>
      </c>
      <c r="C18" s="57" t="s">
        <v>94</v>
      </c>
      <c r="D18" s="54"/>
      <c r="E18" s="145"/>
      <c r="F18" s="153" t="s">
        <v>294</v>
      </c>
    </row>
    <row r="19" spans="2:6" ht="50.25" customHeight="1" x14ac:dyDescent="0.25">
      <c r="B19" s="38" t="s">
        <v>95</v>
      </c>
      <c r="C19" s="57" t="s">
        <v>96</v>
      </c>
      <c r="D19" s="54"/>
      <c r="E19" s="145"/>
      <c r="F19" s="153" t="s">
        <v>294</v>
      </c>
    </row>
    <row r="20" spans="2:6" ht="30" customHeight="1" x14ac:dyDescent="0.25">
      <c r="B20" s="38" t="s">
        <v>97</v>
      </c>
      <c r="C20" s="57" t="s">
        <v>98</v>
      </c>
      <c r="D20" s="54"/>
      <c r="E20" s="145"/>
      <c r="F20" s="153" t="s">
        <v>294</v>
      </c>
    </row>
    <row r="21" spans="2:6" ht="63.75" customHeight="1" x14ac:dyDescent="0.25">
      <c r="B21" s="38" t="s">
        <v>220</v>
      </c>
      <c r="C21" s="57" t="s">
        <v>99</v>
      </c>
      <c r="D21" s="54"/>
      <c r="E21" s="145"/>
      <c r="F21" s="153" t="s">
        <v>294</v>
      </c>
    </row>
    <row r="22" spans="2:6" ht="20.100000000000001" hidden="1" customHeight="1" x14ac:dyDescent="0.25">
      <c r="B22" s="24"/>
      <c r="C22" s="58" t="s">
        <v>129</v>
      </c>
      <c r="D22" s="53"/>
      <c r="E22" s="145"/>
      <c r="F22" s="153"/>
    </row>
    <row r="23" spans="2:6" ht="20.100000000000001" hidden="1" customHeight="1" x14ac:dyDescent="0.25">
      <c r="B23" s="24"/>
      <c r="C23" s="58" t="s">
        <v>131</v>
      </c>
      <c r="D23" s="53"/>
      <c r="E23" s="145"/>
      <c r="F23" s="153"/>
    </row>
    <row r="24" spans="2:6" ht="20.100000000000001" hidden="1" customHeight="1" x14ac:dyDescent="0.25">
      <c r="B24" s="106"/>
      <c r="C24" s="91" t="s">
        <v>132</v>
      </c>
      <c r="D24" s="105"/>
      <c r="E24" s="145"/>
      <c r="F24" s="153"/>
    </row>
    <row r="25" spans="2:6" ht="36" customHeight="1" x14ac:dyDescent="0.25">
      <c r="B25" s="37" t="s">
        <v>164</v>
      </c>
      <c r="C25" s="56" t="s">
        <v>1</v>
      </c>
      <c r="D25" s="104"/>
      <c r="E25" s="145"/>
      <c r="F25" s="153" t="s">
        <v>221</v>
      </c>
    </row>
    <row r="26" spans="2:6" ht="47.25" customHeight="1" x14ac:dyDescent="0.25">
      <c r="B26" s="55" t="s">
        <v>219</v>
      </c>
      <c r="C26" s="56" t="s">
        <v>2</v>
      </c>
      <c r="D26" s="52"/>
      <c r="E26" s="145"/>
      <c r="F26" s="153" t="s">
        <v>222</v>
      </c>
    </row>
    <row r="27" spans="2:6" ht="20.100000000000001" customHeight="1" x14ac:dyDescent="0.25">
      <c r="B27" s="83"/>
      <c r="C27" s="81" t="s">
        <v>25</v>
      </c>
      <c r="D27" s="82"/>
      <c r="E27" s="145"/>
      <c r="F27" s="335" t="s">
        <v>223</v>
      </c>
    </row>
    <row r="28" spans="2:6" ht="20.100000000000001" customHeight="1" x14ac:dyDescent="0.25">
      <c r="B28" s="24"/>
      <c r="C28" s="58" t="s">
        <v>27</v>
      </c>
      <c r="D28" s="53"/>
      <c r="E28" s="145"/>
      <c r="F28" s="336"/>
    </row>
    <row r="29" spans="2:6" ht="20.100000000000001" customHeight="1" x14ac:dyDescent="0.25">
      <c r="B29" s="24"/>
      <c r="C29" s="58" t="s">
        <v>28</v>
      </c>
      <c r="D29" s="53"/>
      <c r="E29" s="145"/>
      <c r="F29" s="336"/>
    </row>
    <row r="30" spans="2:6" ht="20.100000000000001" customHeight="1" x14ac:dyDescent="0.25">
      <c r="B30" s="24"/>
      <c r="C30" s="58" t="s">
        <v>29</v>
      </c>
      <c r="D30" s="53"/>
      <c r="E30" s="145"/>
      <c r="F30" s="336"/>
    </row>
    <row r="31" spans="2:6" ht="20.100000000000001" customHeight="1" x14ac:dyDescent="0.25">
      <c r="B31" s="24"/>
      <c r="C31" s="58" t="s">
        <v>116</v>
      </c>
      <c r="D31" s="53"/>
      <c r="E31" s="145"/>
      <c r="F31" s="336"/>
    </row>
    <row r="32" spans="2:6" ht="20.100000000000001" customHeight="1" x14ac:dyDescent="0.25">
      <c r="B32" s="84"/>
      <c r="C32" s="59" t="s">
        <v>117</v>
      </c>
      <c r="D32" s="77"/>
      <c r="E32" s="145"/>
      <c r="F32" s="337"/>
    </row>
    <row r="33" spans="2:4" ht="9.75" customHeight="1" x14ac:dyDescent="0.25">
      <c r="B33" s="17"/>
      <c r="C33" s="19"/>
      <c r="D33" s="21"/>
    </row>
    <row r="34" spans="2:4" ht="19.149999999999999" hidden="1" customHeight="1" x14ac:dyDescent="0.25">
      <c r="B34" s="310" t="s">
        <v>55</v>
      </c>
      <c r="C34" s="310"/>
      <c r="D34" s="310"/>
    </row>
    <row r="35" spans="2:4" ht="19.5" hidden="1" customHeight="1" x14ac:dyDescent="0.25">
      <c r="B35" s="310" t="s">
        <v>89</v>
      </c>
      <c r="C35" s="310"/>
      <c r="D35" s="310"/>
    </row>
    <row r="36" spans="2:4" ht="20.25" hidden="1" customHeight="1" x14ac:dyDescent="0.25">
      <c r="B36" s="310" t="s">
        <v>158</v>
      </c>
      <c r="C36" s="310"/>
      <c r="D36" s="310"/>
    </row>
    <row r="37" spans="2:4" ht="36.75" hidden="1" customHeight="1" x14ac:dyDescent="0.25">
      <c r="B37" s="310" t="s">
        <v>159</v>
      </c>
      <c r="C37" s="310"/>
      <c r="D37" s="310"/>
    </row>
    <row r="38" spans="2:4" ht="18" hidden="1" customHeight="1" x14ac:dyDescent="0.25">
      <c r="B38" s="310" t="s">
        <v>160</v>
      </c>
      <c r="C38" s="310"/>
      <c r="D38" s="310"/>
    </row>
    <row r="39" spans="2:4" ht="56.25" hidden="1" customHeight="1" x14ac:dyDescent="0.25">
      <c r="B39" s="310" t="s">
        <v>161</v>
      </c>
      <c r="C39" s="310"/>
      <c r="D39" s="310"/>
    </row>
    <row r="40" spans="2:4" ht="9" hidden="1" customHeight="1" x14ac:dyDescent="0.25"/>
    <row r="41" spans="2:4" ht="19.149999999999999" hidden="1" customHeight="1" x14ac:dyDescent="0.25">
      <c r="B41" s="340" t="s">
        <v>80</v>
      </c>
      <c r="C41" s="340"/>
      <c r="D41" s="340"/>
    </row>
    <row r="42" spans="2:4" ht="19.149999999999999" hidden="1" customHeight="1" x14ac:dyDescent="0.25">
      <c r="B42" s="40"/>
      <c r="C42" s="41"/>
      <c r="D42" s="46"/>
    </row>
    <row r="43" spans="2:4" ht="19.149999999999999" hidden="1" customHeight="1" x14ac:dyDescent="0.25">
      <c r="B43" s="42" t="s">
        <v>57</v>
      </c>
      <c r="C43" s="43"/>
      <c r="D43" s="47"/>
    </row>
    <row r="44" spans="2:4" ht="19.149999999999999" hidden="1" customHeight="1" x14ac:dyDescent="0.25">
      <c r="B44" s="2"/>
    </row>
  </sheetData>
  <mergeCells count="10">
    <mergeCell ref="F27:F32"/>
    <mergeCell ref="C2:D2"/>
    <mergeCell ref="B4:D4"/>
    <mergeCell ref="B41:D41"/>
    <mergeCell ref="B39:D39"/>
    <mergeCell ref="B38:D38"/>
    <mergeCell ref="B37:D37"/>
    <mergeCell ref="B36:D36"/>
    <mergeCell ref="B35:D35"/>
    <mergeCell ref="B34:D34"/>
  </mergeCells>
  <phoneticPr fontId="0" type="noConversion"/>
  <dataValidations disablePrompts="1" count="1">
    <dataValidation type="list" allowBlank="1" showInputMessage="1" showErrorMessage="1" sqref="B27" xr:uid="{112F7E2E-5999-43F0-A194-6BD74391425F}">
      <formula1>$J$17:$J$19</formula1>
    </dataValidation>
  </dataValidations>
  <printOptions horizontalCentered="1"/>
  <pageMargins left="0.39370078740157483" right="0.39370078740157483" top="0.39370078740157483" bottom="0.39370078740157483" header="0.31496062992125984" footer="0.31496062992125984"/>
  <pageSetup paperSize="8" scale="9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1FA6-6844-45ED-8C8E-E571FC792381}">
  <sheetPr codeName="Лист4">
    <pageSetUpPr fitToPage="1"/>
  </sheetPr>
  <dimension ref="A1:K52"/>
  <sheetViews>
    <sheetView view="pageBreakPreview" topLeftCell="A4" zoomScale="55" zoomScaleNormal="100" zoomScaleSheetLayoutView="55" workbookViewId="0">
      <selection activeCell="K9" sqref="J1:K1048576"/>
    </sheetView>
  </sheetViews>
  <sheetFormatPr defaultColWidth="9.28515625" defaultRowHeight="12.75" x14ac:dyDescent="0.25"/>
  <cols>
    <col min="1" max="1" width="2.7109375" style="1" customWidth="1"/>
    <col min="2" max="2" width="127.5703125" style="1" customWidth="1"/>
    <col min="3" max="3" width="8" style="1" customWidth="1"/>
    <col min="4" max="4" width="19.28515625" style="1" customWidth="1"/>
    <col min="5" max="5" width="2" style="95" customWidth="1"/>
    <col min="6" max="6" width="101.140625" style="1" customWidth="1"/>
    <col min="7" max="8" width="101.140625" style="1" hidden="1" customWidth="1"/>
    <col min="9" max="9" width="9.28515625" style="1" customWidth="1"/>
    <col min="10" max="10" width="46.7109375" style="1" hidden="1" customWidth="1"/>
    <col min="11" max="11" width="9.28515625" style="1" hidden="1" customWidth="1"/>
    <col min="12" max="37" width="9.28515625" style="1" customWidth="1"/>
    <col min="38" max="16384" width="9.28515625" style="1"/>
  </cols>
  <sheetData>
    <row r="1" spans="1:11" hidden="1" x14ac:dyDescent="0.25">
      <c r="A1" s="3" t="s">
        <v>18</v>
      </c>
      <c r="E1" s="145"/>
    </row>
    <row r="2" spans="1:11" ht="60.75" hidden="1" customHeight="1" x14ac:dyDescent="0.25">
      <c r="B2" s="137"/>
      <c r="C2" s="338" t="s">
        <v>140</v>
      </c>
      <c r="D2" s="338"/>
      <c r="E2" s="145"/>
      <c r="F2" s="89"/>
      <c r="G2" s="89"/>
      <c r="H2" s="89"/>
    </row>
    <row r="3" spans="1:11" ht="15" hidden="1" x14ac:dyDescent="0.25">
      <c r="B3" s="85"/>
      <c r="C3" s="46" t="s">
        <v>38</v>
      </c>
      <c r="D3" s="2">
        <f>+'Хисоб-китоб шакли'!D2</f>
        <v>0</v>
      </c>
      <c r="E3" s="145"/>
    </row>
    <row r="4" spans="1:11" ht="33" customHeight="1" x14ac:dyDescent="0.25">
      <c r="B4" s="339" t="s">
        <v>139</v>
      </c>
      <c r="C4" s="341"/>
      <c r="D4" s="341"/>
      <c r="E4" s="47"/>
      <c r="F4" s="47"/>
      <c r="G4" s="47"/>
      <c r="H4" s="47"/>
    </row>
    <row r="5" spans="1:11" x14ac:dyDescent="0.25">
      <c r="E5" s="12"/>
    </row>
    <row r="6" spans="1:11" ht="35.25" customHeight="1" x14ac:dyDescent="0.25">
      <c r="B6" s="48" t="s">
        <v>52</v>
      </c>
      <c r="C6" s="49" t="s">
        <v>31</v>
      </c>
      <c r="D6" s="50" t="s">
        <v>5</v>
      </c>
      <c r="E6" s="145"/>
      <c r="F6" s="214" t="s">
        <v>189</v>
      </c>
      <c r="G6" s="214" t="s">
        <v>124</v>
      </c>
      <c r="H6" s="214" t="s">
        <v>121</v>
      </c>
    </row>
    <row r="7" spans="1:11" ht="60.75" customHeight="1" x14ac:dyDescent="0.25">
      <c r="B7" s="90" t="s">
        <v>224</v>
      </c>
      <c r="C7" s="56" t="s">
        <v>8</v>
      </c>
      <c r="D7" s="52"/>
      <c r="E7" s="145"/>
      <c r="F7" s="215" t="s">
        <v>226</v>
      </c>
      <c r="G7" s="343" t="s">
        <v>225</v>
      </c>
      <c r="H7" s="344"/>
      <c r="J7" s="161" t="s">
        <v>249</v>
      </c>
      <c r="K7" s="162">
        <v>22</v>
      </c>
    </row>
    <row r="8" spans="1:11" ht="60" customHeight="1" x14ac:dyDescent="0.25">
      <c r="B8" s="124" t="s">
        <v>138</v>
      </c>
      <c r="C8" s="57" t="s">
        <v>32</v>
      </c>
      <c r="D8" s="53"/>
      <c r="E8" s="145"/>
      <c r="F8" s="215" t="s">
        <v>227</v>
      </c>
      <c r="G8" s="216" t="s">
        <v>170</v>
      </c>
      <c r="H8" s="216" t="s">
        <v>171</v>
      </c>
      <c r="J8" s="163" t="s">
        <v>250</v>
      </c>
      <c r="K8" s="164">
        <v>22</v>
      </c>
    </row>
    <row r="9" spans="1:11" ht="87" customHeight="1" x14ac:dyDescent="0.25">
      <c r="B9" s="125" t="s">
        <v>141</v>
      </c>
      <c r="C9" s="58" t="s">
        <v>33</v>
      </c>
      <c r="D9" s="103"/>
      <c r="E9" s="145"/>
      <c r="F9" s="215" t="s">
        <v>228</v>
      </c>
      <c r="G9" s="216" t="s">
        <v>172</v>
      </c>
      <c r="H9" s="216" t="s">
        <v>173</v>
      </c>
      <c r="J9" s="165" t="s">
        <v>251</v>
      </c>
      <c r="K9" s="166">
        <v>15</v>
      </c>
    </row>
    <row r="10" spans="1:11" ht="113.25" customHeight="1" x14ac:dyDescent="0.25">
      <c r="B10" s="125" t="s">
        <v>142</v>
      </c>
      <c r="C10" s="58" t="s">
        <v>34</v>
      </c>
      <c r="D10" s="80"/>
      <c r="E10" s="145"/>
      <c r="F10" s="215" t="s">
        <v>229</v>
      </c>
      <c r="G10" s="218" t="s">
        <v>174</v>
      </c>
      <c r="H10" s="218" t="s">
        <v>175</v>
      </c>
      <c r="J10" s="165" t="s">
        <v>252</v>
      </c>
      <c r="K10" s="166">
        <f>+K8-K9</f>
        <v>7</v>
      </c>
    </row>
    <row r="11" spans="1:11" ht="36.75" customHeight="1" x14ac:dyDescent="0.25">
      <c r="B11" s="132" t="s">
        <v>109</v>
      </c>
      <c r="C11" s="58" t="s">
        <v>114</v>
      </c>
      <c r="D11" s="80"/>
      <c r="E11" s="145"/>
      <c r="F11" s="216" t="s">
        <v>230</v>
      </c>
      <c r="G11" s="345" t="s">
        <v>157</v>
      </c>
      <c r="H11" s="345"/>
      <c r="J11" s="163" t="s">
        <v>253</v>
      </c>
      <c r="K11" s="164">
        <v>0</v>
      </c>
    </row>
    <row r="12" spans="1:11" ht="97.5" customHeight="1" x14ac:dyDescent="0.25">
      <c r="B12" s="125" t="s">
        <v>148</v>
      </c>
      <c r="C12" s="58" t="s">
        <v>35</v>
      </c>
      <c r="D12" s="80"/>
      <c r="E12" s="145"/>
      <c r="F12" s="215" t="s">
        <v>231</v>
      </c>
      <c r="G12" s="216" t="s">
        <v>176</v>
      </c>
      <c r="H12" s="216" t="s">
        <v>177</v>
      </c>
    </row>
    <row r="13" spans="1:11" ht="69.75" customHeight="1" x14ac:dyDescent="0.25">
      <c r="B13" s="125" t="s">
        <v>143</v>
      </c>
      <c r="C13" s="58" t="s">
        <v>36</v>
      </c>
      <c r="D13" s="80"/>
      <c r="E13" s="145"/>
      <c r="F13" s="215" t="s">
        <v>232</v>
      </c>
      <c r="G13" s="216" t="s">
        <v>178</v>
      </c>
      <c r="H13" s="216" t="s">
        <v>179</v>
      </c>
    </row>
    <row r="14" spans="1:11" ht="92.25" customHeight="1" x14ac:dyDescent="0.25">
      <c r="B14" s="125" t="s">
        <v>149</v>
      </c>
      <c r="C14" s="58" t="s">
        <v>110</v>
      </c>
      <c r="D14" s="80"/>
      <c r="E14" s="145"/>
      <c r="F14" s="215" t="s">
        <v>233</v>
      </c>
      <c r="G14" s="216" t="s">
        <v>180</v>
      </c>
      <c r="H14" s="218" t="s">
        <v>181</v>
      </c>
    </row>
    <row r="15" spans="1:11" s="4" customFormat="1" ht="91.5" customHeight="1" x14ac:dyDescent="0.25">
      <c r="B15" s="125" t="s">
        <v>144</v>
      </c>
      <c r="C15" s="58" t="s">
        <v>111</v>
      </c>
      <c r="D15" s="94"/>
      <c r="E15" s="145"/>
      <c r="F15" s="215" t="s">
        <v>234</v>
      </c>
      <c r="G15" s="236" t="s">
        <v>182</v>
      </c>
      <c r="H15" s="236" t="s">
        <v>183</v>
      </c>
    </row>
    <row r="16" spans="1:11" ht="114.75" customHeight="1" x14ac:dyDescent="0.25">
      <c r="B16" s="136" t="s">
        <v>165</v>
      </c>
      <c r="C16" s="91" t="s">
        <v>112</v>
      </c>
      <c r="D16" s="92"/>
      <c r="E16" s="145"/>
      <c r="F16" s="215" t="s">
        <v>235</v>
      </c>
      <c r="G16" s="216" t="s">
        <v>248</v>
      </c>
      <c r="H16" s="218" t="s">
        <v>125</v>
      </c>
    </row>
    <row r="17" spans="2:8" ht="23.25" hidden="1" customHeight="1" x14ac:dyDescent="0.25">
      <c r="B17" s="134"/>
      <c r="C17" s="58" t="s">
        <v>113</v>
      </c>
      <c r="D17" s="80"/>
      <c r="E17" s="145"/>
      <c r="F17" s="216"/>
      <c r="G17" s="216"/>
      <c r="H17" s="216"/>
    </row>
    <row r="18" spans="2:8" ht="23.25" hidden="1" customHeight="1" x14ac:dyDescent="0.25">
      <c r="B18" s="134"/>
      <c r="C18" s="58" t="s">
        <v>115</v>
      </c>
      <c r="D18" s="80"/>
      <c r="E18" s="145"/>
      <c r="F18" s="216"/>
      <c r="G18" s="216"/>
      <c r="H18" s="216"/>
    </row>
    <row r="19" spans="2:8" ht="23.25" hidden="1" customHeight="1" x14ac:dyDescent="0.25">
      <c r="B19" s="134"/>
      <c r="C19" s="58" t="s">
        <v>134</v>
      </c>
      <c r="D19" s="80"/>
      <c r="E19" s="145"/>
      <c r="F19" s="217"/>
      <c r="G19" s="217"/>
      <c r="H19" s="217"/>
    </row>
    <row r="20" spans="2:8" ht="57" customHeight="1" x14ac:dyDescent="0.25">
      <c r="B20" s="55" t="s">
        <v>155</v>
      </c>
      <c r="C20" s="56" t="s">
        <v>0</v>
      </c>
      <c r="D20" s="52"/>
      <c r="E20" s="145"/>
      <c r="F20" s="218" t="s">
        <v>236</v>
      </c>
      <c r="G20" s="345" t="s">
        <v>119</v>
      </c>
      <c r="H20" s="345"/>
    </row>
    <row r="21" spans="2:8" ht="63" customHeight="1" x14ac:dyDescent="0.25">
      <c r="B21" s="124" t="s">
        <v>145</v>
      </c>
      <c r="C21" s="57" t="s">
        <v>9</v>
      </c>
      <c r="D21" s="80"/>
      <c r="E21" s="145"/>
      <c r="F21" s="215" t="s">
        <v>295</v>
      </c>
      <c r="G21" s="236" t="s">
        <v>182</v>
      </c>
      <c r="H21" s="236" t="s">
        <v>183</v>
      </c>
    </row>
    <row r="22" spans="2:8" ht="42.75" customHeight="1" x14ac:dyDescent="0.25">
      <c r="B22" s="135" t="s">
        <v>109</v>
      </c>
      <c r="C22" s="58" t="s">
        <v>118</v>
      </c>
      <c r="D22" s="80"/>
      <c r="E22" s="145"/>
      <c r="F22" s="218" t="s">
        <v>237</v>
      </c>
      <c r="G22" s="345" t="s">
        <v>156</v>
      </c>
      <c r="H22" s="345"/>
    </row>
    <row r="23" spans="2:8" ht="206.25" customHeight="1" x14ac:dyDescent="0.25">
      <c r="B23" s="133" t="s">
        <v>146</v>
      </c>
      <c r="C23" s="91" t="s">
        <v>10</v>
      </c>
      <c r="D23" s="92"/>
      <c r="E23" s="145"/>
      <c r="F23" s="216" t="s">
        <v>238</v>
      </c>
      <c r="G23" s="216" t="s">
        <v>184</v>
      </c>
      <c r="H23" s="216" t="s">
        <v>185</v>
      </c>
    </row>
    <row r="24" spans="2:8" ht="24.75" hidden="1" customHeight="1" x14ac:dyDescent="0.25">
      <c r="B24" s="134"/>
      <c r="C24" s="58" t="s">
        <v>11</v>
      </c>
      <c r="D24" s="80"/>
      <c r="E24" s="145"/>
      <c r="F24" s="216"/>
      <c r="G24" s="217"/>
      <c r="H24" s="217"/>
    </row>
    <row r="25" spans="2:8" ht="21.75" customHeight="1" x14ac:dyDescent="0.25">
      <c r="B25" s="55" t="s">
        <v>242</v>
      </c>
      <c r="C25" s="56" t="s">
        <v>1</v>
      </c>
      <c r="D25" s="52"/>
      <c r="E25" s="145"/>
      <c r="F25" s="216" t="s">
        <v>239</v>
      </c>
      <c r="G25" s="345" t="s">
        <v>120</v>
      </c>
      <c r="H25" s="345"/>
    </row>
    <row r="26" spans="2:8" ht="111.75" customHeight="1" x14ac:dyDescent="0.25">
      <c r="B26" s="124" t="s">
        <v>150</v>
      </c>
      <c r="C26" s="57" t="s">
        <v>19</v>
      </c>
      <c r="D26" s="53"/>
      <c r="E26" s="145"/>
      <c r="F26" s="215" t="s">
        <v>240</v>
      </c>
      <c r="G26" s="216" t="s">
        <v>130</v>
      </c>
      <c r="H26" s="216" t="s">
        <v>186</v>
      </c>
    </row>
    <row r="27" spans="2:8" ht="135" customHeight="1" x14ac:dyDescent="0.25">
      <c r="B27" s="133" t="s">
        <v>147</v>
      </c>
      <c r="C27" s="91" t="s">
        <v>20</v>
      </c>
      <c r="D27" s="92"/>
      <c r="E27" s="145"/>
      <c r="F27" s="216" t="s">
        <v>241</v>
      </c>
      <c r="G27" s="216" t="s">
        <v>126</v>
      </c>
      <c r="H27" s="216" t="s">
        <v>127</v>
      </c>
    </row>
    <row r="28" spans="2:8" ht="41.25" hidden="1" customHeight="1" x14ac:dyDescent="0.25">
      <c r="B28" s="134"/>
      <c r="C28" s="58" t="s">
        <v>21</v>
      </c>
      <c r="D28" s="80"/>
      <c r="E28" s="145"/>
      <c r="F28" s="216"/>
      <c r="G28" s="217"/>
      <c r="H28" s="217"/>
    </row>
    <row r="29" spans="2:8" ht="55.5" customHeight="1" x14ac:dyDescent="0.25">
      <c r="B29" s="55" t="s">
        <v>128</v>
      </c>
      <c r="C29" s="56" t="s">
        <v>2</v>
      </c>
      <c r="D29" s="52"/>
      <c r="E29" s="145"/>
      <c r="F29" s="218" t="s">
        <v>243</v>
      </c>
      <c r="G29" s="345" t="s">
        <v>123</v>
      </c>
      <c r="H29" s="345"/>
    </row>
    <row r="30" spans="2:8" ht="128.25" customHeight="1" x14ac:dyDescent="0.25">
      <c r="B30" s="124" t="s">
        <v>166</v>
      </c>
      <c r="C30" s="57" t="s">
        <v>25</v>
      </c>
      <c r="D30" s="53"/>
      <c r="E30" s="145"/>
      <c r="F30" s="215" t="s">
        <v>244</v>
      </c>
      <c r="G30" s="345" t="s">
        <v>122</v>
      </c>
      <c r="H30" s="345"/>
    </row>
    <row r="31" spans="2:8" ht="72.75" customHeight="1" x14ac:dyDescent="0.25">
      <c r="B31" s="124" t="s">
        <v>154</v>
      </c>
      <c r="C31" s="58" t="s">
        <v>27</v>
      </c>
      <c r="D31" s="80"/>
      <c r="E31" s="145"/>
      <c r="F31" s="218" t="s">
        <v>245</v>
      </c>
      <c r="G31" s="345" t="s">
        <v>151</v>
      </c>
      <c r="H31" s="345"/>
    </row>
    <row r="32" spans="2:8" ht="97.5" customHeight="1" x14ac:dyDescent="0.25">
      <c r="B32" s="124" t="s">
        <v>169</v>
      </c>
      <c r="C32" s="58" t="s">
        <v>28</v>
      </c>
      <c r="D32" s="80"/>
      <c r="E32" s="145"/>
      <c r="F32" s="218" t="s">
        <v>247</v>
      </c>
      <c r="G32" s="345" t="s">
        <v>152</v>
      </c>
      <c r="H32" s="345"/>
    </row>
    <row r="33" spans="2:8" ht="108.75" customHeight="1" x14ac:dyDescent="0.25">
      <c r="B33" s="239" t="s">
        <v>162</v>
      </c>
      <c r="C33" s="59" t="s">
        <v>29</v>
      </c>
      <c r="D33" s="77"/>
      <c r="E33" s="145"/>
      <c r="F33" s="218" t="s">
        <v>246</v>
      </c>
      <c r="G33" s="345" t="s">
        <v>153</v>
      </c>
      <c r="H33" s="345"/>
    </row>
    <row r="34" spans="2:8" ht="35.25" hidden="1" customHeight="1" x14ac:dyDescent="0.25">
      <c r="B34" s="237"/>
      <c r="C34" s="238" t="s">
        <v>116</v>
      </c>
      <c r="D34" s="105"/>
      <c r="E34" s="145"/>
      <c r="F34" s="213"/>
      <c r="G34" s="346"/>
      <c r="H34" s="347"/>
    </row>
    <row r="35" spans="2:8" ht="35.25" hidden="1" customHeight="1" x14ac:dyDescent="0.25">
      <c r="B35" s="84"/>
      <c r="C35" s="59" t="s">
        <v>117</v>
      </c>
      <c r="D35" s="77"/>
      <c r="E35" s="145"/>
      <c r="F35" s="93"/>
      <c r="G35" s="348"/>
      <c r="H35" s="349"/>
    </row>
    <row r="36" spans="2:8" ht="15" hidden="1" customHeight="1" x14ac:dyDescent="0.25">
      <c r="B36" s="8"/>
      <c r="C36" s="10"/>
      <c r="D36" s="86"/>
      <c r="E36" s="96"/>
      <c r="F36" s="86"/>
      <c r="G36" s="86"/>
      <c r="H36" s="86"/>
    </row>
    <row r="37" spans="2:8" ht="15" hidden="1" customHeight="1" x14ac:dyDescent="0.25">
      <c r="B37" s="17"/>
      <c r="C37" s="17"/>
      <c r="D37" s="17"/>
      <c r="E37" s="97"/>
      <c r="F37" s="17"/>
      <c r="G37" s="17"/>
      <c r="H37" s="17"/>
    </row>
    <row r="38" spans="2:8" ht="15.75" hidden="1" x14ac:dyDescent="0.25">
      <c r="B38" s="342" t="s">
        <v>80</v>
      </c>
      <c r="C38" s="342"/>
      <c r="D38" s="342"/>
      <c r="E38" s="98"/>
      <c r="F38" s="87"/>
      <c r="G38" s="87"/>
      <c r="H38" s="87"/>
    </row>
    <row r="39" spans="2:8" ht="4.1500000000000004" hidden="1" customHeight="1" x14ac:dyDescent="0.25">
      <c r="B39" s="87"/>
      <c r="C39" s="87"/>
      <c r="D39" s="87"/>
      <c r="E39" s="98"/>
      <c r="F39" s="87"/>
      <c r="G39" s="87"/>
      <c r="H39" s="87"/>
    </row>
    <row r="40" spans="2:8" ht="15" hidden="1" customHeight="1" x14ac:dyDescent="0.25">
      <c r="B40" s="88"/>
      <c r="C40" s="41"/>
      <c r="D40" s="41"/>
      <c r="E40" s="99"/>
      <c r="F40" s="41"/>
      <c r="G40" s="41"/>
      <c r="H40" s="41"/>
    </row>
    <row r="41" spans="2:8" ht="15.75" hidden="1" x14ac:dyDescent="0.25">
      <c r="B41" s="87" t="s">
        <v>57</v>
      </c>
      <c r="C41" s="43"/>
      <c r="D41" s="43"/>
      <c r="E41" s="100"/>
      <c r="F41" s="43"/>
      <c r="G41" s="43"/>
      <c r="H41" s="43"/>
    </row>
    <row r="42" spans="2:8" ht="4.1500000000000004" hidden="1" customHeight="1" x14ac:dyDescent="0.25">
      <c r="B42" s="87"/>
      <c r="C42" s="87"/>
      <c r="D42" s="87"/>
      <c r="E42" s="98"/>
      <c r="F42" s="87"/>
      <c r="G42" s="87"/>
      <c r="H42" s="87"/>
    </row>
    <row r="43" spans="2:8" ht="15" hidden="1" x14ac:dyDescent="0.25">
      <c r="B43" s="88"/>
      <c r="C43" s="41"/>
      <c r="D43" s="41"/>
      <c r="E43" s="99"/>
      <c r="F43" s="41"/>
      <c r="G43" s="41"/>
      <c r="H43" s="41"/>
    </row>
    <row r="47" spans="2:8" ht="15" customHeight="1" x14ac:dyDescent="0.25"/>
    <row r="48" spans="2:8" ht="15" customHeight="1" x14ac:dyDescent="0.25"/>
    <row r="49" ht="15" customHeight="1" x14ac:dyDescent="0.25"/>
    <row r="50" ht="15" customHeight="1" x14ac:dyDescent="0.25"/>
    <row r="51" ht="15" customHeight="1" x14ac:dyDescent="0.25"/>
    <row r="52" ht="15" customHeight="1" x14ac:dyDescent="0.25"/>
  </sheetData>
  <mergeCells count="15">
    <mergeCell ref="C2:D2"/>
    <mergeCell ref="B4:D4"/>
    <mergeCell ref="B38:D38"/>
    <mergeCell ref="G7:H7"/>
    <mergeCell ref="G20:H20"/>
    <mergeCell ref="G25:H25"/>
    <mergeCell ref="G11:H11"/>
    <mergeCell ref="G22:H22"/>
    <mergeCell ref="G29:H29"/>
    <mergeCell ref="G30:H30"/>
    <mergeCell ref="G31:H31"/>
    <mergeCell ref="G32:H32"/>
    <mergeCell ref="G33:H33"/>
    <mergeCell ref="G34:H34"/>
    <mergeCell ref="G35:H35"/>
  </mergeCells>
  <printOptions horizontalCentered="1"/>
  <pageMargins left="0.15748031496062992" right="0.27559055118110237" top="0.39370078740157483" bottom="0.39370078740157483" header="0.31496062992125984" footer="0.31496062992125984"/>
  <pageSetup paperSize="8" scale="3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6</vt:i4>
      </vt:variant>
    </vt:vector>
  </HeadingPairs>
  <TitlesOfParts>
    <vt:vector size="12" baseType="lpstr">
      <vt:lpstr>Солиқ ставкаси</vt:lpstr>
      <vt:lpstr>Свод</vt:lpstr>
      <vt:lpstr>Хисоб-китоб шакли</vt:lpstr>
      <vt:lpstr>1-илова</vt:lpstr>
      <vt:lpstr>2-илова</vt:lpstr>
      <vt:lpstr>3-илова</vt:lpstr>
      <vt:lpstr>'1-илова'!Заголовки_для_печати</vt:lpstr>
      <vt:lpstr>'3-илова'!Заголовки_для_печати</vt:lpstr>
      <vt:lpstr>'1-илова'!Область_печати</vt:lpstr>
      <vt:lpstr>'2-илова'!Область_печати</vt:lpstr>
      <vt:lpstr>'3-илова'!Область_печати</vt:lpstr>
      <vt:lpstr>'Хисоб-китоб шакли'!Область_печати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Isayev Elyor Otaqulovich</cp:lastModifiedBy>
  <cp:lastPrinted>2023-08-04T17:23:59Z</cp:lastPrinted>
  <dcterms:created xsi:type="dcterms:W3CDTF">2013-03-18T10:44:05Z</dcterms:created>
  <dcterms:modified xsi:type="dcterms:W3CDTF">2024-05-27T15:13:32Z</dcterms:modified>
</cp:coreProperties>
</file>