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ЭтаКнига" defaultThemeVersion="124226"/>
  <mc:AlternateContent xmlns:mc="http://schemas.openxmlformats.org/markup-compatibility/2006">
    <mc:Choice Requires="x15">
      <x15ac:absPath xmlns:x15ac="http://schemas.microsoft.com/office/spreadsheetml/2010/11/ac" url="E:\wefo\wefo4\!2024\test_paket\10205_99\"/>
    </mc:Choice>
  </mc:AlternateContent>
  <xr:revisionPtr revIDLastSave="0" documentId="13_ncr:1_{59593A04-5B56-4F04-8DB0-904C9633BEA3}" xr6:coauthVersionLast="47" xr6:coauthVersionMax="47" xr10:uidLastSave="{00000000-0000-0000-0000-000000000000}"/>
  <bookViews>
    <workbookView xWindow="-38510" yWindow="-3750" windowWidth="38620" windowHeight="21100" tabRatio="679" xr2:uid="{00000000-000D-0000-FFFF-FFFF00000000}"/>
  </bookViews>
  <sheets>
    <sheet name="list01" sheetId="146" r:id="rId1"/>
    <sheet name="list02" sheetId="147" r:id="rId2"/>
    <sheet name="list03" sheetId="148" r:id="rId3"/>
    <sheet name="list04" sheetId="163" r:id="rId4"/>
    <sheet name="list05" sheetId="160" r:id="rId5"/>
    <sheet name="list06" sheetId="165" r:id="rId6"/>
    <sheet name="list07" sheetId="152" r:id="rId7"/>
    <sheet name="list08" sheetId="161" r:id="rId8"/>
    <sheet name="list09" sheetId="162" r:id="rId9"/>
    <sheet name="list10" sheetId="153" r:id="rId10"/>
    <sheet name="list11" sheetId="154" r:id="rId11"/>
    <sheet name="list12" sheetId="159" r:id="rId12"/>
    <sheet name="list13" sheetId="156" r:id="rId13"/>
    <sheet name="list14" sheetId="157" r:id="rId14"/>
    <sheet name="list15" sheetId="158" r:id="rId15"/>
    <sheet name="list16" sheetId="164" r:id="rId16"/>
  </sheets>
  <definedNames>
    <definedName name="\a">#N/A</definedName>
    <definedName name="\b">#N/A</definedName>
    <definedName name="\p">#N/A</definedName>
    <definedName name="\z">#N/A</definedName>
    <definedName name="_??" localSheetId="4" hidden="1">{#N/A,#N/A,FALSE,"??";#N/A,#N/A,FALSE,"??2";#N/A,#N/A,FALSE,"??1";#N/A,#N/A,FALSE,"??";#N/A,#N/A,FALSE,"??2";#N/A,#N/A,FALSE,"??1";#N/A,#N/A,FALSE,"??";#N/A,#N/A,FALSE,"??1";#N/A,#N/A,FALSE,"??";#N/A,#N/A,FALSE,"?????";#N/A,#N/A,FALSE,"??"}</definedName>
    <definedName name="_??" localSheetId="5" hidden="1">{#N/A,#N/A,FALSE,"??";#N/A,#N/A,FALSE,"??2";#N/A,#N/A,FALSE,"??1";#N/A,#N/A,FALSE,"??";#N/A,#N/A,FALSE,"??2";#N/A,#N/A,FALSE,"??1";#N/A,#N/A,FALSE,"??";#N/A,#N/A,FALSE,"??1";#N/A,#N/A,FALSE,"??";#N/A,#N/A,FALSE,"?????";#N/A,#N/A,FALSE,"??"}</definedName>
    <definedName name="_??" localSheetId="11" hidden="1">{#N/A,#N/A,FALSE,"??";#N/A,#N/A,FALSE,"??2";#N/A,#N/A,FALSE,"??1";#N/A,#N/A,FALSE,"??";#N/A,#N/A,FALSE,"??2";#N/A,#N/A,FALSE,"??1";#N/A,#N/A,FALSE,"??";#N/A,#N/A,FALSE,"??1";#N/A,#N/A,FALSE,"??";#N/A,#N/A,FALSE,"?????";#N/A,#N/A,FALSE,"??"}</definedName>
    <definedName name="_??" hidden="1">{#N/A,#N/A,FALSE,"??";#N/A,#N/A,FALSE,"??2";#N/A,#N/A,FALSE,"??1";#N/A,#N/A,FALSE,"??";#N/A,#N/A,FALSE,"??2";#N/A,#N/A,FALSE,"??1";#N/A,#N/A,FALSE,"??";#N/A,#N/A,FALSE,"??1";#N/A,#N/A,FALSE,"??";#N/A,#N/A,FALSE,"?????";#N/A,#N/A,FALSE,"??"}</definedName>
    <definedName name="_???" localSheetId="4" hidden="1">{#N/A,#N/A,FALSE,"??????? (5)";#N/A,#N/A,FALSE,"??????? (7)";#N/A,#N/A,FALSE,"??????? (6)";#N/A,#N/A,FALSE,"??????? (2)";#N/A,#N/A,FALSE,"???????";#N/A,#N/A,FALSE,"???????";#N/A,#N/A,FALSE,"???????";#N/A,#N/A,FALSE,"???????";#N/A,#N/A,FALSE,"???????";#N/A,#N/A,FALSE,"????? (2)";#N/A,#N/A,FALSE,"96 ????";#N/A,#N/A,FALSE,"????";#N/A,#N/A,FALSE,"??";#N/A,#N/A,FALSE,"??";#N/A,#N/A,FALSE,"??????"}</definedName>
    <definedName name="_???" localSheetId="5" hidden="1">{#N/A,#N/A,FALSE,"??????? (5)";#N/A,#N/A,FALSE,"??????? (7)";#N/A,#N/A,FALSE,"??????? (6)";#N/A,#N/A,FALSE,"??????? (2)";#N/A,#N/A,FALSE,"???????";#N/A,#N/A,FALSE,"???????";#N/A,#N/A,FALSE,"???????";#N/A,#N/A,FALSE,"???????";#N/A,#N/A,FALSE,"???????";#N/A,#N/A,FALSE,"????? (2)";#N/A,#N/A,FALSE,"96 ????";#N/A,#N/A,FALSE,"????";#N/A,#N/A,FALSE,"??";#N/A,#N/A,FALSE,"??";#N/A,#N/A,FALSE,"??????"}</definedName>
    <definedName name="_???" localSheetId="11" hidden="1">{#N/A,#N/A,FALSE,"??????? (5)";#N/A,#N/A,FALSE,"??????? (7)";#N/A,#N/A,FALSE,"??????? (6)";#N/A,#N/A,FALSE,"??????? (2)";#N/A,#N/A,FALSE,"???????";#N/A,#N/A,FALSE,"???????";#N/A,#N/A,FALSE,"???????";#N/A,#N/A,FALSE,"???????";#N/A,#N/A,FALSE,"???????";#N/A,#N/A,FALSE,"????? (2)";#N/A,#N/A,FALSE,"96 ????";#N/A,#N/A,FALSE,"????";#N/A,#N/A,FALSE,"??";#N/A,#N/A,FALSE,"??";#N/A,#N/A,FALSE,"??????"}</definedName>
    <definedName name="_???" hidden="1">{#N/A,#N/A,FALSE,"??????? (5)";#N/A,#N/A,FALSE,"??????? (7)";#N/A,#N/A,FALSE,"??????? (6)";#N/A,#N/A,FALSE,"??????? (2)";#N/A,#N/A,FALSE,"???????";#N/A,#N/A,FALSE,"???????";#N/A,#N/A,FALSE,"???????";#N/A,#N/A,FALSE,"???????";#N/A,#N/A,FALSE,"???????";#N/A,#N/A,FALSE,"????? (2)";#N/A,#N/A,FALSE,"96 ????";#N/A,#N/A,FALSE,"????";#N/A,#N/A,FALSE,"??";#N/A,#N/A,FALSE,"??";#N/A,#N/A,FALSE,"??????"}</definedName>
    <definedName name="___??" localSheetId="4" hidden="1">{#N/A,#N/A,FALSE,"??";#N/A,#N/A,FALSE,"??2";#N/A,#N/A,FALSE,"??1";#N/A,#N/A,FALSE,"??";#N/A,#N/A,FALSE,"??2";#N/A,#N/A,FALSE,"??1";#N/A,#N/A,FALSE,"??";#N/A,#N/A,FALSE,"??1";#N/A,#N/A,FALSE,"??";#N/A,#N/A,FALSE,"?????";#N/A,#N/A,FALSE,"??"}</definedName>
    <definedName name="___??" localSheetId="5" hidden="1">{#N/A,#N/A,FALSE,"??";#N/A,#N/A,FALSE,"??2";#N/A,#N/A,FALSE,"??1";#N/A,#N/A,FALSE,"??";#N/A,#N/A,FALSE,"??2";#N/A,#N/A,FALSE,"??1";#N/A,#N/A,FALSE,"??";#N/A,#N/A,FALSE,"??1";#N/A,#N/A,FALSE,"??";#N/A,#N/A,FALSE,"?????";#N/A,#N/A,FALSE,"??"}</definedName>
    <definedName name="___??" localSheetId="11" hidden="1">{#N/A,#N/A,FALSE,"??";#N/A,#N/A,FALSE,"??2";#N/A,#N/A,FALSE,"??1";#N/A,#N/A,FALSE,"??";#N/A,#N/A,FALSE,"??2";#N/A,#N/A,FALSE,"??1";#N/A,#N/A,FALSE,"??";#N/A,#N/A,FALSE,"??1";#N/A,#N/A,FALSE,"??";#N/A,#N/A,FALSE,"?????";#N/A,#N/A,FALSE,"??"}</definedName>
    <definedName name="___??" hidden="1">{#N/A,#N/A,FALSE,"??";#N/A,#N/A,FALSE,"??2";#N/A,#N/A,FALSE,"??1";#N/A,#N/A,FALSE,"??";#N/A,#N/A,FALSE,"??2";#N/A,#N/A,FALSE,"??1";#N/A,#N/A,FALSE,"??";#N/A,#N/A,FALSE,"??1";#N/A,#N/A,FALSE,"??";#N/A,#N/A,FALSE,"?????";#N/A,#N/A,FALSE,"??"}</definedName>
    <definedName name="___???" localSheetId="4" hidden="1">{#N/A,#N/A,FALSE,"??????? (5)";#N/A,#N/A,FALSE,"??????? (7)";#N/A,#N/A,FALSE,"??????? (6)";#N/A,#N/A,FALSE,"??????? (2)";#N/A,#N/A,FALSE,"???????";#N/A,#N/A,FALSE,"???????";#N/A,#N/A,FALSE,"???????";#N/A,#N/A,FALSE,"???????";#N/A,#N/A,FALSE,"???????";#N/A,#N/A,FALSE,"????? (2)";#N/A,#N/A,FALSE,"96 ????";#N/A,#N/A,FALSE,"????";#N/A,#N/A,FALSE,"??";#N/A,#N/A,FALSE,"??";#N/A,#N/A,FALSE,"??????"}</definedName>
    <definedName name="___???" localSheetId="5" hidden="1">{#N/A,#N/A,FALSE,"??????? (5)";#N/A,#N/A,FALSE,"??????? (7)";#N/A,#N/A,FALSE,"??????? (6)";#N/A,#N/A,FALSE,"??????? (2)";#N/A,#N/A,FALSE,"???????";#N/A,#N/A,FALSE,"???????";#N/A,#N/A,FALSE,"???????";#N/A,#N/A,FALSE,"???????";#N/A,#N/A,FALSE,"???????";#N/A,#N/A,FALSE,"????? (2)";#N/A,#N/A,FALSE,"96 ????";#N/A,#N/A,FALSE,"????";#N/A,#N/A,FALSE,"??";#N/A,#N/A,FALSE,"??";#N/A,#N/A,FALSE,"??????"}</definedName>
    <definedName name="___???" localSheetId="11" hidden="1">{#N/A,#N/A,FALSE,"??????? (5)";#N/A,#N/A,FALSE,"??????? (7)";#N/A,#N/A,FALSE,"??????? (6)";#N/A,#N/A,FALSE,"??????? (2)";#N/A,#N/A,FALSE,"???????";#N/A,#N/A,FALSE,"???????";#N/A,#N/A,FALSE,"???????";#N/A,#N/A,FALSE,"???????";#N/A,#N/A,FALSE,"???????";#N/A,#N/A,FALSE,"????? (2)";#N/A,#N/A,FALSE,"96 ????";#N/A,#N/A,FALSE,"????";#N/A,#N/A,FALSE,"??";#N/A,#N/A,FALSE,"??";#N/A,#N/A,FALSE,"??????"}</definedName>
    <definedName name="___???" hidden="1">{#N/A,#N/A,FALSE,"??????? (5)";#N/A,#N/A,FALSE,"??????? (7)";#N/A,#N/A,FALSE,"??????? (6)";#N/A,#N/A,FALSE,"??????? (2)";#N/A,#N/A,FALSE,"???????";#N/A,#N/A,FALSE,"???????";#N/A,#N/A,FALSE,"???????";#N/A,#N/A,FALSE,"???????";#N/A,#N/A,FALSE,"???????";#N/A,#N/A,FALSE,"????? (2)";#N/A,#N/A,FALSE,"96 ????";#N/A,#N/A,FALSE,"????";#N/A,#N/A,FALSE,"??";#N/A,#N/A,FALSE,"??";#N/A,#N/A,FALSE,"??????"}</definedName>
    <definedName name="_____??" localSheetId="4" hidden="1">{#N/A,#N/A,FALSE,"??";#N/A,#N/A,FALSE,"??2";#N/A,#N/A,FALSE,"??1";#N/A,#N/A,FALSE,"??";#N/A,#N/A,FALSE,"??2";#N/A,#N/A,FALSE,"??1";#N/A,#N/A,FALSE,"??";#N/A,#N/A,FALSE,"??1";#N/A,#N/A,FALSE,"??";#N/A,#N/A,FALSE,"?????";#N/A,#N/A,FALSE,"??"}</definedName>
    <definedName name="_____??" localSheetId="5" hidden="1">{#N/A,#N/A,FALSE,"??";#N/A,#N/A,FALSE,"??2";#N/A,#N/A,FALSE,"??1";#N/A,#N/A,FALSE,"??";#N/A,#N/A,FALSE,"??2";#N/A,#N/A,FALSE,"??1";#N/A,#N/A,FALSE,"??";#N/A,#N/A,FALSE,"??1";#N/A,#N/A,FALSE,"??";#N/A,#N/A,FALSE,"?????";#N/A,#N/A,FALSE,"??"}</definedName>
    <definedName name="_____??" localSheetId="11" hidden="1">{#N/A,#N/A,FALSE,"??";#N/A,#N/A,FALSE,"??2";#N/A,#N/A,FALSE,"??1";#N/A,#N/A,FALSE,"??";#N/A,#N/A,FALSE,"??2";#N/A,#N/A,FALSE,"??1";#N/A,#N/A,FALSE,"??";#N/A,#N/A,FALSE,"??1";#N/A,#N/A,FALSE,"??";#N/A,#N/A,FALSE,"?????";#N/A,#N/A,FALSE,"??"}</definedName>
    <definedName name="_____??" hidden="1">{#N/A,#N/A,FALSE,"??";#N/A,#N/A,FALSE,"??2";#N/A,#N/A,FALSE,"??1";#N/A,#N/A,FALSE,"??";#N/A,#N/A,FALSE,"??2";#N/A,#N/A,FALSE,"??1";#N/A,#N/A,FALSE,"??";#N/A,#N/A,FALSE,"??1";#N/A,#N/A,FALSE,"??";#N/A,#N/A,FALSE,"?????";#N/A,#N/A,FALSE,"??"}</definedName>
    <definedName name="_____???" localSheetId="4" hidden="1">{#N/A,#N/A,FALSE,"??????? (5)";#N/A,#N/A,FALSE,"??????? (7)";#N/A,#N/A,FALSE,"??????? (6)";#N/A,#N/A,FALSE,"??????? (2)";#N/A,#N/A,FALSE,"???????";#N/A,#N/A,FALSE,"???????";#N/A,#N/A,FALSE,"???????";#N/A,#N/A,FALSE,"???????";#N/A,#N/A,FALSE,"???????";#N/A,#N/A,FALSE,"????? (2)";#N/A,#N/A,FALSE,"96 ????";#N/A,#N/A,FALSE,"????";#N/A,#N/A,FALSE,"??";#N/A,#N/A,FALSE,"??";#N/A,#N/A,FALSE,"??????"}</definedName>
    <definedName name="_____???" localSheetId="5" hidden="1">{#N/A,#N/A,FALSE,"??????? (5)";#N/A,#N/A,FALSE,"??????? (7)";#N/A,#N/A,FALSE,"??????? (6)";#N/A,#N/A,FALSE,"??????? (2)";#N/A,#N/A,FALSE,"???????";#N/A,#N/A,FALSE,"???????";#N/A,#N/A,FALSE,"???????";#N/A,#N/A,FALSE,"???????";#N/A,#N/A,FALSE,"???????";#N/A,#N/A,FALSE,"????? (2)";#N/A,#N/A,FALSE,"96 ????";#N/A,#N/A,FALSE,"????";#N/A,#N/A,FALSE,"??";#N/A,#N/A,FALSE,"??";#N/A,#N/A,FALSE,"??????"}</definedName>
    <definedName name="_____???" localSheetId="11" hidden="1">{#N/A,#N/A,FALSE,"??????? (5)";#N/A,#N/A,FALSE,"??????? (7)";#N/A,#N/A,FALSE,"??????? (6)";#N/A,#N/A,FALSE,"??????? (2)";#N/A,#N/A,FALSE,"???????";#N/A,#N/A,FALSE,"???????";#N/A,#N/A,FALSE,"???????";#N/A,#N/A,FALSE,"???????";#N/A,#N/A,FALSE,"???????";#N/A,#N/A,FALSE,"????? (2)";#N/A,#N/A,FALSE,"96 ????";#N/A,#N/A,FALSE,"????";#N/A,#N/A,FALSE,"??";#N/A,#N/A,FALSE,"??";#N/A,#N/A,FALSE,"??????"}</definedName>
    <definedName name="_____???" hidden="1">{#N/A,#N/A,FALSE,"??????? (5)";#N/A,#N/A,FALSE,"??????? (7)";#N/A,#N/A,FALSE,"??????? (6)";#N/A,#N/A,FALSE,"??????? (2)";#N/A,#N/A,FALSE,"???????";#N/A,#N/A,FALSE,"???????";#N/A,#N/A,FALSE,"???????";#N/A,#N/A,FALSE,"???????";#N/A,#N/A,FALSE,"???????";#N/A,#N/A,FALSE,"????? (2)";#N/A,#N/A,FALSE,"96 ????";#N/A,#N/A,FALSE,"????";#N/A,#N/A,FALSE,"??";#N/A,#N/A,FALSE,"??";#N/A,#N/A,FALSE,"??????"}</definedName>
    <definedName name="______??" localSheetId="4" hidden="1">{#N/A,#N/A,FALSE,"??";#N/A,#N/A,FALSE,"??2";#N/A,#N/A,FALSE,"??1";#N/A,#N/A,FALSE,"??";#N/A,#N/A,FALSE,"??2";#N/A,#N/A,FALSE,"??1";#N/A,#N/A,FALSE,"??";#N/A,#N/A,FALSE,"??1";#N/A,#N/A,FALSE,"??";#N/A,#N/A,FALSE,"?????";#N/A,#N/A,FALSE,"??"}</definedName>
    <definedName name="______??" localSheetId="5" hidden="1">{#N/A,#N/A,FALSE,"??";#N/A,#N/A,FALSE,"??2";#N/A,#N/A,FALSE,"??1";#N/A,#N/A,FALSE,"??";#N/A,#N/A,FALSE,"??2";#N/A,#N/A,FALSE,"??1";#N/A,#N/A,FALSE,"??";#N/A,#N/A,FALSE,"??1";#N/A,#N/A,FALSE,"??";#N/A,#N/A,FALSE,"?????";#N/A,#N/A,FALSE,"??"}</definedName>
    <definedName name="______??" localSheetId="11" hidden="1">{#N/A,#N/A,FALSE,"??";#N/A,#N/A,FALSE,"??2";#N/A,#N/A,FALSE,"??1";#N/A,#N/A,FALSE,"??";#N/A,#N/A,FALSE,"??2";#N/A,#N/A,FALSE,"??1";#N/A,#N/A,FALSE,"??";#N/A,#N/A,FALSE,"??1";#N/A,#N/A,FALSE,"??";#N/A,#N/A,FALSE,"?????";#N/A,#N/A,FALSE,"??"}</definedName>
    <definedName name="______??" hidden="1">{#N/A,#N/A,FALSE,"??";#N/A,#N/A,FALSE,"??2";#N/A,#N/A,FALSE,"??1";#N/A,#N/A,FALSE,"??";#N/A,#N/A,FALSE,"??2";#N/A,#N/A,FALSE,"??1";#N/A,#N/A,FALSE,"??";#N/A,#N/A,FALSE,"??1";#N/A,#N/A,FALSE,"??";#N/A,#N/A,FALSE,"?????";#N/A,#N/A,FALSE,"??"}</definedName>
    <definedName name="______???" localSheetId="4" hidden="1">{#N/A,#N/A,FALSE,"??????? (5)";#N/A,#N/A,FALSE,"??????? (7)";#N/A,#N/A,FALSE,"??????? (6)";#N/A,#N/A,FALSE,"??????? (2)";#N/A,#N/A,FALSE,"???????";#N/A,#N/A,FALSE,"???????";#N/A,#N/A,FALSE,"???????";#N/A,#N/A,FALSE,"???????";#N/A,#N/A,FALSE,"???????";#N/A,#N/A,FALSE,"????? (2)";#N/A,#N/A,FALSE,"96 ????";#N/A,#N/A,FALSE,"????";#N/A,#N/A,FALSE,"??";#N/A,#N/A,FALSE,"??";#N/A,#N/A,FALSE,"??????"}</definedName>
    <definedName name="______???" localSheetId="5" hidden="1">{#N/A,#N/A,FALSE,"??????? (5)";#N/A,#N/A,FALSE,"??????? (7)";#N/A,#N/A,FALSE,"??????? (6)";#N/A,#N/A,FALSE,"??????? (2)";#N/A,#N/A,FALSE,"???????";#N/A,#N/A,FALSE,"???????";#N/A,#N/A,FALSE,"???????";#N/A,#N/A,FALSE,"???????";#N/A,#N/A,FALSE,"???????";#N/A,#N/A,FALSE,"????? (2)";#N/A,#N/A,FALSE,"96 ????";#N/A,#N/A,FALSE,"????";#N/A,#N/A,FALSE,"??";#N/A,#N/A,FALSE,"??";#N/A,#N/A,FALSE,"??????"}</definedName>
    <definedName name="______???" localSheetId="11" hidden="1">{#N/A,#N/A,FALSE,"??????? (5)";#N/A,#N/A,FALSE,"??????? (7)";#N/A,#N/A,FALSE,"??????? (6)";#N/A,#N/A,FALSE,"??????? (2)";#N/A,#N/A,FALSE,"???????";#N/A,#N/A,FALSE,"???????";#N/A,#N/A,FALSE,"???????";#N/A,#N/A,FALSE,"???????";#N/A,#N/A,FALSE,"???????";#N/A,#N/A,FALSE,"????? (2)";#N/A,#N/A,FALSE,"96 ????";#N/A,#N/A,FALSE,"????";#N/A,#N/A,FALSE,"??";#N/A,#N/A,FALSE,"??";#N/A,#N/A,FALSE,"??????"}</definedName>
    <definedName name="______???" hidden="1">{#N/A,#N/A,FALSE,"??????? (5)";#N/A,#N/A,FALSE,"??????? (7)";#N/A,#N/A,FALSE,"??????? (6)";#N/A,#N/A,FALSE,"??????? (2)";#N/A,#N/A,FALSE,"???????";#N/A,#N/A,FALSE,"???????";#N/A,#N/A,FALSE,"???????";#N/A,#N/A,FALSE,"???????";#N/A,#N/A,FALSE,"???????";#N/A,#N/A,FALSE,"????? (2)";#N/A,#N/A,FALSE,"96 ????";#N/A,#N/A,FALSE,"????";#N/A,#N/A,FALSE,"??";#N/A,#N/A,FALSE,"??";#N/A,#N/A,FALSE,"??????"}</definedName>
    <definedName name="___________________________________AT1" localSheetId="4" hidden="1">{#N/A,#N/A,FALSE,"인원";#N/A,#N/A,FALSE,"비용2";#N/A,#N/A,FALSE,"비용1";#N/A,#N/A,FALSE,"비용";#N/A,#N/A,FALSE,"보증2";#N/A,#N/A,FALSE,"보증1";#N/A,#N/A,FALSE,"보증";#N/A,#N/A,FALSE,"손익1";#N/A,#N/A,FALSE,"손익";#N/A,#N/A,FALSE,"부서별매출";#N/A,#N/A,FALSE,"매출"}</definedName>
    <definedName name="___________________________________AT1" localSheetId="5" hidden="1">{#N/A,#N/A,FALSE,"인원";#N/A,#N/A,FALSE,"비용2";#N/A,#N/A,FALSE,"비용1";#N/A,#N/A,FALSE,"비용";#N/A,#N/A,FALSE,"보증2";#N/A,#N/A,FALSE,"보증1";#N/A,#N/A,FALSE,"보증";#N/A,#N/A,FALSE,"손익1";#N/A,#N/A,FALSE,"손익";#N/A,#N/A,FALSE,"부서별매출";#N/A,#N/A,FALSE,"매출"}</definedName>
    <definedName name="___________________________________AT1" localSheetId="11" hidden="1">{#N/A,#N/A,FALSE,"인원";#N/A,#N/A,FALSE,"비용2";#N/A,#N/A,FALSE,"비용1";#N/A,#N/A,FALSE,"비용";#N/A,#N/A,FALSE,"보증2";#N/A,#N/A,FALSE,"보증1";#N/A,#N/A,FALSE,"보증";#N/A,#N/A,FALSE,"손익1";#N/A,#N/A,FALSE,"손익";#N/A,#N/A,FALSE,"부서별매출";#N/A,#N/A,FALSE,"매출"}</definedName>
    <definedName name="___________________________________AT1" hidden="1">{#N/A,#N/A,FALSE,"인원";#N/A,#N/A,FALSE,"비용2";#N/A,#N/A,FALSE,"비용1";#N/A,#N/A,FALSE,"비용";#N/A,#N/A,FALSE,"보증2";#N/A,#N/A,FALSE,"보증1";#N/A,#N/A,FALSE,"보증";#N/A,#N/A,FALSE,"손익1";#N/A,#N/A,FALSE,"손익";#N/A,#N/A,FALSE,"부서별매출";#N/A,#N/A,FALSE,"매출"}</definedName>
    <definedName name="___________________________________AT3" localSheetId="4" hidden="1">{#N/A,#N/A,FALSE,"인원";#N/A,#N/A,FALSE,"비용2";#N/A,#N/A,FALSE,"비용1";#N/A,#N/A,FALSE,"비용";#N/A,#N/A,FALSE,"보증2";#N/A,#N/A,FALSE,"보증1";#N/A,#N/A,FALSE,"보증";#N/A,#N/A,FALSE,"손익1";#N/A,#N/A,FALSE,"손익";#N/A,#N/A,FALSE,"부서별매출";#N/A,#N/A,FALSE,"매출"}</definedName>
    <definedName name="___________________________________AT3" localSheetId="5" hidden="1">{#N/A,#N/A,FALSE,"인원";#N/A,#N/A,FALSE,"비용2";#N/A,#N/A,FALSE,"비용1";#N/A,#N/A,FALSE,"비용";#N/A,#N/A,FALSE,"보증2";#N/A,#N/A,FALSE,"보증1";#N/A,#N/A,FALSE,"보증";#N/A,#N/A,FALSE,"손익1";#N/A,#N/A,FALSE,"손익";#N/A,#N/A,FALSE,"부서별매출";#N/A,#N/A,FALSE,"매출"}</definedName>
    <definedName name="___________________________________AT3" localSheetId="11" hidden="1">{#N/A,#N/A,FALSE,"인원";#N/A,#N/A,FALSE,"비용2";#N/A,#N/A,FALSE,"비용1";#N/A,#N/A,FALSE,"비용";#N/A,#N/A,FALSE,"보증2";#N/A,#N/A,FALSE,"보증1";#N/A,#N/A,FALSE,"보증";#N/A,#N/A,FALSE,"손익1";#N/A,#N/A,FALSE,"손익";#N/A,#N/A,FALSE,"부서별매출";#N/A,#N/A,FALSE,"매출"}</definedName>
    <definedName name="___________________________________AT3" hidden="1">{#N/A,#N/A,FALSE,"인원";#N/A,#N/A,FALSE,"비용2";#N/A,#N/A,FALSE,"비용1";#N/A,#N/A,FALSE,"비용";#N/A,#N/A,FALSE,"보증2";#N/A,#N/A,FALSE,"보증1";#N/A,#N/A,FALSE,"보증";#N/A,#N/A,FALSE,"손익1";#N/A,#N/A,FALSE,"손익";#N/A,#N/A,FALSE,"부서별매출";#N/A,#N/A,FALSE,"매출"}</definedName>
    <definedName name="___________________________________J200" localSheetId="4" hidden="1">{#N/A,#N/A,FALSE,"인원";#N/A,#N/A,FALSE,"비용2";#N/A,#N/A,FALSE,"비용1";#N/A,#N/A,FALSE,"비용";#N/A,#N/A,FALSE,"보증2";#N/A,#N/A,FALSE,"보증1";#N/A,#N/A,FALSE,"보증";#N/A,#N/A,FALSE,"손익1";#N/A,#N/A,FALSE,"손익";#N/A,#N/A,FALSE,"부서별매출";#N/A,#N/A,FALSE,"매출"}</definedName>
    <definedName name="___________________________________J200" localSheetId="5" hidden="1">{#N/A,#N/A,FALSE,"인원";#N/A,#N/A,FALSE,"비용2";#N/A,#N/A,FALSE,"비용1";#N/A,#N/A,FALSE,"비용";#N/A,#N/A,FALSE,"보증2";#N/A,#N/A,FALSE,"보증1";#N/A,#N/A,FALSE,"보증";#N/A,#N/A,FALSE,"손익1";#N/A,#N/A,FALSE,"손익";#N/A,#N/A,FALSE,"부서별매출";#N/A,#N/A,FALSE,"매출"}</definedName>
    <definedName name="___________________________________J200" localSheetId="11" hidden="1">{#N/A,#N/A,FALSE,"인원";#N/A,#N/A,FALSE,"비용2";#N/A,#N/A,FALSE,"비용1";#N/A,#N/A,FALSE,"비용";#N/A,#N/A,FALSE,"보증2";#N/A,#N/A,FALSE,"보증1";#N/A,#N/A,FALSE,"보증";#N/A,#N/A,FALSE,"손익1";#N/A,#N/A,FALSE,"손익";#N/A,#N/A,FALSE,"부서별매출";#N/A,#N/A,FALSE,"매출"}</definedName>
    <definedName name="___________________________________J200" hidden="1">{#N/A,#N/A,FALSE,"인원";#N/A,#N/A,FALSE,"비용2";#N/A,#N/A,FALSE,"비용1";#N/A,#N/A,FALSE,"비용";#N/A,#N/A,FALSE,"보증2";#N/A,#N/A,FALSE,"보증1";#N/A,#N/A,FALSE,"보증";#N/A,#N/A,FALSE,"손익1";#N/A,#N/A,FALSE,"손익";#N/A,#N/A,FALSE,"부서별매출";#N/A,#N/A,FALSE,"매출"}</definedName>
    <definedName name="___________________________________tt1" localSheetId="4" hidden="1">{#N/A,#N/A,TRUE,"일정"}</definedName>
    <definedName name="___________________________________tt1" localSheetId="5" hidden="1">{#N/A,#N/A,TRUE,"일정"}</definedName>
    <definedName name="___________________________________tt1" localSheetId="11" hidden="1">{#N/A,#N/A,TRUE,"일정"}</definedName>
    <definedName name="___________________________________tt1" hidden="1">{#N/A,#N/A,TRUE,"일정"}</definedName>
    <definedName name="__________________________________a12" localSheetId="4" hidden="1">{"'Monthly 1997'!$A$3:$S$89"}</definedName>
    <definedName name="__________________________________a12" localSheetId="5" hidden="1">{"'Monthly 1997'!$A$3:$S$89"}</definedName>
    <definedName name="__________________________________a12" localSheetId="11" hidden="1">{"'Monthly 1997'!$A$3:$S$89"}</definedName>
    <definedName name="__________________________________a12" hidden="1">{"'Monthly 1997'!$A$3:$S$89"}</definedName>
    <definedName name="________________________________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________________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_________________AT2"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______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________________AT1" localSheetId="4" hidden="1">{#N/A,#N/A,FALSE,"인원";#N/A,#N/A,FALSE,"비용2";#N/A,#N/A,FALSE,"비용1";#N/A,#N/A,FALSE,"비용";#N/A,#N/A,FALSE,"보증2";#N/A,#N/A,FALSE,"보증1";#N/A,#N/A,FALSE,"보증";#N/A,#N/A,FALSE,"손익1";#N/A,#N/A,FALSE,"손익";#N/A,#N/A,FALSE,"부서별매출";#N/A,#N/A,FALSE,"매출"}</definedName>
    <definedName name="_________________________________AT1" localSheetId="5" hidden="1">{#N/A,#N/A,FALSE,"인원";#N/A,#N/A,FALSE,"비용2";#N/A,#N/A,FALSE,"비용1";#N/A,#N/A,FALSE,"비용";#N/A,#N/A,FALSE,"보증2";#N/A,#N/A,FALSE,"보증1";#N/A,#N/A,FALSE,"보증";#N/A,#N/A,FALSE,"손익1";#N/A,#N/A,FALSE,"손익";#N/A,#N/A,FALSE,"부서별매출";#N/A,#N/A,FALSE,"매출"}</definedName>
    <definedName name="_________________________________AT1" localSheetId="11" hidden="1">{#N/A,#N/A,FALSE,"인원";#N/A,#N/A,FALSE,"비용2";#N/A,#N/A,FALSE,"비용1";#N/A,#N/A,FALSE,"비용";#N/A,#N/A,FALSE,"보증2";#N/A,#N/A,FALSE,"보증1";#N/A,#N/A,FALSE,"보증";#N/A,#N/A,FALSE,"손익1";#N/A,#N/A,FALSE,"손익";#N/A,#N/A,FALSE,"부서별매출";#N/A,#N/A,FALSE,"매출"}</definedName>
    <definedName name="_________________________________AT1" hidden="1">{#N/A,#N/A,FALSE,"인원";#N/A,#N/A,FALSE,"비용2";#N/A,#N/A,FALSE,"비용1";#N/A,#N/A,FALSE,"비용";#N/A,#N/A,FALSE,"보증2";#N/A,#N/A,FALSE,"보증1";#N/A,#N/A,FALSE,"보증";#N/A,#N/A,FALSE,"손익1";#N/A,#N/A,FALSE,"손익";#N/A,#N/A,FALSE,"부서별매출";#N/A,#N/A,FALSE,"매출"}</definedName>
    <definedName name="_________________________________AT3" localSheetId="4" hidden="1">{#N/A,#N/A,FALSE,"인원";#N/A,#N/A,FALSE,"비용2";#N/A,#N/A,FALSE,"비용1";#N/A,#N/A,FALSE,"비용";#N/A,#N/A,FALSE,"보증2";#N/A,#N/A,FALSE,"보증1";#N/A,#N/A,FALSE,"보증";#N/A,#N/A,FALSE,"손익1";#N/A,#N/A,FALSE,"손익";#N/A,#N/A,FALSE,"부서별매출";#N/A,#N/A,FALSE,"매출"}</definedName>
    <definedName name="_________________________________AT3" localSheetId="5" hidden="1">{#N/A,#N/A,FALSE,"인원";#N/A,#N/A,FALSE,"비용2";#N/A,#N/A,FALSE,"비용1";#N/A,#N/A,FALSE,"비용";#N/A,#N/A,FALSE,"보증2";#N/A,#N/A,FALSE,"보증1";#N/A,#N/A,FALSE,"보증";#N/A,#N/A,FALSE,"손익1";#N/A,#N/A,FALSE,"손익";#N/A,#N/A,FALSE,"부서별매출";#N/A,#N/A,FALSE,"매출"}</definedName>
    <definedName name="_________________________________AT3" localSheetId="11" hidden="1">{#N/A,#N/A,FALSE,"인원";#N/A,#N/A,FALSE,"비용2";#N/A,#N/A,FALSE,"비용1";#N/A,#N/A,FALSE,"비용";#N/A,#N/A,FALSE,"보증2";#N/A,#N/A,FALSE,"보증1";#N/A,#N/A,FALSE,"보증";#N/A,#N/A,FALSE,"손익1";#N/A,#N/A,FALSE,"손익";#N/A,#N/A,FALSE,"부서별매출";#N/A,#N/A,FALSE,"매출"}</definedName>
    <definedName name="_________________________________AT3" hidden="1">{#N/A,#N/A,FALSE,"인원";#N/A,#N/A,FALSE,"비용2";#N/A,#N/A,FALSE,"비용1";#N/A,#N/A,FALSE,"비용";#N/A,#N/A,FALSE,"보증2";#N/A,#N/A,FALSE,"보증1";#N/A,#N/A,FALSE,"보증";#N/A,#N/A,FALSE,"손익1";#N/A,#N/A,FALSE,"손익";#N/A,#N/A,FALSE,"부서별매출";#N/A,#N/A,FALSE,"매출"}</definedName>
    <definedName name="_________________________________J200" localSheetId="4" hidden="1">{#N/A,#N/A,FALSE,"인원";#N/A,#N/A,FALSE,"비용2";#N/A,#N/A,FALSE,"비용1";#N/A,#N/A,FALSE,"비용";#N/A,#N/A,FALSE,"보증2";#N/A,#N/A,FALSE,"보증1";#N/A,#N/A,FALSE,"보증";#N/A,#N/A,FALSE,"손익1";#N/A,#N/A,FALSE,"손익";#N/A,#N/A,FALSE,"부서별매출";#N/A,#N/A,FALSE,"매출"}</definedName>
    <definedName name="_________________________________J200" localSheetId="5" hidden="1">{#N/A,#N/A,FALSE,"인원";#N/A,#N/A,FALSE,"비용2";#N/A,#N/A,FALSE,"비용1";#N/A,#N/A,FALSE,"비용";#N/A,#N/A,FALSE,"보증2";#N/A,#N/A,FALSE,"보증1";#N/A,#N/A,FALSE,"보증";#N/A,#N/A,FALSE,"손익1";#N/A,#N/A,FALSE,"손익";#N/A,#N/A,FALSE,"부서별매출";#N/A,#N/A,FALSE,"매출"}</definedName>
    <definedName name="_________________________________J200" localSheetId="11" hidden="1">{#N/A,#N/A,FALSE,"인원";#N/A,#N/A,FALSE,"비용2";#N/A,#N/A,FALSE,"비용1";#N/A,#N/A,FALSE,"비용";#N/A,#N/A,FALSE,"보증2";#N/A,#N/A,FALSE,"보증1";#N/A,#N/A,FALSE,"보증";#N/A,#N/A,FALSE,"손익1";#N/A,#N/A,FALSE,"손익";#N/A,#N/A,FALSE,"부서별매출";#N/A,#N/A,FALSE,"매출"}</definedName>
    <definedName name="_________________________________J200" hidden="1">{#N/A,#N/A,FALSE,"인원";#N/A,#N/A,FALSE,"비용2";#N/A,#N/A,FALSE,"비용1";#N/A,#N/A,FALSE,"비용";#N/A,#N/A,FALSE,"보증2";#N/A,#N/A,FALSE,"보증1";#N/A,#N/A,FALSE,"보증";#N/A,#N/A,FALSE,"손익1";#N/A,#N/A,FALSE,"손익";#N/A,#N/A,FALSE,"부서별매출";#N/A,#N/A,FALSE,"매출"}</definedName>
    <definedName name="_________________________________tt1" localSheetId="4" hidden="1">{#N/A,#N/A,TRUE,"일정"}</definedName>
    <definedName name="_________________________________tt1" localSheetId="5" hidden="1">{#N/A,#N/A,TRUE,"일정"}</definedName>
    <definedName name="_________________________________tt1" localSheetId="11" hidden="1">{#N/A,#N/A,TRUE,"일정"}</definedName>
    <definedName name="_________________________________tt1" hidden="1">{#N/A,#N/A,TRUE,"일정"}</definedName>
    <definedName name="________________________________A1" localSheetId="4" hidden="1">#REF!</definedName>
    <definedName name="________________________________A1" localSheetId="5" hidden="1">#REF!</definedName>
    <definedName name="________________________________A1" localSheetId="11" hidden="1">#REF!</definedName>
    <definedName name="________________________________A1" hidden="1">#REF!</definedName>
    <definedName name="________________________________a12" localSheetId="4" hidden="1">{"'Monthly 1997'!$A$3:$S$89"}</definedName>
    <definedName name="________________________________a12" localSheetId="5" hidden="1">{"'Monthly 1997'!$A$3:$S$89"}</definedName>
    <definedName name="________________________________a12" localSheetId="11" hidden="1">{"'Monthly 1997'!$A$3:$S$89"}</definedName>
    <definedName name="________________________________a12" hidden="1">{"'Monthly 1997'!$A$3:$S$89"}</definedName>
    <definedName name="______________________________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______________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_______________AT2"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____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______________A1" localSheetId="4" hidden="1">#REF!</definedName>
    <definedName name="_______________________________A1" localSheetId="5" hidden="1">#REF!</definedName>
    <definedName name="_______________________________A1" localSheetId="11" hidden="1">#REF!</definedName>
    <definedName name="_______________________________A1" hidden="1">#REF!</definedName>
    <definedName name="_______________________________AT1" localSheetId="4" hidden="1">{#N/A,#N/A,FALSE,"인원";#N/A,#N/A,FALSE,"비용2";#N/A,#N/A,FALSE,"비용1";#N/A,#N/A,FALSE,"비용";#N/A,#N/A,FALSE,"보증2";#N/A,#N/A,FALSE,"보증1";#N/A,#N/A,FALSE,"보증";#N/A,#N/A,FALSE,"손익1";#N/A,#N/A,FALSE,"손익";#N/A,#N/A,FALSE,"부서별매출";#N/A,#N/A,FALSE,"매출"}</definedName>
    <definedName name="_______________________________AT1" localSheetId="5" hidden="1">{#N/A,#N/A,FALSE,"인원";#N/A,#N/A,FALSE,"비용2";#N/A,#N/A,FALSE,"비용1";#N/A,#N/A,FALSE,"비용";#N/A,#N/A,FALSE,"보증2";#N/A,#N/A,FALSE,"보증1";#N/A,#N/A,FALSE,"보증";#N/A,#N/A,FALSE,"손익1";#N/A,#N/A,FALSE,"손익";#N/A,#N/A,FALSE,"부서별매출";#N/A,#N/A,FALSE,"매출"}</definedName>
    <definedName name="_______________________________AT1" localSheetId="11" hidden="1">{#N/A,#N/A,FALSE,"인원";#N/A,#N/A,FALSE,"비용2";#N/A,#N/A,FALSE,"비용1";#N/A,#N/A,FALSE,"비용";#N/A,#N/A,FALSE,"보증2";#N/A,#N/A,FALSE,"보증1";#N/A,#N/A,FALSE,"보증";#N/A,#N/A,FALSE,"손익1";#N/A,#N/A,FALSE,"손익";#N/A,#N/A,FALSE,"부서별매출";#N/A,#N/A,FALSE,"매출"}</definedName>
    <definedName name="_______________________________AT1" hidden="1">{#N/A,#N/A,FALSE,"인원";#N/A,#N/A,FALSE,"비용2";#N/A,#N/A,FALSE,"비용1";#N/A,#N/A,FALSE,"비용";#N/A,#N/A,FALSE,"보증2";#N/A,#N/A,FALSE,"보증1";#N/A,#N/A,FALSE,"보증";#N/A,#N/A,FALSE,"손익1";#N/A,#N/A,FALSE,"손익";#N/A,#N/A,FALSE,"부서별매출";#N/A,#N/A,FALSE,"매출"}</definedName>
    <definedName name="_______________________________AT3" localSheetId="4" hidden="1">{#N/A,#N/A,FALSE,"인원";#N/A,#N/A,FALSE,"비용2";#N/A,#N/A,FALSE,"비용1";#N/A,#N/A,FALSE,"비용";#N/A,#N/A,FALSE,"보증2";#N/A,#N/A,FALSE,"보증1";#N/A,#N/A,FALSE,"보증";#N/A,#N/A,FALSE,"손익1";#N/A,#N/A,FALSE,"손익";#N/A,#N/A,FALSE,"부서별매출";#N/A,#N/A,FALSE,"매출"}</definedName>
    <definedName name="_______________________________AT3" localSheetId="5" hidden="1">{#N/A,#N/A,FALSE,"인원";#N/A,#N/A,FALSE,"비용2";#N/A,#N/A,FALSE,"비용1";#N/A,#N/A,FALSE,"비용";#N/A,#N/A,FALSE,"보증2";#N/A,#N/A,FALSE,"보증1";#N/A,#N/A,FALSE,"보증";#N/A,#N/A,FALSE,"손익1";#N/A,#N/A,FALSE,"손익";#N/A,#N/A,FALSE,"부서별매출";#N/A,#N/A,FALSE,"매출"}</definedName>
    <definedName name="_______________________________AT3" localSheetId="11" hidden="1">{#N/A,#N/A,FALSE,"인원";#N/A,#N/A,FALSE,"비용2";#N/A,#N/A,FALSE,"비용1";#N/A,#N/A,FALSE,"비용";#N/A,#N/A,FALSE,"보증2";#N/A,#N/A,FALSE,"보증1";#N/A,#N/A,FALSE,"보증";#N/A,#N/A,FALSE,"손익1";#N/A,#N/A,FALSE,"손익";#N/A,#N/A,FALSE,"부서별매출";#N/A,#N/A,FALSE,"매출"}</definedName>
    <definedName name="_______________________________AT3" hidden="1">{#N/A,#N/A,FALSE,"인원";#N/A,#N/A,FALSE,"비용2";#N/A,#N/A,FALSE,"비용1";#N/A,#N/A,FALSE,"비용";#N/A,#N/A,FALSE,"보증2";#N/A,#N/A,FALSE,"보증1";#N/A,#N/A,FALSE,"보증";#N/A,#N/A,FALSE,"손익1";#N/A,#N/A,FALSE,"손익";#N/A,#N/A,FALSE,"부서별매출";#N/A,#N/A,FALSE,"매출"}</definedName>
    <definedName name="_______________________________J200" localSheetId="4" hidden="1">{#N/A,#N/A,FALSE,"인원";#N/A,#N/A,FALSE,"비용2";#N/A,#N/A,FALSE,"비용1";#N/A,#N/A,FALSE,"비용";#N/A,#N/A,FALSE,"보증2";#N/A,#N/A,FALSE,"보증1";#N/A,#N/A,FALSE,"보증";#N/A,#N/A,FALSE,"손익1";#N/A,#N/A,FALSE,"손익";#N/A,#N/A,FALSE,"부서별매출";#N/A,#N/A,FALSE,"매출"}</definedName>
    <definedName name="_______________________________J200" localSheetId="5" hidden="1">{#N/A,#N/A,FALSE,"인원";#N/A,#N/A,FALSE,"비용2";#N/A,#N/A,FALSE,"비용1";#N/A,#N/A,FALSE,"비용";#N/A,#N/A,FALSE,"보증2";#N/A,#N/A,FALSE,"보증1";#N/A,#N/A,FALSE,"보증";#N/A,#N/A,FALSE,"손익1";#N/A,#N/A,FALSE,"손익";#N/A,#N/A,FALSE,"부서별매출";#N/A,#N/A,FALSE,"매출"}</definedName>
    <definedName name="_______________________________J200" localSheetId="11" hidden="1">{#N/A,#N/A,FALSE,"인원";#N/A,#N/A,FALSE,"비용2";#N/A,#N/A,FALSE,"비용1";#N/A,#N/A,FALSE,"비용";#N/A,#N/A,FALSE,"보증2";#N/A,#N/A,FALSE,"보증1";#N/A,#N/A,FALSE,"보증";#N/A,#N/A,FALSE,"손익1";#N/A,#N/A,FALSE,"손익";#N/A,#N/A,FALSE,"부서별매출";#N/A,#N/A,FALSE,"매출"}</definedName>
    <definedName name="_______________________________J200" hidden="1">{#N/A,#N/A,FALSE,"인원";#N/A,#N/A,FALSE,"비용2";#N/A,#N/A,FALSE,"비용1";#N/A,#N/A,FALSE,"비용";#N/A,#N/A,FALSE,"보증2";#N/A,#N/A,FALSE,"보증1";#N/A,#N/A,FALSE,"보증";#N/A,#N/A,FALSE,"손익1";#N/A,#N/A,FALSE,"손익";#N/A,#N/A,FALSE,"부서별매출";#N/A,#N/A,FALSE,"매출"}</definedName>
    <definedName name="_______________________________tt1" localSheetId="4" hidden="1">{#N/A,#N/A,TRUE,"일정"}</definedName>
    <definedName name="_______________________________tt1" localSheetId="5" hidden="1">{#N/A,#N/A,TRUE,"일정"}</definedName>
    <definedName name="_______________________________tt1" localSheetId="11" hidden="1">{#N/A,#N/A,TRUE,"일정"}</definedName>
    <definedName name="_______________________________tt1" hidden="1">{#N/A,#N/A,TRUE,"일정"}</definedName>
    <definedName name="______________________________a12" localSheetId="4" hidden="1">{"'Monthly 1997'!$A$3:$S$89"}</definedName>
    <definedName name="______________________________a12" localSheetId="5" hidden="1">{"'Monthly 1997'!$A$3:$S$89"}</definedName>
    <definedName name="______________________________a12" localSheetId="11" hidden="1">{"'Monthly 1997'!$A$3:$S$89"}</definedName>
    <definedName name="______________________________a12" hidden="1">{"'Monthly 1997'!$A$3:$S$89"}</definedName>
    <definedName name="____________________________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____________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_____________AT2"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__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_____________xlfn.BAHTTEXT" hidden="1">#NAME?</definedName>
    <definedName name="_____________________________A1" localSheetId="4" hidden="1">#REF!</definedName>
    <definedName name="_____________________________A1" localSheetId="5" hidden="1">#REF!</definedName>
    <definedName name="_____________________________A1" localSheetId="11" hidden="1">#REF!</definedName>
    <definedName name="_____________________________A1" hidden="1">#REF!</definedName>
    <definedName name="_____________________________AT1" localSheetId="4" hidden="1">{#N/A,#N/A,FALSE,"인원";#N/A,#N/A,FALSE,"비용2";#N/A,#N/A,FALSE,"비용1";#N/A,#N/A,FALSE,"비용";#N/A,#N/A,FALSE,"보증2";#N/A,#N/A,FALSE,"보증1";#N/A,#N/A,FALSE,"보증";#N/A,#N/A,FALSE,"손익1";#N/A,#N/A,FALSE,"손익";#N/A,#N/A,FALSE,"부서별매출";#N/A,#N/A,FALSE,"매출"}</definedName>
    <definedName name="_____________________________AT1" localSheetId="5" hidden="1">{#N/A,#N/A,FALSE,"인원";#N/A,#N/A,FALSE,"비용2";#N/A,#N/A,FALSE,"비용1";#N/A,#N/A,FALSE,"비용";#N/A,#N/A,FALSE,"보증2";#N/A,#N/A,FALSE,"보증1";#N/A,#N/A,FALSE,"보증";#N/A,#N/A,FALSE,"손익1";#N/A,#N/A,FALSE,"손익";#N/A,#N/A,FALSE,"부서별매출";#N/A,#N/A,FALSE,"매출"}</definedName>
    <definedName name="_____________________________AT1" localSheetId="11" hidden="1">{#N/A,#N/A,FALSE,"인원";#N/A,#N/A,FALSE,"비용2";#N/A,#N/A,FALSE,"비용1";#N/A,#N/A,FALSE,"비용";#N/A,#N/A,FALSE,"보증2";#N/A,#N/A,FALSE,"보증1";#N/A,#N/A,FALSE,"보증";#N/A,#N/A,FALSE,"손익1";#N/A,#N/A,FALSE,"손익";#N/A,#N/A,FALSE,"부서별매출";#N/A,#N/A,FALSE,"매출"}</definedName>
    <definedName name="_____________________________AT1" hidden="1">{#N/A,#N/A,FALSE,"인원";#N/A,#N/A,FALSE,"비용2";#N/A,#N/A,FALSE,"비용1";#N/A,#N/A,FALSE,"비용";#N/A,#N/A,FALSE,"보증2";#N/A,#N/A,FALSE,"보증1";#N/A,#N/A,FALSE,"보증";#N/A,#N/A,FALSE,"손익1";#N/A,#N/A,FALSE,"손익";#N/A,#N/A,FALSE,"부서별매출";#N/A,#N/A,FALSE,"매출"}</definedName>
    <definedName name="_____________________________AT3" localSheetId="4" hidden="1">{#N/A,#N/A,FALSE,"인원";#N/A,#N/A,FALSE,"비용2";#N/A,#N/A,FALSE,"비용1";#N/A,#N/A,FALSE,"비용";#N/A,#N/A,FALSE,"보증2";#N/A,#N/A,FALSE,"보증1";#N/A,#N/A,FALSE,"보증";#N/A,#N/A,FALSE,"손익1";#N/A,#N/A,FALSE,"손익";#N/A,#N/A,FALSE,"부서별매출";#N/A,#N/A,FALSE,"매출"}</definedName>
    <definedName name="_____________________________AT3" localSheetId="5" hidden="1">{#N/A,#N/A,FALSE,"인원";#N/A,#N/A,FALSE,"비용2";#N/A,#N/A,FALSE,"비용1";#N/A,#N/A,FALSE,"비용";#N/A,#N/A,FALSE,"보증2";#N/A,#N/A,FALSE,"보증1";#N/A,#N/A,FALSE,"보증";#N/A,#N/A,FALSE,"손익1";#N/A,#N/A,FALSE,"손익";#N/A,#N/A,FALSE,"부서별매출";#N/A,#N/A,FALSE,"매출"}</definedName>
    <definedName name="_____________________________AT3" localSheetId="11" hidden="1">{#N/A,#N/A,FALSE,"인원";#N/A,#N/A,FALSE,"비용2";#N/A,#N/A,FALSE,"비용1";#N/A,#N/A,FALSE,"비용";#N/A,#N/A,FALSE,"보증2";#N/A,#N/A,FALSE,"보증1";#N/A,#N/A,FALSE,"보증";#N/A,#N/A,FALSE,"손익1";#N/A,#N/A,FALSE,"손익";#N/A,#N/A,FALSE,"부서별매출";#N/A,#N/A,FALSE,"매출"}</definedName>
    <definedName name="_____________________________AT3" hidden="1">{#N/A,#N/A,FALSE,"인원";#N/A,#N/A,FALSE,"비용2";#N/A,#N/A,FALSE,"비용1";#N/A,#N/A,FALSE,"비용";#N/A,#N/A,FALSE,"보증2";#N/A,#N/A,FALSE,"보증1";#N/A,#N/A,FALSE,"보증";#N/A,#N/A,FALSE,"손익1";#N/A,#N/A,FALSE,"손익";#N/A,#N/A,FALSE,"부서별매출";#N/A,#N/A,FALSE,"매출"}</definedName>
    <definedName name="_____________________________J200" localSheetId="4" hidden="1">{#N/A,#N/A,FALSE,"인원";#N/A,#N/A,FALSE,"비용2";#N/A,#N/A,FALSE,"비용1";#N/A,#N/A,FALSE,"비용";#N/A,#N/A,FALSE,"보증2";#N/A,#N/A,FALSE,"보증1";#N/A,#N/A,FALSE,"보증";#N/A,#N/A,FALSE,"손익1";#N/A,#N/A,FALSE,"손익";#N/A,#N/A,FALSE,"부서별매출";#N/A,#N/A,FALSE,"매출"}</definedName>
    <definedName name="_____________________________J200" localSheetId="5" hidden="1">{#N/A,#N/A,FALSE,"인원";#N/A,#N/A,FALSE,"비용2";#N/A,#N/A,FALSE,"비용1";#N/A,#N/A,FALSE,"비용";#N/A,#N/A,FALSE,"보증2";#N/A,#N/A,FALSE,"보증1";#N/A,#N/A,FALSE,"보증";#N/A,#N/A,FALSE,"손익1";#N/A,#N/A,FALSE,"손익";#N/A,#N/A,FALSE,"부서별매출";#N/A,#N/A,FALSE,"매출"}</definedName>
    <definedName name="_____________________________J200" localSheetId="11" hidden="1">{#N/A,#N/A,FALSE,"인원";#N/A,#N/A,FALSE,"비용2";#N/A,#N/A,FALSE,"비용1";#N/A,#N/A,FALSE,"비용";#N/A,#N/A,FALSE,"보증2";#N/A,#N/A,FALSE,"보증1";#N/A,#N/A,FALSE,"보증";#N/A,#N/A,FALSE,"손익1";#N/A,#N/A,FALSE,"손익";#N/A,#N/A,FALSE,"부서별매출";#N/A,#N/A,FALSE,"매출"}</definedName>
    <definedName name="_____________________________J200" hidden="1">{#N/A,#N/A,FALSE,"인원";#N/A,#N/A,FALSE,"비용2";#N/A,#N/A,FALSE,"비용1";#N/A,#N/A,FALSE,"비용";#N/A,#N/A,FALSE,"보증2";#N/A,#N/A,FALSE,"보증1";#N/A,#N/A,FALSE,"보증";#N/A,#N/A,FALSE,"손익1";#N/A,#N/A,FALSE,"손익";#N/A,#N/A,FALSE,"부서별매출";#N/A,#N/A,FALSE,"매출"}</definedName>
    <definedName name="_____________________________tt1" localSheetId="4" hidden="1">{#N/A,#N/A,TRUE,"일정"}</definedName>
    <definedName name="_____________________________tt1" localSheetId="5" hidden="1">{#N/A,#N/A,TRUE,"일정"}</definedName>
    <definedName name="_____________________________tt1" localSheetId="11" hidden="1">{#N/A,#N/A,TRUE,"일정"}</definedName>
    <definedName name="_____________________________tt1" hidden="1">{#N/A,#N/A,TRUE,"일정"}</definedName>
    <definedName name="_____________________________xlfn.BAHTTEXT" hidden="1">#NAME?</definedName>
    <definedName name="____________________________A1" localSheetId="4" hidden="1">#REF!</definedName>
    <definedName name="____________________________A1" localSheetId="5" hidden="1">#REF!</definedName>
    <definedName name="____________________________A1" localSheetId="11" hidden="1">#REF!</definedName>
    <definedName name="____________________________A1" hidden="1">#REF!</definedName>
    <definedName name="____________________________a12" localSheetId="4" hidden="1">{"'Monthly 1997'!$A$3:$S$89"}</definedName>
    <definedName name="____________________________a12" localSheetId="5" hidden="1">{"'Monthly 1997'!$A$3:$S$89"}</definedName>
    <definedName name="____________________________a12" localSheetId="11" hidden="1">{"'Monthly 1997'!$A$3:$S$89"}</definedName>
    <definedName name="____________________________a12" hidden="1">{"'Monthly 1997'!$A$3:$S$89"}</definedName>
    <definedName name="__________________________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__________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___________AT2"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___________xlfn.BAHTTEXT" hidden="1">#NAME?</definedName>
    <definedName name="___________________________AT1" localSheetId="4" hidden="1">{#N/A,#N/A,FALSE,"인원";#N/A,#N/A,FALSE,"비용2";#N/A,#N/A,FALSE,"비용1";#N/A,#N/A,FALSE,"비용";#N/A,#N/A,FALSE,"보증2";#N/A,#N/A,FALSE,"보증1";#N/A,#N/A,FALSE,"보증";#N/A,#N/A,FALSE,"손익1";#N/A,#N/A,FALSE,"손익";#N/A,#N/A,FALSE,"부서별매출";#N/A,#N/A,FALSE,"매출"}</definedName>
    <definedName name="___________________________AT1" localSheetId="5" hidden="1">{#N/A,#N/A,FALSE,"인원";#N/A,#N/A,FALSE,"비용2";#N/A,#N/A,FALSE,"비용1";#N/A,#N/A,FALSE,"비용";#N/A,#N/A,FALSE,"보증2";#N/A,#N/A,FALSE,"보증1";#N/A,#N/A,FALSE,"보증";#N/A,#N/A,FALSE,"손익1";#N/A,#N/A,FALSE,"손익";#N/A,#N/A,FALSE,"부서별매출";#N/A,#N/A,FALSE,"매출"}</definedName>
    <definedName name="___________________________AT1" localSheetId="11" hidden="1">{#N/A,#N/A,FALSE,"인원";#N/A,#N/A,FALSE,"비용2";#N/A,#N/A,FALSE,"비용1";#N/A,#N/A,FALSE,"비용";#N/A,#N/A,FALSE,"보증2";#N/A,#N/A,FALSE,"보증1";#N/A,#N/A,FALSE,"보증";#N/A,#N/A,FALSE,"손익1";#N/A,#N/A,FALSE,"손익";#N/A,#N/A,FALSE,"부서별매출";#N/A,#N/A,FALSE,"매출"}</definedName>
    <definedName name="___________________________AT1" hidden="1">{#N/A,#N/A,FALSE,"인원";#N/A,#N/A,FALSE,"비용2";#N/A,#N/A,FALSE,"비용1";#N/A,#N/A,FALSE,"비용";#N/A,#N/A,FALSE,"보증2";#N/A,#N/A,FALSE,"보증1";#N/A,#N/A,FALSE,"보증";#N/A,#N/A,FALSE,"손익1";#N/A,#N/A,FALSE,"손익";#N/A,#N/A,FALSE,"부서별매출";#N/A,#N/A,FALSE,"매출"}</definedName>
    <definedName name="___________________________AT3" localSheetId="4" hidden="1">{#N/A,#N/A,FALSE,"인원";#N/A,#N/A,FALSE,"비용2";#N/A,#N/A,FALSE,"비용1";#N/A,#N/A,FALSE,"비용";#N/A,#N/A,FALSE,"보증2";#N/A,#N/A,FALSE,"보증1";#N/A,#N/A,FALSE,"보증";#N/A,#N/A,FALSE,"손익1";#N/A,#N/A,FALSE,"손익";#N/A,#N/A,FALSE,"부서별매출";#N/A,#N/A,FALSE,"매출"}</definedName>
    <definedName name="___________________________AT3" localSheetId="5" hidden="1">{#N/A,#N/A,FALSE,"인원";#N/A,#N/A,FALSE,"비용2";#N/A,#N/A,FALSE,"비용1";#N/A,#N/A,FALSE,"비용";#N/A,#N/A,FALSE,"보증2";#N/A,#N/A,FALSE,"보증1";#N/A,#N/A,FALSE,"보증";#N/A,#N/A,FALSE,"손익1";#N/A,#N/A,FALSE,"손익";#N/A,#N/A,FALSE,"부서별매출";#N/A,#N/A,FALSE,"매출"}</definedName>
    <definedName name="___________________________AT3" localSheetId="11" hidden="1">{#N/A,#N/A,FALSE,"인원";#N/A,#N/A,FALSE,"비용2";#N/A,#N/A,FALSE,"비용1";#N/A,#N/A,FALSE,"비용";#N/A,#N/A,FALSE,"보증2";#N/A,#N/A,FALSE,"보증1";#N/A,#N/A,FALSE,"보증";#N/A,#N/A,FALSE,"손익1";#N/A,#N/A,FALSE,"손익";#N/A,#N/A,FALSE,"부서별매출";#N/A,#N/A,FALSE,"매출"}</definedName>
    <definedName name="___________________________AT3" hidden="1">{#N/A,#N/A,FALSE,"인원";#N/A,#N/A,FALSE,"비용2";#N/A,#N/A,FALSE,"비용1";#N/A,#N/A,FALSE,"비용";#N/A,#N/A,FALSE,"보증2";#N/A,#N/A,FALSE,"보증1";#N/A,#N/A,FALSE,"보증";#N/A,#N/A,FALSE,"손익1";#N/A,#N/A,FALSE,"손익";#N/A,#N/A,FALSE,"부서별매출";#N/A,#N/A,FALSE,"매출"}</definedName>
    <definedName name="___________________________J200" localSheetId="4" hidden="1">{#N/A,#N/A,FALSE,"인원";#N/A,#N/A,FALSE,"비용2";#N/A,#N/A,FALSE,"비용1";#N/A,#N/A,FALSE,"비용";#N/A,#N/A,FALSE,"보증2";#N/A,#N/A,FALSE,"보증1";#N/A,#N/A,FALSE,"보증";#N/A,#N/A,FALSE,"손익1";#N/A,#N/A,FALSE,"손익";#N/A,#N/A,FALSE,"부서별매출";#N/A,#N/A,FALSE,"매출"}</definedName>
    <definedName name="___________________________J200" localSheetId="5" hidden="1">{#N/A,#N/A,FALSE,"인원";#N/A,#N/A,FALSE,"비용2";#N/A,#N/A,FALSE,"비용1";#N/A,#N/A,FALSE,"비용";#N/A,#N/A,FALSE,"보증2";#N/A,#N/A,FALSE,"보증1";#N/A,#N/A,FALSE,"보증";#N/A,#N/A,FALSE,"손익1";#N/A,#N/A,FALSE,"손익";#N/A,#N/A,FALSE,"부서별매출";#N/A,#N/A,FALSE,"매출"}</definedName>
    <definedName name="___________________________J200" localSheetId="11" hidden="1">{#N/A,#N/A,FALSE,"인원";#N/A,#N/A,FALSE,"비용2";#N/A,#N/A,FALSE,"비용1";#N/A,#N/A,FALSE,"비용";#N/A,#N/A,FALSE,"보증2";#N/A,#N/A,FALSE,"보증1";#N/A,#N/A,FALSE,"보증";#N/A,#N/A,FALSE,"손익1";#N/A,#N/A,FALSE,"손익";#N/A,#N/A,FALSE,"부서별매출";#N/A,#N/A,FALSE,"매출"}</definedName>
    <definedName name="___________________________J200" hidden="1">{#N/A,#N/A,FALSE,"인원";#N/A,#N/A,FALSE,"비용2";#N/A,#N/A,FALSE,"비용1";#N/A,#N/A,FALSE,"비용";#N/A,#N/A,FALSE,"보증2";#N/A,#N/A,FALSE,"보증1";#N/A,#N/A,FALSE,"보증";#N/A,#N/A,FALSE,"손익1";#N/A,#N/A,FALSE,"손익";#N/A,#N/A,FALSE,"부서별매출";#N/A,#N/A,FALSE,"매출"}</definedName>
    <definedName name="___________________________tt1" localSheetId="4" hidden="1">{#N/A,#N/A,TRUE,"일정"}</definedName>
    <definedName name="___________________________tt1" localSheetId="5" hidden="1">{#N/A,#N/A,TRUE,"일정"}</definedName>
    <definedName name="___________________________tt1" localSheetId="11" hidden="1">{#N/A,#N/A,TRUE,"일정"}</definedName>
    <definedName name="___________________________tt1" hidden="1">{#N/A,#N/A,TRUE,"일정"}</definedName>
    <definedName name="___________________________xlfn.BAHTTEXT" hidden="1">#NAME?</definedName>
    <definedName name="__________________________A1" localSheetId="4" hidden="1">#REF!</definedName>
    <definedName name="__________________________A1" localSheetId="5" hidden="1">#REF!</definedName>
    <definedName name="__________________________A1" localSheetId="11" hidden="1">#REF!</definedName>
    <definedName name="__________________________A1" hidden="1">#REF!</definedName>
    <definedName name="__________________________a12" localSheetId="4" hidden="1">{"'Monthly 1997'!$A$3:$S$89"}</definedName>
    <definedName name="__________________________a12" localSheetId="5" hidden="1">{"'Monthly 1997'!$A$3:$S$89"}</definedName>
    <definedName name="__________________________a12" localSheetId="11" hidden="1">{"'Monthly 1997'!$A$3:$S$89"}</definedName>
    <definedName name="__________________________a12" hidden="1">{"'Monthly 1997'!$A$3:$S$89"}</definedName>
    <definedName name="__________________________AT1" localSheetId="4" hidden="1">{#N/A,#N/A,FALSE,"인원";#N/A,#N/A,FALSE,"비용2";#N/A,#N/A,FALSE,"비용1";#N/A,#N/A,FALSE,"비용";#N/A,#N/A,FALSE,"보증2";#N/A,#N/A,FALSE,"보증1";#N/A,#N/A,FALSE,"보증";#N/A,#N/A,FALSE,"손익1";#N/A,#N/A,FALSE,"손익";#N/A,#N/A,FALSE,"부서별매출";#N/A,#N/A,FALSE,"매출"}</definedName>
    <definedName name="__________________________AT1" localSheetId="5" hidden="1">{#N/A,#N/A,FALSE,"인원";#N/A,#N/A,FALSE,"비용2";#N/A,#N/A,FALSE,"비용1";#N/A,#N/A,FALSE,"비용";#N/A,#N/A,FALSE,"보증2";#N/A,#N/A,FALSE,"보증1";#N/A,#N/A,FALSE,"보증";#N/A,#N/A,FALSE,"손익1";#N/A,#N/A,FALSE,"손익";#N/A,#N/A,FALSE,"부서별매출";#N/A,#N/A,FALSE,"매출"}</definedName>
    <definedName name="__________________________AT1" localSheetId="11" hidden="1">{#N/A,#N/A,FALSE,"인원";#N/A,#N/A,FALSE,"비용2";#N/A,#N/A,FALSE,"비용1";#N/A,#N/A,FALSE,"비용";#N/A,#N/A,FALSE,"보증2";#N/A,#N/A,FALSE,"보증1";#N/A,#N/A,FALSE,"보증";#N/A,#N/A,FALSE,"손익1";#N/A,#N/A,FALSE,"손익";#N/A,#N/A,FALSE,"부서별매출";#N/A,#N/A,FALSE,"매출"}</definedName>
    <definedName name="__________________________AT1" hidden="1">{#N/A,#N/A,FALSE,"인원";#N/A,#N/A,FALSE,"비용2";#N/A,#N/A,FALSE,"비용1";#N/A,#N/A,FALSE,"비용";#N/A,#N/A,FALSE,"보증2";#N/A,#N/A,FALSE,"보증1";#N/A,#N/A,FALSE,"보증";#N/A,#N/A,FALSE,"손익1";#N/A,#N/A,FALSE,"손익";#N/A,#N/A,FALSE,"부서별매출";#N/A,#N/A,FALSE,"매출"}</definedName>
    <definedName name="________________________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________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_________AT2"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_________AT3" localSheetId="4" hidden="1">{#N/A,#N/A,FALSE,"인원";#N/A,#N/A,FALSE,"비용2";#N/A,#N/A,FALSE,"비용1";#N/A,#N/A,FALSE,"비용";#N/A,#N/A,FALSE,"보증2";#N/A,#N/A,FALSE,"보증1";#N/A,#N/A,FALSE,"보증";#N/A,#N/A,FALSE,"손익1";#N/A,#N/A,FALSE,"손익";#N/A,#N/A,FALSE,"부서별매출";#N/A,#N/A,FALSE,"매출"}</definedName>
    <definedName name="__________________________AT3" localSheetId="5" hidden="1">{#N/A,#N/A,FALSE,"인원";#N/A,#N/A,FALSE,"비용2";#N/A,#N/A,FALSE,"비용1";#N/A,#N/A,FALSE,"비용";#N/A,#N/A,FALSE,"보증2";#N/A,#N/A,FALSE,"보증1";#N/A,#N/A,FALSE,"보증";#N/A,#N/A,FALSE,"손익1";#N/A,#N/A,FALSE,"손익";#N/A,#N/A,FALSE,"부서별매출";#N/A,#N/A,FALSE,"매출"}</definedName>
    <definedName name="__________________________AT3" localSheetId="11" hidden="1">{#N/A,#N/A,FALSE,"인원";#N/A,#N/A,FALSE,"비용2";#N/A,#N/A,FALSE,"비용1";#N/A,#N/A,FALSE,"비용";#N/A,#N/A,FALSE,"보증2";#N/A,#N/A,FALSE,"보증1";#N/A,#N/A,FALSE,"보증";#N/A,#N/A,FALSE,"손익1";#N/A,#N/A,FALSE,"손익";#N/A,#N/A,FALSE,"부서별매출";#N/A,#N/A,FALSE,"매출"}</definedName>
    <definedName name="__________________________AT3" hidden="1">{#N/A,#N/A,FALSE,"인원";#N/A,#N/A,FALSE,"비용2";#N/A,#N/A,FALSE,"비용1";#N/A,#N/A,FALSE,"비용";#N/A,#N/A,FALSE,"보증2";#N/A,#N/A,FALSE,"보증1";#N/A,#N/A,FALSE,"보증";#N/A,#N/A,FALSE,"손익1";#N/A,#N/A,FALSE,"손익";#N/A,#N/A,FALSE,"부서별매출";#N/A,#N/A,FALSE,"매출"}</definedName>
    <definedName name="__________________________J200" localSheetId="4" hidden="1">{#N/A,#N/A,FALSE,"인원";#N/A,#N/A,FALSE,"비용2";#N/A,#N/A,FALSE,"비용1";#N/A,#N/A,FALSE,"비용";#N/A,#N/A,FALSE,"보증2";#N/A,#N/A,FALSE,"보증1";#N/A,#N/A,FALSE,"보증";#N/A,#N/A,FALSE,"손익1";#N/A,#N/A,FALSE,"손익";#N/A,#N/A,FALSE,"부서별매출";#N/A,#N/A,FALSE,"매출"}</definedName>
    <definedName name="__________________________J200" localSheetId="5" hidden="1">{#N/A,#N/A,FALSE,"인원";#N/A,#N/A,FALSE,"비용2";#N/A,#N/A,FALSE,"비용1";#N/A,#N/A,FALSE,"비용";#N/A,#N/A,FALSE,"보증2";#N/A,#N/A,FALSE,"보증1";#N/A,#N/A,FALSE,"보증";#N/A,#N/A,FALSE,"손익1";#N/A,#N/A,FALSE,"손익";#N/A,#N/A,FALSE,"부서별매출";#N/A,#N/A,FALSE,"매출"}</definedName>
    <definedName name="__________________________J200" localSheetId="11" hidden="1">{#N/A,#N/A,FALSE,"인원";#N/A,#N/A,FALSE,"비용2";#N/A,#N/A,FALSE,"비용1";#N/A,#N/A,FALSE,"비용";#N/A,#N/A,FALSE,"보증2";#N/A,#N/A,FALSE,"보증1";#N/A,#N/A,FALSE,"보증";#N/A,#N/A,FALSE,"손익1";#N/A,#N/A,FALSE,"손익";#N/A,#N/A,FALSE,"부서별매출";#N/A,#N/A,FALSE,"매출"}</definedName>
    <definedName name="__________________________J200" hidden="1">{#N/A,#N/A,FALSE,"인원";#N/A,#N/A,FALSE,"비용2";#N/A,#N/A,FALSE,"비용1";#N/A,#N/A,FALSE,"비용";#N/A,#N/A,FALSE,"보증2";#N/A,#N/A,FALSE,"보증1";#N/A,#N/A,FALSE,"보증";#N/A,#N/A,FALSE,"손익1";#N/A,#N/A,FALSE,"손익";#N/A,#N/A,FALSE,"부서별매출";#N/A,#N/A,FALSE,"매출"}</definedName>
    <definedName name="__________________________tt1" localSheetId="4" hidden="1">{#N/A,#N/A,TRUE,"일정"}</definedName>
    <definedName name="__________________________tt1" localSheetId="5" hidden="1">{#N/A,#N/A,TRUE,"일정"}</definedName>
    <definedName name="__________________________tt1" localSheetId="11" hidden="1">{#N/A,#N/A,TRUE,"일정"}</definedName>
    <definedName name="__________________________tt1" hidden="1">{#N/A,#N/A,TRUE,"일정"}</definedName>
    <definedName name="__________________________xlfn.BAHTTEXT" hidden="1">#NAME?</definedName>
    <definedName name="_________________________A1" localSheetId="4" hidden="1">#REF!</definedName>
    <definedName name="_________________________A1" localSheetId="5" hidden="1">#REF!</definedName>
    <definedName name="_________________________A1" localSheetId="11" hidden="1">#REF!</definedName>
    <definedName name="_________________________A1" hidden="1">#REF!</definedName>
    <definedName name="_________________________a12" localSheetId="4" hidden="1">{"'Monthly 1997'!$A$3:$S$89"}</definedName>
    <definedName name="_________________________a12" localSheetId="5" hidden="1">{"'Monthly 1997'!$A$3:$S$89"}</definedName>
    <definedName name="_________________________a12" localSheetId="11" hidden="1">{"'Monthly 1997'!$A$3:$S$89"}</definedName>
    <definedName name="_________________________a12" hidden="1">{"'Monthly 1997'!$A$3:$S$89"}</definedName>
    <definedName name="_______________________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_______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________AT2"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________xlfn.BAHTTEXT" hidden="1">#NAME?</definedName>
    <definedName name="________________________A1" localSheetId="4" hidden="1">#REF!</definedName>
    <definedName name="________________________A1" localSheetId="5" hidden="1">#REF!</definedName>
    <definedName name="________________________A1" localSheetId="11" hidden="1">#REF!</definedName>
    <definedName name="________________________A1" hidden="1">#REF!</definedName>
    <definedName name="________________________xlfn.BAHTTEXT" hidden="1">#NAME?</definedName>
    <definedName name="_______________________A1" localSheetId="4" hidden="1">#REF!</definedName>
    <definedName name="_______________________A1" localSheetId="5" hidden="1">#REF!</definedName>
    <definedName name="_______________________A1" localSheetId="11" hidden="1">#REF!</definedName>
    <definedName name="_______________________A1" hidden="1">#REF!</definedName>
    <definedName name="_______________________xlfn.BAHTTEXT" hidden="1">#NAME?</definedName>
    <definedName name="______________________A1" localSheetId="4" hidden="1">#REF!</definedName>
    <definedName name="______________________A1" localSheetId="5" hidden="1">#REF!</definedName>
    <definedName name="______________________A1" localSheetId="11" hidden="1">#REF!</definedName>
    <definedName name="______________________A1" hidden="1">#REF!</definedName>
    <definedName name="______________________AT1" localSheetId="4" hidden="1">{#N/A,#N/A,FALSE,"인원";#N/A,#N/A,FALSE,"비용2";#N/A,#N/A,FALSE,"비용1";#N/A,#N/A,FALSE,"비용";#N/A,#N/A,FALSE,"보증2";#N/A,#N/A,FALSE,"보증1";#N/A,#N/A,FALSE,"보증";#N/A,#N/A,FALSE,"손익1";#N/A,#N/A,FALSE,"손익";#N/A,#N/A,FALSE,"부서별매출";#N/A,#N/A,FALSE,"매출"}</definedName>
    <definedName name="______________________AT1" localSheetId="5" hidden="1">{#N/A,#N/A,FALSE,"인원";#N/A,#N/A,FALSE,"비용2";#N/A,#N/A,FALSE,"비용1";#N/A,#N/A,FALSE,"비용";#N/A,#N/A,FALSE,"보증2";#N/A,#N/A,FALSE,"보증1";#N/A,#N/A,FALSE,"보증";#N/A,#N/A,FALSE,"손익1";#N/A,#N/A,FALSE,"손익";#N/A,#N/A,FALSE,"부서별매출";#N/A,#N/A,FALSE,"매출"}</definedName>
    <definedName name="______________________AT1" localSheetId="11" hidden="1">{#N/A,#N/A,FALSE,"인원";#N/A,#N/A,FALSE,"비용2";#N/A,#N/A,FALSE,"비용1";#N/A,#N/A,FALSE,"비용";#N/A,#N/A,FALSE,"보증2";#N/A,#N/A,FALSE,"보증1";#N/A,#N/A,FALSE,"보증";#N/A,#N/A,FALSE,"손익1";#N/A,#N/A,FALSE,"손익";#N/A,#N/A,FALSE,"부서별매출";#N/A,#N/A,FALSE,"매출"}</definedName>
    <definedName name="______________________AT1" hidden="1">{#N/A,#N/A,FALSE,"인원";#N/A,#N/A,FALSE,"비용2";#N/A,#N/A,FALSE,"비용1";#N/A,#N/A,FALSE,"비용";#N/A,#N/A,FALSE,"보증2";#N/A,#N/A,FALSE,"보증1";#N/A,#N/A,FALSE,"보증";#N/A,#N/A,FALSE,"손익1";#N/A,#N/A,FALSE,"손익";#N/A,#N/A,FALSE,"부서별매출";#N/A,#N/A,FALSE,"매출"}</definedName>
    <definedName name="______________________AT3" localSheetId="4" hidden="1">{#N/A,#N/A,FALSE,"인원";#N/A,#N/A,FALSE,"비용2";#N/A,#N/A,FALSE,"비용1";#N/A,#N/A,FALSE,"비용";#N/A,#N/A,FALSE,"보증2";#N/A,#N/A,FALSE,"보증1";#N/A,#N/A,FALSE,"보증";#N/A,#N/A,FALSE,"손익1";#N/A,#N/A,FALSE,"손익";#N/A,#N/A,FALSE,"부서별매출";#N/A,#N/A,FALSE,"매출"}</definedName>
    <definedName name="______________________AT3" localSheetId="5" hidden="1">{#N/A,#N/A,FALSE,"인원";#N/A,#N/A,FALSE,"비용2";#N/A,#N/A,FALSE,"비용1";#N/A,#N/A,FALSE,"비용";#N/A,#N/A,FALSE,"보증2";#N/A,#N/A,FALSE,"보증1";#N/A,#N/A,FALSE,"보증";#N/A,#N/A,FALSE,"손익1";#N/A,#N/A,FALSE,"손익";#N/A,#N/A,FALSE,"부서별매출";#N/A,#N/A,FALSE,"매출"}</definedName>
    <definedName name="______________________AT3" localSheetId="11" hidden="1">{#N/A,#N/A,FALSE,"인원";#N/A,#N/A,FALSE,"비용2";#N/A,#N/A,FALSE,"비용1";#N/A,#N/A,FALSE,"비용";#N/A,#N/A,FALSE,"보증2";#N/A,#N/A,FALSE,"보증1";#N/A,#N/A,FALSE,"보증";#N/A,#N/A,FALSE,"손익1";#N/A,#N/A,FALSE,"손익";#N/A,#N/A,FALSE,"부서별매출";#N/A,#N/A,FALSE,"매출"}</definedName>
    <definedName name="______________________AT3" hidden="1">{#N/A,#N/A,FALSE,"인원";#N/A,#N/A,FALSE,"비용2";#N/A,#N/A,FALSE,"비용1";#N/A,#N/A,FALSE,"비용";#N/A,#N/A,FALSE,"보증2";#N/A,#N/A,FALSE,"보증1";#N/A,#N/A,FALSE,"보증";#N/A,#N/A,FALSE,"손익1";#N/A,#N/A,FALSE,"손익";#N/A,#N/A,FALSE,"부서별매출";#N/A,#N/A,FALSE,"매출"}</definedName>
    <definedName name="______________________J200" localSheetId="4" hidden="1">{#N/A,#N/A,FALSE,"인원";#N/A,#N/A,FALSE,"비용2";#N/A,#N/A,FALSE,"비용1";#N/A,#N/A,FALSE,"비용";#N/A,#N/A,FALSE,"보증2";#N/A,#N/A,FALSE,"보증1";#N/A,#N/A,FALSE,"보증";#N/A,#N/A,FALSE,"손익1";#N/A,#N/A,FALSE,"손익";#N/A,#N/A,FALSE,"부서별매출";#N/A,#N/A,FALSE,"매출"}</definedName>
    <definedName name="______________________J200" localSheetId="5" hidden="1">{#N/A,#N/A,FALSE,"인원";#N/A,#N/A,FALSE,"비용2";#N/A,#N/A,FALSE,"비용1";#N/A,#N/A,FALSE,"비용";#N/A,#N/A,FALSE,"보증2";#N/A,#N/A,FALSE,"보증1";#N/A,#N/A,FALSE,"보증";#N/A,#N/A,FALSE,"손익1";#N/A,#N/A,FALSE,"손익";#N/A,#N/A,FALSE,"부서별매출";#N/A,#N/A,FALSE,"매출"}</definedName>
    <definedName name="______________________J200" localSheetId="11" hidden="1">{#N/A,#N/A,FALSE,"인원";#N/A,#N/A,FALSE,"비용2";#N/A,#N/A,FALSE,"비용1";#N/A,#N/A,FALSE,"비용";#N/A,#N/A,FALSE,"보증2";#N/A,#N/A,FALSE,"보증1";#N/A,#N/A,FALSE,"보증";#N/A,#N/A,FALSE,"손익1";#N/A,#N/A,FALSE,"손익";#N/A,#N/A,FALSE,"부서별매출";#N/A,#N/A,FALSE,"매출"}</definedName>
    <definedName name="______________________J200" hidden="1">{#N/A,#N/A,FALSE,"인원";#N/A,#N/A,FALSE,"비용2";#N/A,#N/A,FALSE,"비용1";#N/A,#N/A,FALSE,"비용";#N/A,#N/A,FALSE,"보증2";#N/A,#N/A,FALSE,"보증1";#N/A,#N/A,FALSE,"보증";#N/A,#N/A,FALSE,"손익1";#N/A,#N/A,FALSE,"손익";#N/A,#N/A,FALSE,"부서별매출";#N/A,#N/A,FALSE,"매출"}</definedName>
    <definedName name="______________________tt1" localSheetId="4" hidden="1">{#N/A,#N/A,TRUE,"일정"}</definedName>
    <definedName name="______________________tt1" localSheetId="5" hidden="1">{#N/A,#N/A,TRUE,"일정"}</definedName>
    <definedName name="______________________tt1" localSheetId="11" hidden="1">{#N/A,#N/A,TRUE,"일정"}</definedName>
    <definedName name="______________________tt1" hidden="1">{#N/A,#N/A,TRUE,"일정"}</definedName>
    <definedName name="______________________xlfn.BAHTTEXT" hidden="1">#NAME?</definedName>
    <definedName name="_____________________A1" localSheetId="4" hidden="1">#REF!</definedName>
    <definedName name="_____________________A1" localSheetId="5" hidden="1">#REF!</definedName>
    <definedName name="_____________________A1" localSheetId="11" hidden="1">#REF!</definedName>
    <definedName name="_____________________A1" hidden="1">#REF!</definedName>
    <definedName name="_____________________a12" localSheetId="4" hidden="1">{"'Monthly 1997'!$A$3:$S$89"}</definedName>
    <definedName name="_____________________a12" localSheetId="5" hidden="1">{"'Monthly 1997'!$A$3:$S$89"}</definedName>
    <definedName name="_____________________a12" localSheetId="11" hidden="1">{"'Monthly 1997'!$A$3:$S$89"}</definedName>
    <definedName name="_____________________a12" hidden="1">{"'Monthly 1997'!$A$3:$S$89"}</definedName>
    <definedName name="_____________________AT1" localSheetId="4" hidden="1">{#N/A,#N/A,FALSE,"인원";#N/A,#N/A,FALSE,"비용2";#N/A,#N/A,FALSE,"비용1";#N/A,#N/A,FALSE,"비용";#N/A,#N/A,FALSE,"보증2";#N/A,#N/A,FALSE,"보증1";#N/A,#N/A,FALSE,"보증";#N/A,#N/A,FALSE,"손익1";#N/A,#N/A,FALSE,"손익";#N/A,#N/A,FALSE,"부서별매출";#N/A,#N/A,FALSE,"매출"}</definedName>
    <definedName name="_____________________AT1" localSheetId="5" hidden="1">{#N/A,#N/A,FALSE,"인원";#N/A,#N/A,FALSE,"비용2";#N/A,#N/A,FALSE,"비용1";#N/A,#N/A,FALSE,"비용";#N/A,#N/A,FALSE,"보증2";#N/A,#N/A,FALSE,"보증1";#N/A,#N/A,FALSE,"보증";#N/A,#N/A,FALSE,"손익1";#N/A,#N/A,FALSE,"손익";#N/A,#N/A,FALSE,"부서별매출";#N/A,#N/A,FALSE,"매출"}</definedName>
    <definedName name="_____________________AT1" localSheetId="11" hidden="1">{#N/A,#N/A,FALSE,"인원";#N/A,#N/A,FALSE,"비용2";#N/A,#N/A,FALSE,"비용1";#N/A,#N/A,FALSE,"비용";#N/A,#N/A,FALSE,"보증2";#N/A,#N/A,FALSE,"보증1";#N/A,#N/A,FALSE,"보증";#N/A,#N/A,FALSE,"손익1";#N/A,#N/A,FALSE,"손익";#N/A,#N/A,FALSE,"부서별매출";#N/A,#N/A,FALSE,"매출"}</definedName>
    <definedName name="_____________________AT1" hidden="1">{#N/A,#N/A,FALSE,"인원";#N/A,#N/A,FALSE,"비용2";#N/A,#N/A,FALSE,"비용1";#N/A,#N/A,FALSE,"비용";#N/A,#N/A,FALSE,"보증2";#N/A,#N/A,FALSE,"보증1";#N/A,#N/A,FALSE,"보증";#N/A,#N/A,FALSE,"손익1";#N/A,#N/A,FALSE,"손익";#N/A,#N/A,FALSE,"부서별매출";#N/A,#N/A,FALSE,"매출"}</definedName>
    <definedName name="___________________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___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____AT2"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____AT3" localSheetId="4" hidden="1">{#N/A,#N/A,FALSE,"인원";#N/A,#N/A,FALSE,"비용2";#N/A,#N/A,FALSE,"비용1";#N/A,#N/A,FALSE,"비용";#N/A,#N/A,FALSE,"보증2";#N/A,#N/A,FALSE,"보증1";#N/A,#N/A,FALSE,"보증";#N/A,#N/A,FALSE,"손익1";#N/A,#N/A,FALSE,"손익";#N/A,#N/A,FALSE,"부서별매출";#N/A,#N/A,FALSE,"매출"}</definedName>
    <definedName name="_____________________AT3" localSheetId="5" hidden="1">{#N/A,#N/A,FALSE,"인원";#N/A,#N/A,FALSE,"비용2";#N/A,#N/A,FALSE,"비용1";#N/A,#N/A,FALSE,"비용";#N/A,#N/A,FALSE,"보증2";#N/A,#N/A,FALSE,"보증1";#N/A,#N/A,FALSE,"보증";#N/A,#N/A,FALSE,"손익1";#N/A,#N/A,FALSE,"손익";#N/A,#N/A,FALSE,"부서별매출";#N/A,#N/A,FALSE,"매출"}</definedName>
    <definedName name="_____________________AT3" localSheetId="11" hidden="1">{#N/A,#N/A,FALSE,"인원";#N/A,#N/A,FALSE,"비용2";#N/A,#N/A,FALSE,"비용1";#N/A,#N/A,FALSE,"비용";#N/A,#N/A,FALSE,"보증2";#N/A,#N/A,FALSE,"보증1";#N/A,#N/A,FALSE,"보증";#N/A,#N/A,FALSE,"손익1";#N/A,#N/A,FALSE,"손익";#N/A,#N/A,FALSE,"부서별매출";#N/A,#N/A,FALSE,"매출"}</definedName>
    <definedName name="_____________________AT3" hidden="1">{#N/A,#N/A,FALSE,"인원";#N/A,#N/A,FALSE,"비용2";#N/A,#N/A,FALSE,"비용1";#N/A,#N/A,FALSE,"비용";#N/A,#N/A,FALSE,"보증2";#N/A,#N/A,FALSE,"보증1";#N/A,#N/A,FALSE,"보증";#N/A,#N/A,FALSE,"손익1";#N/A,#N/A,FALSE,"손익";#N/A,#N/A,FALSE,"부서별매출";#N/A,#N/A,FALSE,"매출"}</definedName>
    <definedName name="_____________________J200" localSheetId="4" hidden="1">{#N/A,#N/A,FALSE,"인원";#N/A,#N/A,FALSE,"비용2";#N/A,#N/A,FALSE,"비용1";#N/A,#N/A,FALSE,"비용";#N/A,#N/A,FALSE,"보증2";#N/A,#N/A,FALSE,"보증1";#N/A,#N/A,FALSE,"보증";#N/A,#N/A,FALSE,"손익1";#N/A,#N/A,FALSE,"손익";#N/A,#N/A,FALSE,"부서별매출";#N/A,#N/A,FALSE,"매출"}</definedName>
    <definedName name="_____________________J200" localSheetId="5" hidden="1">{#N/A,#N/A,FALSE,"인원";#N/A,#N/A,FALSE,"비용2";#N/A,#N/A,FALSE,"비용1";#N/A,#N/A,FALSE,"비용";#N/A,#N/A,FALSE,"보증2";#N/A,#N/A,FALSE,"보증1";#N/A,#N/A,FALSE,"보증";#N/A,#N/A,FALSE,"손익1";#N/A,#N/A,FALSE,"손익";#N/A,#N/A,FALSE,"부서별매출";#N/A,#N/A,FALSE,"매출"}</definedName>
    <definedName name="_____________________J200" localSheetId="11" hidden="1">{#N/A,#N/A,FALSE,"인원";#N/A,#N/A,FALSE,"비용2";#N/A,#N/A,FALSE,"비용1";#N/A,#N/A,FALSE,"비용";#N/A,#N/A,FALSE,"보증2";#N/A,#N/A,FALSE,"보증1";#N/A,#N/A,FALSE,"보증";#N/A,#N/A,FALSE,"손익1";#N/A,#N/A,FALSE,"손익";#N/A,#N/A,FALSE,"부서별매출";#N/A,#N/A,FALSE,"매출"}</definedName>
    <definedName name="_____________________J200" hidden="1">{#N/A,#N/A,FALSE,"인원";#N/A,#N/A,FALSE,"비용2";#N/A,#N/A,FALSE,"비용1";#N/A,#N/A,FALSE,"비용";#N/A,#N/A,FALSE,"보증2";#N/A,#N/A,FALSE,"보증1";#N/A,#N/A,FALSE,"보증";#N/A,#N/A,FALSE,"손익1";#N/A,#N/A,FALSE,"손익";#N/A,#N/A,FALSE,"부서별매출";#N/A,#N/A,FALSE,"매출"}</definedName>
    <definedName name="_____________________tt1" localSheetId="4" hidden="1">{#N/A,#N/A,TRUE,"일정"}</definedName>
    <definedName name="_____________________tt1" localSheetId="5" hidden="1">{#N/A,#N/A,TRUE,"일정"}</definedName>
    <definedName name="_____________________tt1" localSheetId="11" hidden="1">{#N/A,#N/A,TRUE,"일정"}</definedName>
    <definedName name="_____________________tt1" hidden="1">{#N/A,#N/A,TRUE,"일정"}</definedName>
    <definedName name="_____________________xlfn.BAHTTEXT" hidden="1">#NAME?</definedName>
    <definedName name="____________________A1" localSheetId="4" hidden="1">#REF!</definedName>
    <definedName name="____________________A1" localSheetId="5" hidden="1">#REF!</definedName>
    <definedName name="____________________A1" localSheetId="11" hidden="1">#REF!</definedName>
    <definedName name="____________________A1" hidden="1">#REF!</definedName>
    <definedName name="____________________a12" localSheetId="4" hidden="1">{"'Monthly 1997'!$A$3:$S$89"}</definedName>
    <definedName name="____________________a12" localSheetId="5" hidden="1">{"'Monthly 1997'!$A$3:$S$89"}</definedName>
    <definedName name="____________________a12" localSheetId="11" hidden="1">{"'Monthly 1997'!$A$3:$S$89"}</definedName>
    <definedName name="____________________a12" hidden="1">{"'Monthly 1997'!$A$3:$S$89"}</definedName>
    <definedName name="____________________AT1" localSheetId="4" hidden="1">{#N/A,#N/A,FALSE,"인원";#N/A,#N/A,FALSE,"비용2";#N/A,#N/A,FALSE,"비용1";#N/A,#N/A,FALSE,"비용";#N/A,#N/A,FALSE,"보증2";#N/A,#N/A,FALSE,"보증1";#N/A,#N/A,FALSE,"보증";#N/A,#N/A,FALSE,"손익1";#N/A,#N/A,FALSE,"손익";#N/A,#N/A,FALSE,"부서별매출";#N/A,#N/A,FALSE,"매출"}</definedName>
    <definedName name="____________________AT1" localSheetId="5" hidden="1">{#N/A,#N/A,FALSE,"인원";#N/A,#N/A,FALSE,"비용2";#N/A,#N/A,FALSE,"비용1";#N/A,#N/A,FALSE,"비용";#N/A,#N/A,FALSE,"보증2";#N/A,#N/A,FALSE,"보증1";#N/A,#N/A,FALSE,"보증";#N/A,#N/A,FALSE,"손익1";#N/A,#N/A,FALSE,"손익";#N/A,#N/A,FALSE,"부서별매출";#N/A,#N/A,FALSE,"매출"}</definedName>
    <definedName name="____________________AT1" localSheetId="11" hidden="1">{#N/A,#N/A,FALSE,"인원";#N/A,#N/A,FALSE,"비용2";#N/A,#N/A,FALSE,"비용1";#N/A,#N/A,FALSE,"비용";#N/A,#N/A,FALSE,"보증2";#N/A,#N/A,FALSE,"보증1";#N/A,#N/A,FALSE,"보증";#N/A,#N/A,FALSE,"손익1";#N/A,#N/A,FALSE,"손익";#N/A,#N/A,FALSE,"부서별매출";#N/A,#N/A,FALSE,"매출"}</definedName>
    <definedName name="____________________AT1" hidden="1">{#N/A,#N/A,FALSE,"인원";#N/A,#N/A,FALSE,"비용2";#N/A,#N/A,FALSE,"비용1";#N/A,#N/A,FALSE,"비용";#N/A,#N/A,FALSE,"보증2";#N/A,#N/A,FALSE,"보증1";#N/A,#N/A,FALSE,"보증";#N/A,#N/A,FALSE,"손익1";#N/A,#N/A,FALSE,"손익";#N/A,#N/A,FALSE,"부서별매출";#N/A,#N/A,FALSE,"매출"}</definedName>
    <definedName name="__________________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__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___AT2"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___AT3" localSheetId="4" hidden="1">{#N/A,#N/A,FALSE,"인원";#N/A,#N/A,FALSE,"비용2";#N/A,#N/A,FALSE,"비용1";#N/A,#N/A,FALSE,"비용";#N/A,#N/A,FALSE,"보증2";#N/A,#N/A,FALSE,"보증1";#N/A,#N/A,FALSE,"보증";#N/A,#N/A,FALSE,"손익1";#N/A,#N/A,FALSE,"손익";#N/A,#N/A,FALSE,"부서별매출";#N/A,#N/A,FALSE,"매출"}</definedName>
    <definedName name="____________________AT3" localSheetId="5" hidden="1">{#N/A,#N/A,FALSE,"인원";#N/A,#N/A,FALSE,"비용2";#N/A,#N/A,FALSE,"비용1";#N/A,#N/A,FALSE,"비용";#N/A,#N/A,FALSE,"보증2";#N/A,#N/A,FALSE,"보증1";#N/A,#N/A,FALSE,"보증";#N/A,#N/A,FALSE,"손익1";#N/A,#N/A,FALSE,"손익";#N/A,#N/A,FALSE,"부서별매출";#N/A,#N/A,FALSE,"매출"}</definedName>
    <definedName name="____________________AT3" localSheetId="11" hidden="1">{#N/A,#N/A,FALSE,"인원";#N/A,#N/A,FALSE,"비용2";#N/A,#N/A,FALSE,"비용1";#N/A,#N/A,FALSE,"비용";#N/A,#N/A,FALSE,"보증2";#N/A,#N/A,FALSE,"보증1";#N/A,#N/A,FALSE,"보증";#N/A,#N/A,FALSE,"손익1";#N/A,#N/A,FALSE,"손익";#N/A,#N/A,FALSE,"부서별매출";#N/A,#N/A,FALSE,"매출"}</definedName>
    <definedName name="____________________AT3" hidden="1">{#N/A,#N/A,FALSE,"인원";#N/A,#N/A,FALSE,"비용2";#N/A,#N/A,FALSE,"비용1";#N/A,#N/A,FALSE,"비용";#N/A,#N/A,FALSE,"보증2";#N/A,#N/A,FALSE,"보증1";#N/A,#N/A,FALSE,"보증";#N/A,#N/A,FALSE,"손익1";#N/A,#N/A,FALSE,"손익";#N/A,#N/A,FALSE,"부서별매출";#N/A,#N/A,FALSE,"매출"}</definedName>
    <definedName name="____________________J200" localSheetId="4" hidden="1">{#N/A,#N/A,FALSE,"인원";#N/A,#N/A,FALSE,"비용2";#N/A,#N/A,FALSE,"비용1";#N/A,#N/A,FALSE,"비용";#N/A,#N/A,FALSE,"보증2";#N/A,#N/A,FALSE,"보증1";#N/A,#N/A,FALSE,"보증";#N/A,#N/A,FALSE,"손익1";#N/A,#N/A,FALSE,"손익";#N/A,#N/A,FALSE,"부서별매출";#N/A,#N/A,FALSE,"매출"}</definedName>
    <definedName name="____________________J200" localSheetId="5" hidden="1">{#N/A,#N/A,FALSE,"인원";#N/A,#N/A,FALSE,"비용2";#N/A,#N/A,FALSE,"비용1";#N/A,#N/A,FALSE,"비용";#N/A,#N/A,FALSE,"보증2";#N/A,#N/A,FALSE,"보증1";#N/A,#N/A,FALSE,"보증";#N/A,#N/A,FALSE,"손익1";#N/A,#N/A,FALSE,"손익";#N/A,#N/A,FALSE,"부서별매출";#N/A,#N/A,FALSE,"매출"}</definedName>
    <definedName name="____________________J200" localSheetId="11" hidden="1">{#N/A,#N/A,FALSE,"인원";#N/A,#N/A,FALSE,"비용2";#N/A,#N/A,FALSE,"비용1";#N/A,#N/A,FALSE,"비용";#N/A,#N/A,FALSE,"보증2";#N/A,#N/A,FALSE,"보증1";#N/A,#N/A,FALSE,"보증";#N/A,#N/A,FALSE,"손익1";#N/A,#N/A,FALSE,"손익";#N/A,#N/A,FALSE,"부서별매출";#N/A,#N/A,FALSE,"매출"}</definedName>
    <definedName name="____________________J200" hidden="1">{#N/A,#N/A,FALSE,"인원";#N/A,#N/A,FALSE,"비용2";#N/A,#N/A,FALSE,"비용1";#N/A,#N/A,FALSE,"비용";#N/A,#N/A,FALSE,"보증2";#N/A,#N/A,FALSE,"보증1";#N/A,#N/A,FALSE,"보증";#N/A,#N/A,FALSE,"손익1";#N/A,#N/A,FALSE,"손익";#N/A,#N/A,FALSE,"부서별매출";#N/A,#N/A,FALSE,"매출"}</definedName>
    <definedName name="____________________tt1" localSheetId="4" hidden="1">{#N/A,#N/A,TRUE,"일정"}</definedName>
    <definedName name="____________________tt1" localSheetId="5" hidden="1">{#N/A,#N/A,TRUE,"일정"}</definedName>
    <definedName name="____________________tt1" localSheetId="11" hidden="1">{#N/A,#N/A,TRUE,"일정"}</definedName>
    <definedName name="____________________tt1" hidden="1">{#N/A,#N/A,TRUE,"일정"}</definedName>
    <definedName name="____________________xlfn.BAHTTEXT" hidden="1">#NAME?</definedName>
    <definedName name="___________________A1" localSheetId="4" hidden="1">#REF!</definedName>
    <definedName name="___________________A1" localSheetId="5" hidden="1">#REF!</definedName>
    <definedName name="___________________A1" localSheetId="11" hidden="1">#REF!</definedName>
    <definedName name="___________________A1" hidden="1">#REF!</definedName>
    <definedName name="___________________a12" localSheetId="4" hidden="1">{"'Monthly 1997'!$A$3:$S$89"}</definedName>
    <definedName name="___________________a12" localSheetId="5" hidden="1">{"'Monthly 1997'!$A$3:$S$89"}</definedName>
    <definedName name="___________________a12" localSheetId="11" hidden="1">{"'Monthly 1997'!$A$3:$S$89"}</definedName>
    <definedName name="___________________a12" hidden="1">{"'Monthly 1997'!$A$3:$S$89"}</definedName>
    <definedName name="___________________AT1" localSheetId="4" hidden="1">{#N/A,#N/A,FALSE,"인원";#N/A,#N/A,FALSE,"비용2";#N/A,#N/A,FALSE,"비용1";#N/A,#N/A,FALSE,"비용";#N/A,#N/A,FALSE,"보증2";#N/A,#N/A,FALSE,"보증1";#N/A,#N/A,FALSE,"보증";#N/A,#N/A,FALSE,"손익1";#N/A,#N/A,FALSE,"손익";#N/A,#N/A,FALSE,"부서별매출";#N/A,#N/A,FALSE,"매출"}</definedName>
    <definedName name="___________________AT1" localSheetId="5" hidden="1">{#N/A,#N/A,FALSE,"인원";#N/A,#N/A,FALSE,"비용2";#N/A,#N/A,FALSE,"비용1";#N/A,#N/A,FALSE,"비용";#N/A,#N/A,FALSE,"보증2";#N/A,#N/A,FALSE,"보증1";#N/A,#N/A,FALSE,"보증";#N/A,#N/A,FALSE,"손익1";#N/A,#N/A,FALSE,"손익";#N/A,#N/A,FALSE,"부서별매출";#N/A,#N/A,FALSE,"매출"}</definedName>
    <definedName name="___________________AT1" localSheetId="11" hidden="1">{#N/A,#N/A,FALSE,"인원";#N/A,#N/A,FALSE,"비용2";#N/A,#N/A,FALSE,"비용1";#N/A,#N/A,FALSE,"비용";#N/A,#N/A,FALSE,"보증2";#N/A,#N/A,FALSE,"보증1";#N/A,#N/A,FALSE,"보증";#N/A,#N/A,FALSE,"손익1";#N/A,#N/A,FALSE,"손익";#N/A,#N/A,FALSE,"부서별매출";#N/A,#N/A,FALSE,"매출"}</definedName>
    <definedName name="___________________AT1" hidden="1">{#N/A,#N/A,FALSE,"인원";#N/A,#N/A,FALSE,"비용2";#N/A,#N/A,FALSE,"비용1";#N/A,#N/A,FALSE,"비용";#N/A,#N/A,FALSE,"보증2";#N/A,#N/A,FALSE,"보증1";#N/A,#N/A,FALSE,"보증";#N/A,#N/A,FALSE,"손익1";#N/A,#N/A,FALSE,"손익";#N/A,#N/A,FALSE,"부서별매출";#N/A,#N/A,FALSE,"매출"}</definedName>
    <definedName name="_________________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_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__AT2"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__AT3" localSheetId="4" hidden="1">{#N/A,#N/A,FALSE,"인원";#N/A,#N/A,FALSE,"비용2";#N/A,#N/A,FALSE,"비용1";#N/A,#N/A,FALSE,"비용";#N/A,#N/A,FALSE,"보증2";#N/A,#N/A,FALSE,"보증1";#N/A,#N/A,FALSE,"보증";#N/A,#N/A,FALSE,"손익1";#N/A,#N/A,FALSE,"손익";#N/A,#N/A,FALSE,"부서별매출";#N/A,#N/A,FALSE,"매출"}</definedName>
    <definedName name="___________________AT3" localSheetId="5" hidden="1">{#N/A,#N/A,FALSE,"인원";#N/A,#N/A,FALSE,"비용2";#N/A,#N/A,FALSE,"비용1";#N/A,#N/A,FALSE,"비용";#N/A,#N/A,FALSE,"보증2";#N/A,#N/A,FALSE,"보증1";#N/A,#N/A,FALSE,"보증";#N/A,#N/A,FALSE,"손익1";#N/A,#N/A,FALSE,"손익";#N/A,#N/A,FALSE,"부서별매출";#N/A,#N/A,FALSE,"매출"}</definedName>
    <definedName name="___________________AT3" localSheetId="11" hidden="1">{#N/A,#N/A,FALSE,"인원";#N/A,#N/A,FALSE,"비용2";#N/A,#N/A,FALSE,"비용1";#N/A,#N/A,FALSE,"비용";#N/A,#N/A,FALSE,"보증2";#N/A,#N/A,FALSE,"보증1";#N/A,#N/A,FALSE,"보증";#N/A,#N/A,FALSE,"손익1";#N/A,#N/A,FALSE,"손익";#N/A,#N/A,FALSE,"부서별매출";#N/A,#N/A,FALSE,"매출"}</definedName>
    <definedName name="___________________AT3" hidden="1">{#N/A,#N/A,FALSE,"인원";#N/A,#N/A,FALSE,"비용2";#N/A,#N/A,FALSE,"비용1";#N/A,#N/A,FALSE,"비용";#N/A,#N/A,FALSE,"보증2";#N/A,#N/A,FALSE,"보증1";#N/A,#N/A,FALSE,"보증";#N/A,#N/A,FALSE,"손익1";#N/A,#N/A,FALSE,"손익";#N/A,#N/A,FALSE,"부서별매출";#N/A,#N/A,FALSE,"매출"}</definedName>
    <definedName name="___________________J200" localSheetId="4" hidden="1">{#N/A,#N/A,FALSE,"인원";#N/A,#N/A,FALSE,"비용2";#N/A,#N/A,FALSE,"비용1";#N/A,#N/A,FALSE,"비용";#N/A,#N/A,FALSE,"보증2";#N/A,#N/A,FALSE,"보증1";#N/A,#N/A,FALSE,"보증";#N/A,#N/A,FALSE,"손익1";#N/A,#N/A,FALSE,"손익";#N/A,#N/A,FALSE,"부서별매출";#N/A,#N/A,FALSE,"매출"}</definedName>
    <definedName name="___________________J200" localSheetId="5" hidden="1">{#N/A,#N/A,FALSE,"인원";#N/A,#N/A,FALSE,"비용2";#N/A,#N/A,FALSE,"비용1";#N/A,#N/A,FALSE,"비용";#N/A,#N/A,FALSE,"보증2";#N/A,#N/A,FALSE,"보증1";#N/A,#N/A,FALSE,"보증";#N/A,#N/A,FALSE,"손익1";#N/A,#N/A,FALSE,"손익";#N/A,#N/A,FALSE,"부서별매출";#N/A,#N/A,FALSE,"매출"}</definedName>
    <definedName name="___________________J200" localSheetId="11" hidden="1">{#N/A,#N/A,FALSE,"인원";#N/A,#N/A,FALSE,"비용2";#N/A,#N/A,FALSE,"비용1";#N/A,#N/A,FALSE,"비용";#N/A,#N/A,FALSE,"보증2";#N/A,#N/A,FALSE,"보증1";#N/A,#N/A,FALSE,"보증";#N/A,#N/A,FALSE,"손익1";#N/A,#N/A,FALSE,"손익";#N/A,#N/A,FALSE,"부서별매출";#N/A,#N/A,FALSE,"매출"}</definedName>
    <definedName name="___________________J200" hidden="1">{#N/A,#N/A,FALSE,"인원";#N/A,#N/A,FALSE,"비용2";#N/A,#N/A,FALSE,"비용1";#N/A,#N/A,FALSE,"비용";#N/A,#N/A,FALSE,"보증2";#N/A,#N/A,FALSE,"보증1";#N/A,#N/A,FALSE,"보증";#N/A,#N/A,FALSE,"손익1";#N/A,#N/A,FALSE,"손익";#N/A,#N/A,FALSE,"부서별매출";#N/A,#N/A,FALSE,"매출"}</definedName>
    <definedName name="___________________tt1" localSheetId="4" hidden="1">{#N/A,#N/A,TRUE,"일정"}</definedName>
    <definedName name="___________________tt1" localSheetId="5" hidden="1">{#N/A,#N/A,TRUE,"일정"}</definedName>
    <definedName name="___________________tt1" localSheetId="11" hidden="1">{#N/A,#N/A,TRUE,"일정"}</definedName>
    <definedName name="___________________tt1" hidden="1">{#N/A,#N/A,TRUE,"일정"}</definedName>
    <definedName name="___________________xlfn.BAHTTEXT" hidden="1">#NAME?</definedName>
    <definedName name="__________________A1" localSheetId="4" hidden="1">#REF!</definedName>
    <definedName name="__________________A1" localSheetId="5" hidden="1">#REF!</definedName>
    <definedName name="__________________A1" localSheetId="11" hidden="1">#REF!</definedName>
    <definedName name="__________________A1" hidden="1">#REF!</definedName>
    <definedName name="__________________a12" localSheetId="4" hidden="1">{"'Monthly 1997'!$A$3:$S$89"}</definedName>
    <definedName name="__________________a12" localSheetId="5" hidden="1">{"'Monthly 1997'!$A$3:$S$89"}</definedName>
    <definedName name="__________________a12" localSheetId="11" hidden="1">{"'Monthly 1997'!$A$3:$S$89"}</definedName>
    <definedName name="__________________a12" hidden="1">{"'Monthly 1997'!$A$3:$S$89"}</definedName>
    <definedName name="__________________AT1" localSheetId="4" hidden="1">{#N/A,#N/A,FALSE,"인원";#N/A,#N/A,FALSE,"비용2";#N/A,#N/A,FALSE,"비용1";#N/A,#N/A,FALSE,"비용";#N/A,#N/A,FALSE,"보증2";#N/A,#N/A,FALSE,"보증1";#N/A,#N/A,FALSE,"보증";#N/A,#N/A,FALSE,"손익1";#N/A,#N/A,FALSE,"손익";#N/A,#N/A,FALSE,"부서별매출";#N/A,#N/A,FALSE,"매출"}</definedName>
    <definedName name="__________________AT1" localSheetId="5" hidden="1">{#N/A,#N/A,FALSE,"인원";#N/A,#N/A,FALSE,"비용2";#N/A,#N/A,FALSE,"비용1";#N/A,#N/A,FALSE,"비용";#N/A,#N/A,FALSE,"보증2";#N/A,#N/A,FALSE,"보증1";#N/A,#N/A,FALSE,"보증";#N/A,#N/A,FALSE,"손익1";#N/A,#N/A,FALSE,"손익";#N/A,#N/A,FALSE,"부서별매출";#N/A,#N/A,FALSE,"매출"}</definedName>
    <definedName name="__________________AT1" localSheetId="11" hidden="1">{#N/A,#N/A,FALSE,"인원";#N/A,#N/A,FALSE,"비용2";#N/A,#N/A,FALSE,"비용1";#N/A,#N/A,FALSE,"비용";#N/A,#N/A,FALSE,"보증2";#N/A,#N/A,FALSE,"보증1";#N/A,#N/A,FALSE,"보증";#N/A,#N/A,FALSE,"손익1";#N/A,#N/A,FALSE,"손익";#N/A,#N/A,FALSE,"부서별매출";#N/A,#N/A,FALSE,"매출"}</definedName>
    <definedName name="__________________AT1" hidden="1">{#N/A,#N/A,FALSE,"인원";#N/A,#N/A,FALSE,"비용2";#N/A,#N/A,FALSE,"비용1";#N/A,#N/A,FALSE,"비용";#N/A,#N/A,FALSE,"보증2";#N/A,#N/A,FALSE,"보증1";#N/A,#N/A,FALSE,"보증";#N/A,#N/A,FALSE,"손익1";#N/A,#N/A,FALSE,"손익";#N/A,#N/A,FALSE,"부서별매출";#N/A,#N/A,FALSE,"매출"}</definedName>
    <definedName name="________________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_AT2"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_AT3" localSheetId="4" hidden="1">{#N/A,#N/A,FALSE,"인원";#N/A,#N/A,FALSE,"비용2";#N/A,#N/A,FALSE,"비용1";#N/A,#N/A,FALSE,"비용";#N/A,#N/A,FALSE,"보증2";#N/A,#N/A,FALSE,"보증1";#N/A,#N/A,FALSE,"보증";#N/A,#N/A,FALSE,"손익1";#N/A,#N/A,FALSE,"손익";#N/A,#N/A,FALSE,"부서별매출";#N/A,#N/A,FALSE,"매출"}</definedName>
    <definedName name="__________________AT3" localSheetId="5" hidden="1">{#N/A,#N/A,FALSE,"인원";#N/A,#N/A,FALSE,"비용2";#N/A,#N/A,FALSE,"비용1";#N/A,#N/A,FALSE,"비용";#N/A,#N/A,FALSE,"보증2";#N/A,#N/A,FALSE,"보증1";#N/A,#N/A,FALSE,"보증";#N/A,#N/A,FALSE,"손익1";#N/A,#N/A,FALSE,"손익";#N/A,#N/A,FALSE,"부서별매출";#N/A,#N/A,FALSE,"매출"}</definedName>
    <definedName name="__________________AT3" localSheetId="11" hidden="1">{#N/A,#N/A,FALSE,"인원";#N/A,#N/A,FALSE,"비용2";#N/A,#N/A,FALSE,"비용1";#N/A,#N/A,FALSE,"비용";#N/A,#N/A,FALSE,"보증2";#N/A,#N/A,FALSE,"보증1";#N/A,#N/A,FALSE,"보증";#N/A,#N/A,FALSE,"손익1";#N/A,#N/A,FALSE,"손익";#N/A,#N/A,FALSE,"부서별매출";#N/A,#N/A,FALSE,"매출"}</definedName>
    <definedName name="__________________AT3" hidden="1">{#N/A,#N/A,FALSE,"인원";#N/A,#N/A,FALSE,"비용2";#N/A,#N/A,FALSE,"비용1";#N/A,#N/A,FALSE,"비용";#N/A,#N/A,FALSE,"보증2";#N/A,#N/A,FALSE,"보증1";#N/A,#N/A,FALSE,"보증";#N/A,#N/A,FALSE,"손익1";#N/A,#N/A,FALSE,"손익";#N/A,#N/A,FALSE,"부서별매출";#N/A,#N/A,FALSE,"매출"}</definedName>
    <definedName name="__________________J200" localSheetId="4" hidden="1">{#N/A,#N/A,FALSE,"인원";#N/A,#N/A,FALSE,"비용2";#N/A,#N/A,FALSE,"비용1";#N/A,#N/A,FALSE,"비용";#N/A,#N/A,FALSE,"보증2";#N/A,#N/A,FALSE,"보증1";#N/A,#N/A,FALSE,"보증";#N/A,#N/A,FALSE,"손익1";#N/A,#N/A,FALSE,"손익";#N/A,#N/A,FALSE,"부서별매출";#N/A,#N/A,FALSE,"매출"}</definedName>
    <definedName name="__________________J200" localSheetId="5" hidden="1">{#N/A,#N/A,FALSE,"인원";#N/A,#N/A,FALSE,"비용2";#N/A,#N/A,FALSE,"비용1";#N/A,#N/A,FALSE,"비용";#N/A,#N/A,FALSE,"보증2";#N/A,#N/A,FALSE,"보증1";#N/A,#N/A,FALSE,"보증";#N/A,#N/A,FALSE,"손익1";#N/A,#N/A,FALSE,"손익";#N/A,#N/A,FALSE,"부서별매출";#N/A,#N/A,FALSE,"매출"}</definedName>
    <definedName name="__________________J200" localSheetId="11" hidden="1">{#N/A,#N/A,FALSE,"인원";#N/A,#N/A,FALSE,"비용2";#N/A,#N/A,FALSE,"비용1";#N/A,#N/A,FALSE,"비용";#N/A,#N/A,FALSE,"보증2";#N/A,#N/A,FALSE,"보증1";#N/A,#N/A,FALSE,"보증";#N/A,#N/A,FALSE,"손익1";#N/A,#N/A,FALSE,"손익";#N/A,#N/A,FALSE,"부서별매출";#N/A,#N/A,FALSE,"매출"}</definedName>
    <definedName name="__________________J200" hidden="1">{#N/A,#N/A,FALSE,"인원";#N/A,#N/A,FALSE,"비용2";#N/A,#N/A,FALSE,"비용1";#N/A,#N/A,FALSE,"비용";#N/A,#N/A,FALSE,"보증2";#N/A,#N/A,FALSE,"보증1";#N/A,#N/A,FALSE,"보증";#N/A,#N/A,FALSE,"손익1";#N/A,#N/A,FALSE,"손익";#N/A,#N/A,FALSE,"부서별매출";#N/A,#N/A,FALSE,"매출"}</definedName>
    <definedName name="__________________tt1" localSheetId="4" hidden="1">{#N/A,#N/A,TRUE,"일정"}</definedName>
    <definedName name="__________________tt1" localSheetId="5" hidden="1">{#N/A,#N/A,TRUE,"일정"}</definedName>
    <definedName name="__________________tt1" localSheetId="11" hidden="1">{#N/A,#N/A,TRUE,"일정"}</definedName>
    <definedName name="__________________tt1" hidden="1">{#N/A,#N/A,TRUE,"일정"}</definedName>
    <definedName name="__________________xlfn.BAHTTEXT" hidden="1">#NAME?</definedName>
    <definedName name="_________________A1" localSheetId="4" hidden="1">#REF!</definedName>
    <definedName name="_________________A1" localSheetId="5" hidden="1">#REF!</definedName>
    <definedName name="_________________A1" localSheetId="11" hidden="1">#REF!</definedName>
    <definedName name="_________________A1" hidden="1">#REF!</definedName>
    <definedName name="_________________a12" localSheetId="4" hidden="1">{"'Monthly 1997'!$A$3:$S$89"}</definedName>
    <definedName name="_________________a12" localSheetId="5" hidden="1">{"'Monthly 1997'!$A$3:$S$89"}</definedName>
    <definedName name="_________________a12" localSheetId="11" hidden="1">{"'Monthly 1997'!$A$3:$S$89"}</definedName>
    <definedName name="_________________a12" hidden="1">{"'Monthly 1997'!$A$3:$S$89"}</definedName>
    <definedName name="_________________AT1" localSheetId="4" hidden="1">{#N/A,#N/A,FALSE,"인원";#N/A,#N/A,FALSE,"비용2";#N/A,#N/A,FALSE,"비용1";#N/A,#N/A,FALSE,"비용";#N/A,#N/A,FALSE,"보증2";#N/A,#N/A,FALSE,"보증1";#N/A,#N/A,FALSE,"보증";#N/A,#N/A,FALSE,"손익1";#N/A,#N/A,FALSE,"손익";#N/A,#N/A,FALSE,"부서별매출";#N/A,#N/A,FALSE,"매출"}</definedName>
    <definedName name="_________________AT1" localSheetId="5" hidden="1">{#N/A,#N/A,FALSE,"인원";#N/A,#N/A,FALSE,"비용2";#N/A,#N/A,FALSE,"비용1";#N/A,#N/A,FALSE,"비용";#N/A,#N/A,FALSE,"보증2";#N/A,#N/A,FALSE,"보증1";#N/A,#N/A,FALSE,"보증";#N/A,#N/A,FALSE,"손익1";#N/A,#N/A,FALSE,"손익";#N/A,#N/A,FALSE,"부서별매출";#N/A,#N/A,FALSE,"매출"}</definedName>
    <definedName name="_________________AT1" localSheetId="11" hidden="1">{#N/A,#N/A,FALSE,"인원";#N/A,#N/A,FALSE,"비용2";#N/A,#N/A,FALSE,"비용1";#N/A,#N/A,FALSE,"비용";#N/A,#N/A,FALSE,"보증2";#N/A,#N/A,FALSE,"보증1";#N/A,#N/A,FALSE,"보증";#N/A,#N/A,FALSE,"손익1";#N/A,#N/A,FALSE,"손익";#N/A,#N/A,FALSE,"부서별매출";#N/A,#N/A,FALSE,"매출"}</definedName>
    <definedName name="_________________AT1" hidden="1">{#N/A,#N/A,FALSE,"인원";#N/A,#N/A,FALSE,"비용2";#N/A,#N/A,FALSE,"비용1";#N/A,#N/A,FALSE,"비용";#N/A,#N/A,FALSE,"보증2";#N/A,#N/A,FALSE,"보증1";#N/A,#N/A,FALSE,"보증";#N/A,#N/A,FALSE,"손익1";#N/A,#N/A,FALSE,"손익";#N/A,#N/A,FALSE,"부서별매출";#N/A,#N/A,FALSE,"매출"}</definedName>
    <definedName name="_______________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AT2"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AT3" localSheetId="4" hidden="1">{#N/A,#N/A,FALSE,"인원";#N/A,#N/A,FALSE,"비용2";#N/A,#N/A,FALSE,"비용1";#N/A,#N/A,FALSE,"비용";#N/A,#N/A,FALSE,"보증2";#N/A,#N/A,FALSE,"보증1";#N/A,#N/A,FALSE,"보증";#N/A,#N/A,FALSE,"손익1";#N/A,#N/A,FALSE,"손익";#N/A,#N/A,FALSE,"부서별매출";#N/A,#N/A,FALSE,"매출"}</definedName>
    <definedName name="_________________AT3" localSheetId="5" hidden="1">{#N/A,#N/A,FALSE,"인원";#N/A,#N/A,FALSE,"비용2";#N/A,#N/A,FALSE,"비용1";#N/A,#N/A,FALSE,"비용";#N/A,#N/A,FALSE,"보증2";#N/A,#N/A,FALSE,"보증1";#N/A,#N/A,FALSE,"보증";#N/A,#N/A,FALSE,"손익1";#N/A,#N/A,FALSE,"손익";#N/A,#N/A,FALSE,"부서별매출";#N/A,#N/A,FALSE,"매출"}</definedName>
    <definedName name="_________________AT3" localSheetId="11" hidden="1">{#N/A,#N/A,FALSE,"인원";#N/A,#N/A,FALSE,"비용2";#N/A,#N/A,FALSE,"비용1";#N/A,#N/A,FALSE,"비용";#N/A,#N/A,FALSE,"보증2";#N/A,#N/A,FALSE,"보증1";#N/A,#N/A,FALSE,"보증";#N/A,#N/A,FALSE,"손익1";#N/A,#N/A,FALSE,"손익";#N/A,#N/A,FALSE,"부서별매출";#N/A,#N/A,FALSE,"매출"}</definedName>
    <definedName name="_________________AT3" hidden="1">{#N/A,#N/A,FALSE,"인원";#N/A,#N/A,FALSE,"비용2";#N/A,#N/A,FALSE,"비용1";#N/A,#N/A,FALSE,"비용";#N/A,#N/A,FALSE,"보증2";#N/A,#N/A,FALSE,"보증1";#N/A,#N/A,FALSE,"보증";#N/A,#N/A,FALSE,"손익1";#N/A,#N/A,FALSE,"손익";#N/A,#N/A,FALSE,"부서별매출";#N/A,#N/A,FALSE,"매출"}</definedName>
    <definedName name="_________________J200" localSheetId="4" hidden="1">{#N/A,#N/A,FALSE,"인원";#N/A,#N/A,FALSE,"비용2";#N/A,#N/A,FALSE,"비용1";#N/A,#N/A,FALSE,"비용";#N/A,#N/A,FALSE,"보증2";#N/A,#N/A,FALSE,"보증1";#N/A,#N/A,FALSE,"보증";#N/A,#N/A,FALSE,"손익1";#N/A,#N/A,FALSE,"손익";#N/A,#N/A,FALSE,"부서별매출";#N/A,#N/A,FALSE,"매출"}</definedName>
    <definedName name="_________________J200" localSheetId="5" hidden="1">{#N/A,#N/A,FALSE,"인원";#N/A,#N/A,FALSE,"비용2";#N/A,#N/A,FALSE,"비용1";#N/A,#N/A,FALSE,"비용";#N/A,#N/A,FALSE,"보증2";#N/A,#N/A,FALSE,"보증1";#N/A,#N/A,FALSE,"보증";#N/A,#N/A,FALSE,"손익1";#N/A,#N/A,FALSE,"손익";#N/A,#N/A,FALSE,"부서별매출";#N/A,#N/A,FALSE,"매출"}</definedName>
    <definedName name="_________________J200" localSheetId="11" hidden="1">{#N/A,#N/A,FALSE,"인원";#N/A,#N/A,FALSE,"비용2";#N/A,#N/A,FALSE,"비용1";#N/A,#N/A,FALSE,"비용";#N/A,#N/A,FALSE,"보증2";#N/A,#N/A,FALSE,"보증1";#N/A,#N/A,FALSE,"보증";#N/A,#N/A,FALSE,"손익1";#N/A,#N/A,FALSE,"손익";#N/A,#N/A,FALSE,"부서별매출";#N/A,#N/A,FALSE,"매출"}</definedName>
    <definedName name="_________________J200" hidden="1">{#N/A,#N/A,FALSE,"인원";#N/A,#N/A,FALSE,"비용2";#N/A,#N/A,FALSE,"비용1";#N/A,#N/A,FALSE,"비용";#N/A,#N/A,FALSE,"보증2";#N/A,#N/A,FALSE,"보증1";#N/A,#N/A,FALSE,"보증";#N/A,#N/A,FALSE,"손익1";#N/A,#N/A,FALSE,"손익";#N/A,#N/A,FALSE,"부서별매출";#N/A,#N/A,FALSE,"매출"}</definedName>
    <definedName name="_________________tt1" localSheetId="4" hidden="1">{#N/A,#N/A,TRUE,"일정"}</definedName>
    <definedName name="_________________tt1" localSheetId="5" hidden="1">{#N/A,#N/A,TRUE,"일정"}</definedName>
    <definedName name="_________________tt1" localSheetId="11" hidden="1">{#N/A,#N/A,TRUE,"일정"}</definedName>
    <definedName name="_________________tt1" hidden="1">{#N/A,#N/A,TRUE,"일정"}</definedName>
    <definedName name="_________________xlfn.BAHTTEXT" hidden="1">#NAME?</definedName>
    <definedName name="________________A1" localSheetId="4" hidden="1">#REF!</definedName>
    <definedName name="________________A1" localSheetId="5" hidden="1">#REF!</definedName>
    <definedName name="________________A1" localSheetId="11" hidden="1">#REF!</definedName>
    <definedName name="________________A1" hidden="1">#REF!</definedName>
    <definedName name="________________a12" localSheetId="4" hidden="1">{"'Monthly 1997'!$A$3:$S$89"}</definedName>
    <definedName name="________________a12" localSheetId="5" hidden="1">{"'Monthly 1997'!$A$3:$S$89"}</definedName>
    <definedName name="________________a12" localSheetId="11" hidden="1">{"'Monthly 1997'!$A$3:$S$89"}</definedName>
    <definedName name="________________a12" hidden="1">{"'Monthly 1997'!$A$3:$S$89"}</definedName>
    <definedName name="________________AT1" localSheetId="4" hidden="1">{#N/A,#N/A,FALSE,"인원";#N/A,#N/A,FALSE,"비용2";#N/A,#N/A,FALSE,"비용1";#N/A,#N/A,FALSE,"비용";#N/A,#N/A,FALSE,"보증2";#N/A,#N/A,FALSE,"보증1";#N/A,#N/A,FALSE,"보증";#N/A,#N/A,FALSE,"손익1";#N/A,#N/A,FALSE,"손익";#N/A,#N/A,FALSE,"부서별매출";#N/A,#N/A,FALSE,"매출"}</definedName>
    <definedName name="________________AT1" localSheetId="5" hidden="1">{#N/A,#N/A,FALSE,"인원";#N/A,#N/A,FALSE,"비용2";#N/A,#N/A,FALSE,"비용1";#N/A,#N/A,FALSE,"비용";#N/A,#N/A,FALSE,"보증2";#N/A,#N/A,FALSE,"보증1";#N/A,#N/A,FALSE,"보증";#N/A,#N/A,FALSE,"손익1";#N/A,#N/A,FALSE,"손익";#N/A,#N/A,FALSE,"부서별매출";#N/A,#N/A,FALSE,"매출"}</definedName>
    <definedName name="________________AT1" localSheetId="11" hidden="1">{#N/A,#N/A,FALSE,"인원";#N/A,#N/A,FALSE,"비용2";#N/A,#N/A,FALSE,"비용1";#N/A,#N/A,FALSE,"비용";#N/A,#N/A,FALSE,"보증2";#N/A,#N/A,FALSE,"보증1";#N/A,#N/A,FALSE,"보증";#N/A,#N/A,FALSE,"손익1";#N/A,#N/A,FALSE,"손익";#N/A,#N/A,FALSE,"부서별매출";#N/A,#N/A,FALSE,"매출"}</definedName>
    <definedName name="________________AT1" hidden="1">{#N/A,#N/A,FALSE,"인원";#N/A,#N/A,FALSE,"비용2";#N/A,#N/A,FALSE,"비용1";#N/A,#N/A,FALSE,"비용";#N/A,#N/A,FALSE,"보증2";#N/A,#N/A,FALSE,"보증1";#N/A,#N/A,FALSE,"보증";#N/A,#N/A,FALSE,"손익1";#N/A,#N/A,FALSE,"손익";#N/A,#N/A,FALSE,"부서별매출";#N/A,#N/A,FALSE,"매출"}</definedName>
    <definedName name="______________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AT2"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AT3" localSheetId="4" hidden="1">{#N/A,#N/A,FALSE,"인원";#N/A,#N/A,FALSE,"비용2";#N/A,#N/A,FALSE,"비용1";#N/A,#N/A,FALSE,"비용";#N/A,#N/A,FALSE,"보증2";#N/A,#N/A,FALSE,"보증1";#N/A,#N/A,FALSE,"보증";#N/A,#N/A,FALSE,"손익1";#N/A,#N/A,FALSE,"손익";#N/A,#N/A,FALSE,"부서별매출";#N/A,#N/A,FALSE,"매출"}</definedName>
    <definedName name="________________AT3" localSheetId="5" hidden="1">{#N/A,#N/A,FALSE,"인원";#N/A,#N/A,FALSE,"비용2";#N/A,#N/A,FALSE,"비용1";#N/A,#N/A,FALSE,"비용";#N/A,#N/A,FALSE,"보증2";#N/A,#N/A,FALSE,"보증1";#N/A,#N/A,FALSE,"보증";#N/A,#N/A,FALSE,"손익1";#N/A,#N/A,FALSE,"손익";#N/A,#N/A,FALSE,"부서별매출";#N/A,#N/A,FALSE,"매출"}</definedName>
    <definedName name="________________AT3" localSheetId="11" hidden="1">{#N/A,#N/A,FALSE,"인원";#N/A,#N/A,FALSE,"비용2";#N/A,#N/A,FALSE,"비용1";#N/A,#N/A,FALSE,"비용";#N/A,#N/A,FALSE,"보증2";#N/A,#N/A,FALSE,"보증1";#N/A,#N/A,FALSE,"보증";#N/A,#N/A,FALSE,"손익1";#N/A,#N/A,FALSE,"손익";#N/A,#N/A,FALSE,"부서별매출";#N/A,#N/A,FALSE,"매출"}</definedName>
    <definedName name="________________AT3" hidden="1">{#N/A,#N/A,FALSE,"인원";#N/A,#N/A,FALSE,"비용2";#N/A,#N/A,FALSE,"비용1";#N/A,#N/A,FALSE,"비용";#N/A,#N/A,FALSE,"보증2";#N/A,#N/A,FALSE,"보증1";#N/A,#N/A,FALSE,"보증";#N/A,#N/A,FALSE,"손익1";#N/A,#N/A,FALSE,"손익";#N/A,#N/A,FALSE,"부서별매출";#N/A,#N/A,FALSE,"매출"}</definedName>
    <definedName name="________________J200" localSheetId="4" hidden="1">{#N/A,#N/A,FALSE,"인원";#N/A,#N/A,FALSE,"비용2";#N/A,#N/A,FALSE,"비용1";#N/A,#N/A,FALSE,"비용";#N/A,#N/A,FALSE,"보증2";#N/A,#N/A,FALSE,"보증1";#N/A,#N/A,FALSE,"보증";#N/A,#N/A,FALSE,"손익1";#N/A,#N/A,FALSE,"손익";#N/A,#N/A,FALSE,"부서별매출";#N/A,#N/A,FALSE,"매출"}</definedName>
    <definedName name="________________J200" localSheetId="5" hidden="1">{#N/A,#N/A,FALSE,"인원";#N/A,#N/A,FALSE,"비용2";#N/A,#N/A,FALSE,"비용1";#N/A,#N/A,FALSE,"비용";#N/A,#N/A,FALSE,"보증2";#N/A,#N/A,FALSE,"보증1";#N/A,#N/A,FALSE,"보증";#N/A,#N/A,FALSE,"손익1";#N/A,#N/A,FALSE,"손익";#N/A,#N/A,FALSE,"부서별매출";#N/A,#N/A,FALSE,"매출"}</definedName>
    <definedName name="________________J200" localSheetId="11" hidden="1">{#N/A,#N/A,FALSE,"인원";#N/A,#N/A,FALSE,"비용2";#N/A,#N/A,FALSE,"비용1";#N/A,#N/A,FALSE,"비용";#N/A,#N/A,FALSE,"보증2";#N/A,#N/A,FALSE,"보증1";#N/A,#N/A,FALSE,"보증";#N/A,#N/A,FALSE,"손익1";#N/A,#N/A,FALSE,"손익";#N/A,#N/A,FALSE,"부서별매출";#N/A,#N/A,FALSE,"매출"}</definedName>
    <definedName name="________________J200" hidden="1">{#N/A,#N/A,FALSE,"인원";#N/A,#N/A,FALSE,"비용2";#N/A,#N/A,FALSE,"비용1";#N/A,#N/A,FALSE,"비용";#N/A,#N/A,FALSE,"보증2";#N/A,#N/A,FALSE,"보증1";#N/A,#N/A,FALSE,"보증";#N/A,#N/A,FALSE,"손익1";#N/A,#N/A,FALSE,"손익";#N/A,#N/A,FALSE,"부서별매출";#N/A,#N/A,FALSE,"매출"}</definedName>
    <definedName name="________________tt1" localSheetId="4" hidden="1">{#N/A,#N/A,TRUE,"일정"}</definedName>
    <definedName name="________________tt1" localSheetId="5" hidden="1">{#N/A,#N/A,TRUE,"일정"}</definedName>
    <definedName name="________________tt1" localSheetId="11" hidden="1">{#N/A,#N/A,TRUE,"일정"}</definedName>
    <definedName name="________________tt1" hidden="1">{#N/A,#N/A,TRUE,"일정"}</definedName>
    <definedName name="________________xlfn.BAHTTEXT" hidden="1">#NAME?</definedName>
    <definedName name="_______________a12" localSheetId="4" hidden="1">{"'Monthly 1997'!$A$3:$S$89"}</definedName>
    <definedName name="_______________a12" localSheetId="5" hidden="1">{"'Monthly 1997'!$A$3:$S$89"}</definedName>
    <definedName name="_______________a12" localSheetId="11" hidden="1">{"'Monthly 1997'!$A$3:$S$89"}</definedName>
    <definedName name="_______________a12" hidden="1">{"'Monthly 1997'!$A$3:$S$89"}</definedName>
    <definedName name="_______________AT1" localSheetId="4" hidden="1">{#N/A,#N/A,FALSE,"인원";#N/A,#N/A,FALSE,"비용2";#N/A,#N/A,FALSE,"비용1";#N/A,#N/A,FALSE,"비용";#N/A,#N/A,FALSE,"보증2";#N/A,#N/A,FALSE,"보증1";#N/A,#N/A,FALSE,"보증";#N/A,#N/A,FALSE,"손익1";#N/A,#N/A,FALSE,"손익";#N/A,#N/A,FALSE,"부서별매출";#N/A,#N/A,FALSE,"매출"}</definedName>
    <definedName name="_______________AT1" localSheetId="5" hidden="1">{#N/A,#N/A,FALSE,"인원";#N/A,#N/A,FALSE,"비용2";#N/A,#N/A,FALSE,"비용1";#N/A,#N/A,FALSE,"비용";#N/A,#N/A,FALSE,"보증2";#N/A,#N/A,FALSE,"보증1";#N/A,#N/A,FALSE,"보증";#N/A,#N/A,FALSE,"손익1";#N/A,#N/A,FALSE,"손익";#N/A,#N/A,FALSE,"부서별매출";#N/A,#N/A,FALSE,"매출"}</definedName>
    <definedName name="_______________AT1" localSheetId="11" hidden="1">{#N/A,#N/A,FALSE,"인원";#N/A,#N/A,FALSE,"비용2";#N/A,#N/A,FALSE,"비용1";#N/A,#N/A,FALSE,"비용";#N/A,#N/A,FALSE,"보증2";#N/A,#N/A,FALSE,"보증1";#N/A,#N/A,FALSE,"보증";#N/A,#N/A,FALSE,"손익1";#N/A,#N/A,FALSE,"손익";#N/A,#N/A,FALSE,"부서별매출";#N/A,#N/A,FALSE,"매출"}</definedName>
    <definedName name="_______________AT1" hidden="1">{#N/A,#N/A,FALSE,"인원";#N/A,#N/A,FALSE,"비용2";#N/A,#N/A,FALSE,"비용1";#N/A,#N/A,FALSE,"비용";#N/A,#N/A,FALSE,"보증2";#N/A,#N/A,FALSE,"보증1";#N/A,#N/A,FALSE,"보증";#N/A,#N/A,FALSE,"손익1";#N/A,#N/A,FALSE,"손익";#N/A,#N/A,FALSE,"부서별매출";#N/A,#N/A,FALSE,"매출"}</definedName>
    <definedName name="_____________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AT2"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AT3" localSheetId="4" hidden="1">{#N/A,#N/A,FALSE,"인원";#N/A,#N/A,FALSE,"비용2";#N/A,#N/A,FALSE,"비용1";#N/A,#N/A,FALSE,"비용";#N/A,#N/A,FALSE,"보증2";#N/A,#N/A,FALSE,"보증1";#N/A,#N/A,FALSE,"보증";#N/A,#N/A,FALSE,"손익1";#N/A,#N/A,FALSE,"손익";#N/A,#N/A,FALSE,"부서별매출";#N/A,#N/A,FALSE,"매출"}</definedName>
    <definedName name="_______________AT3" localSheetId="5" hidden="1">{#N/A,#N/A,FALSE,"인원";#N/A,#N/A,FALSE,"비용2";#N/A,#N/A,FALSE,"비용1";#N/A,#N/A,FALSE,"비용";#N/A,#N/A,FALSE,"보증2";#N/A,#N/A,FALSE,"보증1";#N/A,#N/A,FALSE,"보증";#N/A,#N/A,FALSE,"손익1";#N/A,#N/A,FALSE,"손익";#N/A,#N/A,FALSE,"부서별매출";#N/A,#N/A,FALSE,"매출"}</definedName>
    <definedName name="_______________AT3" localSheetId="11" hidden="1">{#N/A,#N/A,FALSE,"인원";#N/A,#N/A,FALSE,"비용2";#N/A,#N/A,FALSE,"비용1";#N/A,#N/A,FALSE,"비용";#N/A,#N/A,FALSE,"보증2";#N/A,#N/A,FALSE,"보증1";#N/A,#N/A,FALSE,"보증";#N/A,#N/A,FALSE,"손익1";#N/A,#N/A,FALSE,"손익";#N/A,#N/A,FALSE,"부서별매출";#N/A,#N/A,FALSE,"매출"}</definedName>
    <definedName name="_______________AT3" hidden="1">{#N/A,#N/A,FALSE,"인원";#N/A,#N/A,FALSE,"비용2";#N/A,#N/A,FALSE,"비용1";#N/A,#N/A,FALSE,"비용";#N/A,#N/A,FALSE,"보증2";#N/A,#N/A,FALSE,"보증1";#N/A,#N/A,FALSE,"보증";#N/A,#N/A,FALSE,"손익1";#N/A,#N/A,FALSE,"손익";#N/A,#N/A,FALSE,"부서별매출";#N/A,#N/A,FALSE,"매출"}</definedName>
    <definedName name="_______________day3" localSheetId="4">#REF!</definedName>
    <definedName name="_______________day3" localSheetId="5">#REF!</definedName>
    <definedName name="_______________day3" localSheetId="11">#REF!</definedName>
    <definedName name="_______________day3">#REF!</definedName>
    <definedName name="_______________day4" localSheetId="4">#REF!</definedName>
    <definedName name="_______________day4" localSheetId="5">#REF!</definedName>
    <definedName name="_______________day4" localSheetId="11">#REF!</definedName>
    <definedName name="_______________day4">#REF!</definedName>
    <definedName name="_______________tt1" localSheetId="4" hidden="1">{#N/A,#N/A,TRUE,"일정"}</definedName>
    <definedName name="_______________tt1" localSheetId="5" hidden="1">{#N/A,#N/A,TRUE,"일정"}</definedName>
    <definedName name="_______________tt1" localSheetId="11" hidden="1">{#N/A,#N/A,TRUE,"일정"}</definedName>
    <definedName name="_______________tt1" hidden="1">{#N/A,#N/A,TRUE,"일정"}</definedName>
    <definedName name="_______________xlfn.BAHTTEXT" hidden="1">#NAME?</definedName>
    <definedName name="______________A1" localSheetId="4" hidden="1">#REF!</definedName>
    <definedName name="______________A1" localSheetId="5" hidden="1">#REF!</definedName>
    <definedName name="______________A1" localSheetId="11" hidden="1">#REF!</definedName>
    <definedName name="______________A1" hidden="1">#REF!</definedName>
    <definedName name="______________a12" localSheetId="4" hidden="1">{"'Monthly 1997'!$A$3:$S$89"}</definedName>
    <definedName name="______________a12" localSheetId="5" hidden="1">{"'Monthly 1997'!$A$3:$S$89"}</definedName>
    <definedName name="______________a12" localSheetId="11" hidden="1">{"'Monthly 1997'!$A$3:$S$89"}</definedName>
    <definedName name="______________a12" hidden="1">{"'Monthly 1997'!$A$3:$S$89"}</definedName>
    <definedName name="______________A999999" localSheetId="11">#REF!</definedName>
    <definedName name="______________A999999">#REF!</definedName>
    <definedName name="______________AT1" localSheetId="4" hidden="1">{#N/A,#N/A,FALSE,"인원";#N/A,#N/A,FALSE,"비용2";#N/A,#N/A,FALSE,"비용1";#N/A,#N/A,FALSE,"비용";#N/A,#N/A,FALSE,"보증2";#N/A,#N/A,FALSE,"보증1";#N/A,#N/A,FALSE,"보증";#N/A,#N/A,FALSE,"손익1";#N/A,#N/A,FALSE,"손익";#N/A,#N/A,FALSE,"부서별매출";#N/A,#N/A,FALSE,"매출"}</definedName>
    <definedName name="______________AT1" localSheetId="5" hidden="1">{#N/A,#N/A,FALSE,"인원";#N/A,#N/A,FALSE,"비용2";#N/A,#N/A,FALSE,"비용1";#N/A,#N/A,FALSE,"비용";#N/A,#N/A,FALSE,"보증2";#N/A,#N/A,FALSE,"보증1";#N/A,#N/A,FALSE,"보증";#N/A,#N/A,FALSE,"손익1";#N/A,#N/A,FALSE,"손익";#N/A,#N/A,FALSE,"부서별매출";#N/A,#N/A,FALSE,"매출"}</definedName>
    <definedName name="______________AT1" localSheetId="11" hidden="1">{#N/A,#N/A,FALSE,"인원";#N/A,#N/A,FALSE,"비용2";#N/A,#N/A,FALSE,"비용1";#N/A,#N/A,FALSE,"비용";#N/A,#N/A,FALSE,"보증2";#N/A,#N/A,FALSE,"보증1";#N/A,#N/A,FALSE,"보증";#N/A,#N/A,FALSE,"손익1";#N/A,#N/A,FALSE,"손익";#N/A,#N/A,FALSE,"부서별매출";#N/A,#N/A,FALSE,"매출"}</definedName>
    <definedName name="______________AT1" hidden="1">{#N/A,#N/A,FALSE,"인원";#N/A,#N/A,FALSE,"비용2";#N/A,#N/A,FALSE,"비용1";#N/A,#N/A,FALSE,"비용";#N/A,#N/A,FALSE,"보증2";#N/A,#N/A,FALSE,"보증1";#N/A,#N/A,FALSE,"보증";#N/A,#N/A,FALSE,"손익1";#N/A,#N/A,FALSE,"손익";#N/A,#N/A,FALSE,"부서별매출";#N/A,#N/A,FALSE,"매출"}</definedName>
    <definedName name="____________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AT2"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AT3" localSheetId="4" hidden="1">{#N/A,#N/A,FALSE,"인원";#N/A,#N/A,FALSE,"비용2";#N/A,#N/A,FALSE,"비용1";#N/A,#N/A,FALSE,"비용";#N/A,#N/A,FALSE,"보증2";#N/A,#N/A,FALSE,"보증1";#N/A,#N/A,FALSE,"보증";#N/A,#N/A,FALSE,"손익1";#N/A,#N/A,FALSE,"손익";#N/A,#N/A,FALSE,"부서별매출";#N/A,#N/A,FALSE,"매출"}</definedName>
    <definedName name="______________AT3" localSheetId="5" hidden="1">{#N/A,#N/A,FALSE,"인원";#N/A,#N/A,FALSE,"비용2";#N/A,#N/A,FALSE,"비용1";#N/A,#N/A,FALSE,"비용";#N/A,#N/A,FALSE,"보증2";#N/A,#N/A,FALSE,"보증1";#N/A,#N/A,FALSE,"보증";#N/A,#N/A,FALSE,"손익1";#N/A,#N/A,FALSE,"손익";#N/A,#N/A,FALSE,"부서별매출";#N/A,#N/A,FALSE,"매출"}</definedName>
    <definedName name="______________AT3" localSheetId="11" hidden="1">{#N/A,#N/A,FALSE,"인원";#N/A,#N/A,FALSE,"비용2";#N/A,#N/A,FALSE,"비용1";#N/A,#N/A,FALSE,"비용";#N/A,#N/A,FALSE,"보증2";#N/A,#N/A,FALSE,"보증1";#N/A,#N/A,FALSE,"보증";#N/A,#N/A,FALSE,"손익1";#N/A,#N/A,FALSE,"손익";#N/A,#N/A,FALSE,"부서별매출";#N/A,#N/A,FALSE,"매출"}</definedName>
    <definedName name="______________AT3" hidden="1">{#N/A,#N/A,FALSE,"인원";#N/A,#N/A,FALSE,"비용2";#N/A,#N/A,FALSE,"비용1";#N/A,#N/A,FALSE,"비용";#N/A,#N/A,FALSE,"보증2";#N/A,#N/A,FALSE,"보증1";#N/A,#N/A,FALSE,"보증";#N/A,#N/A,FALSE,"손익1";#N/A,#N/A,FALSE,"손익";#N/A,#N/A,FALSE,"부서별매출";#N/A,#N/A,FALSE,"매출"}</definedName>
    <definedName name="______________day3" localSheetId="4">#REF!</definedName>
    <definedName name="______________day3" localSheetId="5">#REF!</definedName>
    <definedName name="______________day3" localSheetId="11">#REF!</definedName>
    <definedName name="______________day3">#REF!</definedName>
    <definedName name="______________day4" localSheetId="4">#REF!</definedName>
    <definedName name="______________day4" localSheetId="5">#REF!</definedName>
    <definedName name="______________day4" localSheetId="11">#REF!</definedName>
    <definedName name="______________day4">#REF!</definedName>
    <definedName name="______________J200" localSheetId="4" hidden="1">{#N/A,#N/A,FALSE,"인원";#N/A,#N/A,FALSE,"비용2";#N/A,#N/A,FALSE,"비용1";#N/A,#N/A,FALSE,"비용";#N/A,#N/A,FALSE,"보증2";#N/A,#N/A,FALSE,"보증1";#N/A,#N/A,FALSE,"보증";#N/A,#N/A,FALSE,"손익1";#N/A,#N/A,FALSE,"손익";#N/A,#N/A,FALSE,"부서별매출";#N/A,#N/A,FALSE,"매출"}</definedName>
    <definedName name="______________J200" localSheetId="5" hidden="1">{#N/A,#N/A,FALSE,"인원";#N/A,#N/A,FALSE,"비용2";#N/A,#N/A,FALSE,"비용1";#N/A,#N/A,FALSE,"비용";#N/A,#N/A,FALSE,"보증2";#N/A,#N/A,FALSE,"보증1";#N/A,#N/A,FALSE,"보증";#N/A,#N/A,FALSE,"손익1";#N/A,#N/A,FALSE,"손익";#N/A,#N/A,FALSE,"부서별매출";#N/A,#N/A,FALSE,"매출"}</definedName>
    <definedName name="______________J200" localSheetId="11" hidden="1">{#N/A,#N/A,FALSE,"인원";#N/A,#N/A,FALSE,"비용2";#N/A,#N/A,FALSE,"비용1";#N/A,#N/A,FALSE,"비용";#N/A,#N/A,FALSE,"보증2";#N/A,#N/A,FALSE,"보증1";#N/A,#N/A,FALSE,"보증";#N/A,#N/A,FALSE,"손익1";#N/A,#N/A,FALSE,"손익";#N/A,#N/A,FALSE,"부서별매출";#N/A,#N/A,FALSE,"매출"}</definedName>
    <definedName name="______________J200" hidden="1">{#N/A,#N/A,FALSE,"인원";#N/A,#N/A,FALSE,"비용2";#N/A,#N/A,FALSE,"비용1";#N/A,#N/A,FALSE,"비용";#N/A,#N/A,FALSE,"보증2";#N/A,#N/A,FALSE,"보증1";#N/A,#N/A,FALSE,"보증";#N/A,#N/A,FALSE,"손익1";#N/A,#N/A,FALSE,"손익";#N/A,#N/A,FALSE,"부서별매출";#N/A,#N/A,FALSE,"매출"}</definedName>
    <definedName name="______________SPO1">#N/A</definedName>
    <definedName name="______________SPO2">#N/A</definedName>
    <definedName name="______________tt1" localSheetId="4" hidden="1">{#N/A,#N/A,TRUE,"일정"}</definedName>
    <definedName name="______________tt1" localSheetId="5" hidden="1">{#N/A,#N/A,TRUE,"일정"}</definedName>
    <definedName name="______________tt1" localSheetId="11" hidden="1">{#N/A,#N/A,TRUE,"일정"}</definedName>
    <definedName name="______________tt1" hidden="1">{#N/A,#N/A,TRUE,"일정"}</definedName>
    <definedName name="______________xlfn.BAHTTEXT" hidden="1">#NAME?</definedName>
    <definedName name="_____________A1" localSheetId="4" hidden="1">#REF!</definedName>
    <definedName name="_____________A1" localSheetId="5" hidden="1">#REF!</definedName>
    <definedName name="_____________A1" localSheetId="11" hidden="1">#REF!</definedName>
    <definedName name="_____________A1" hidden="1">#REF!</definedName>
    <definedName name="_____________a12" localSheetId="4" hidden="1">{"'Monthly 1997'!$A$3:$S$89"}</definedName>
    <definedName name="_____________a12" localSheetId="5" hidden="1">{"'Monthly 1997'!$A$3:$S$89"}</definedName>
    <definedName name="_____________a12" localSheetId="11" hidden="1">{"'Monthly 1997'!$A$3:$S$89"}</definedName>
    <definedName name="_____________a12" hidden="1">{"'Monthly 1997'!$A$3:$S$89"}</definedName>
    <definedName name="_____________A999999" localSheetId="11">#REF!</definedName>
    <definedName name="_____________A999999">#REF!</definedName>
    <definedName name="_____________AT1" localSheetId="4" hidden="1">{#N/A,#N/A,FALSE,"인원";#N/A,#N/A,FALSE,"비용2";#N/A,#N/A,FALSE,"비용1";#N/A,#N/A,FALSE,"비용";#N/A,#N/A,FALSE,"보증2";#N/A,#N/A,FALSE,"보증1";#N/A,#N/A,FALSE,"보증";#N/A,#N/A,FALSE,"손익1";#N/A,#N/A,FALSE,"손익";#N/A,#N/A,FALSE,"부서별매출";#N/A,#N/A,FALSE,"매출"}</definedName>
    <definedName name="_____________AT1" localSheetId="5" hidden="1">{#N/A,#N/A,FALSE,"인원";#N/A,#N/A,FALSE,"비용2";#N/A,#N/A,FALSE,"비용1";#N/A,#N/A,FALSE,"비용";#N/A,#N/A,FALSE,"보증2";#N/A,#N/A,FALSE,"보증1";#N/A,#N/A,FALSE,"보증";#N/A,#N/A,FALSE,"손익1";#N/A,#N/A,FALSE,"손익";#N/A,#N/A,FALSE,"부서별매출";#N/A,#N/A,FALSE,"매출"}</definedName>
    <definedName name="_____________AT1" localSheetId="11" hidden="1">{#N/A,#N/A,FALSE,"인원";#N/A,#N/A,FALSE,"비용2";#N/A,#N/A,FALSE,"비용1";#N/A,#N/A,FALSE,"비용";#N/A,#N/A,FALSE,"보증2";#N/A,#N/A,FALSE,"보증1";#N/A,#N/A,FALSE,"보증";#N/A,#N/A,FALSE,"손익1";#N/A,#N/A,FALSE,"손익";#N/A,#N/A,FALSE,"부서별매출";#N/A,#N/A,FALSE,"매출"}</definedName>
    <definedName name="_____________AT1" hidden="1">{#N/A,#N/A,FALSE,"인원";#N/A,#N/A,FALSE,"비용2";#N/A,#N/A,FALSE,"비용1";#N/A,#N/A,FALSE,"비용";#N/A,#N/A,FALSE,"보증2";#N/A,#N/A,FALSE,"보증1";#N/A,#N/A,FALSE,"보증";#N/A,#N/A,FALSE,"손익1";#N/A,#N/A,FALSE,"손익";#N/A,#N/A,FALSE,"부서별매출";#N/A,#N/A,FALSE,"매출"}</definedName>
    <definedName name="___________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AT2"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AT3" localSheetId="4" hidden="1">{#N/A,#N/A,FALSE,"인원";#N/A,#N/A,FALSE,"비용2";#N/A,#N/A,FALSE,"비용1";#N/A,#N/A,FALSE,"비용";#N/A,#N/A,FALSE,"보증2";#N/A,#N/A,FALSE,"보증1";#N/A,#N/A,FALSE,"보증";#N/A,#N/A,FALSE,"손익1";#N/A,#N/A,FALSE,"손익";#N/A,#N/A,FALSE,"부서별매출";#N/A,#N/A,FALSE,"매출"}</definedName>
    <definedName name="_____________AT3" localSheetId="5" hidden="1">{#N/A,#N/A,FALSE,"인원";#N/A,#N/A,FALSE,"비용2";#N/A,#N/A,FALSE,"비용1";#N/A,#N/A,FALSE,"비용";#N/A,#N/A,FALSE,"보증2";#N/A,#N/A,FALSE,"보증1";#N/A,#N/A,FALSE,"보증";#N/A,#N/A,FALSE,"손익1";#N/A,#N/A,FALSE,"손익";#N/A,#N/A,FALSE,"부서별매출";#N/A,#N/A,FALSE,"매출"}</definedName>
    <definedName name="_____________AT3" localSheetId="11" hidden="1">{#N/A,#N/A,FALSE,"인원";#N/A,#N/A,FALSE,"비용2";#N/A,#N/A,FALSE,"비용1";#N/A,#N/A,FALSE,"비용";#N/A,#N/A,FALSE,"보증2";#N/A,#N/A,FALSE,"보증1";#N/A,#N/A,FALSE,"보증";#N/A,#N/A,FALSE,"손익1";#N/A,#N/A,FALSE,"손익";#N/A,#N/A,FALSE,"부서별매출";#N/A,#N/A,FALSE,"매출"}</definedName>
    <definedName name="_____________AT3" hidden="1">{#N/A,#N/A,FALSE,"인원";#N/A,#N/A,FALSE,"비용2";#N/A,#N/A,FALSE,"비용1";#N/A,#N/A,FALSE,"비용";#N/A,#N/A,FALSE,"보증2";#N/A,#N/A,FALSE,"보증1";#N/A,#N/A,FALSE,"보증";#N/A,#N/A,FALSE,"손익1";#N/A,#N/A,FALSE,"손익";#N/A,#N/A,FALSE,"부서별매출";#N/A,#N/A,FALSE,"매출"}</definedName>
    <definedName name="_____________day3" localSheetId="4">#REF!</definedName>
    <definedName name="_____________day3" localSheetId="5">#REF!</definedName>
    <definedName name="_____________day3" localSheetId="11">#REF!</definedName>
    <definedName name="_____________day3">#REF!</definedName>
    <definedName name="_____________day4" localSheetId="4">#REF!</definedName>
    <definedName name="_____________day4" localSheetId="5">#REF!</definedName>
    <definedName name="_____________day4" localSheetId="11">#REF!</definedName>
    <definedName name="_____________day4">#REF!</definedName>
    <definedName name="_____________J200" localSheetId="4" hidden="1">{#N/A,#N/A,FALSE,"인원";#N/A,#N/A,FALSE,"비용2";#N/A,#N/A,FALSE,"비용1";#N/A,#N/A,FALSE,"비용";#N/A,#N/A,FALSE,"보증2";#N/A,#N/A,FALSE,"보증1";#N/A,#N/A,FALSE,"보증";#N/A,#N/A,FALSE,"손익1";#N/A,#N/A,FALSE,"손익";#N/A,#N/A,FALSE,"부서별매출";#N/A,#N/A,FALSE,"매출"}</definedName>
    <definedName name="_____________J200" localSheetId="5" hidden="1">{#N/A,#N/A,FALSE,"인원";#N/A,#N/A,FALSE,"비용2";#N/A,#N/A,FALSE,"비용1";#N/A,#N/A,FALSE,"비용";#N/A,#N/A,FALSE,"보증2";#N/A,#N/A,FALSE,"보증1";#N/A,#N/A,FALSE,"보증";#N/A,#N/A,FALSE,"손익1";#N/A,#N/A,FALSE,"손익";#N/A,#N/A,FALSE,"부서별매출";#N/A,#N/A,FALSE,"매출"}</definedName>
    <definedName name="_____________J200" localSheetId="11" hidden="1">{#N/A,#N/A,FALSE,"인원";#N/A,#N/A,FALSE,"비용2";#N/A,#N/A,FALSE,"비용1";#N/A,#N/A,FALSE,"비용";#N/A,#N/A,FALSE,"보증2";#N/A,#N/A,FALSE,"보증1";#N/A,#N/A,FALSE,"보증";#N/A,#N/A,FALSE,"손익1";#N/A,#N/A,FALSE,"손익";#N/A,#N/A,FALSE,"부서별매출";#N/A,#N/A,FALSE,"매출"}</definedName>
    <definedName name="_____________J200" hidden="1">{#N/A,#N/A,FALSE,"인원";#N/A,#N/A,FALSE,"비용2";#N/A,#N/A,FALSE,"비용1";#N/A,#N/A,FALSE,"비용";#N/A,#N/A,FALSE,"보증2";#N/A,#N/A,FALSE,"보증1";#N/A,#N/A,FALSE,"보증";#N/A,#N/A,FALSE,"손익1";#N/A,#N/A,FALSE,"손익";#N/A,#N/A,FALSE,"부서별매출";#N/A,#N/A,FALSE,"매출"}</definedName>
    <definedName name="_____________SPO1">#N/A</definedName>
    <definedName name="_____________SPO2">#N/A</definedName>
    <definedName name="_____________tt1" localSheetId="4" hidden="1">{#N/A,#N/A,TRUE,"일정"}</definedName>
    <definedName name="_____________tt1" localSheetId="5" hidden="1">{#N/A,#N/A,TRUE,"일정"}</definedName>
    <definedName name="_____________tt1" localSheetId="11" hidden="1">{#N/A,#N/A,TRUE,"일정"}</definedName>
    <definedName name="_____________tt1" hidden="1">{#N/A,#N/A,TRUE,"일정"}</definedName>
    <definedName name="_____________xlfn.BAHTTEXT" hidden="1">#NAME?</definedName>
    <definedName name="____________A1" localSheetId="4" hidden="1">#REF!</definedName>
    <definedName name="____________A1" localSheetId="5" hidden="1">#REF!</definedName>
    <definedName name="____________A1" localSheetId="11" hidden="1">#REF!</definedName>
    <definedName name="____________A1" hidden="1">#REF!</definedName>
    <definedName name="____________a12" localSheetId="4" hidden="1">{"'Monthly 1997'!$A$3:$S$89"}</definedName>
    <definedName name="____________a12" localSheetId="5" hidden="1">{"'Monthly 1997'!$A$3:$S$89"}</definedName>
    <definedName name="____________a12" localSheetId="11" hidden="1">{"'Monthly 1997'!$A$3:$S$89"}</definedName>
    <definedName name="____________a12" hidden="1">{"'Monthly 1997'!$A$3:$S$89"}</definedName>
    <definedName name="____________A999999" localSheetId="11">#REF!</definedName>
    <definedName name="____________A999999">#REF!</definedName>
    <definedName name="____________AT1" localSheetId="4" hidden="1">{#N/A,#N/A,FALSE,"인원";#N/A,#N/A,FALSE,"비용2";#N/A,#N/A,FALSE,"비용1";#N/A,#N/A,FALSE,"비용";#N/A,#N/A,FALSE,"보증2";#N/A,#N/A,FALSE,"보증1";#N/A,#N/A,FALSE,"보증";#N/A,#N/A,FALSE,"손익1";#N/A,#N/A,FALSE,"손익";#N/A,#N/A,FALSE,"부서별매출";#N/A,#N/A,FALSE,"매출"}</definedName>
    <definedName name="____________AT1" localSheetId="5" hidden="1">{#N/A,#N/A,FALSE,"인원";#N/A,#N/A,FALSE,"비용2";#N/A,#N/A,FALSE,"비용1";#N/A,#N/A,FALSE,"비용";#N/A,#N/A,FALSE,"보증2";#N/A,#N/A,FALSE,"보증1";#N/A,#N/A,FALSE,"보증";#N/A,#N/A,FALSE,"손익1";#N/A,#N/A,FALSE,"손익";#N/A,#N/A,FALSE,"부서별매출";#N/A,#N/A,FALSE,"매출"}</definedName>
    <definedName name="____________AT1" localSheetId="11" hidden="1">{#N/A,#N/A,FALSE,"인원";#N/A,#N/A,FALSE,"비용2";#N/A,#N/A,FALSE,"비용1";#N/A,#N/A,FALSE,"비용";#N/A,#N/A,FALSE,"보증2";#N/A,#N/A,FALSE,"보증1";#N/A,#N/A,FALSE,"보증";#N/A,#N/A,FALSE,"손익1";#N/A,#N/A,FALSE,"손익";#N/A,#N/A,FALSE,"부서별매출";#N/A,#N/A,FALSE,"매출"}</definedName>
    <definedName name="____________AT1" hidden="1">{#N/A,#N/A,FALSE,"인원";#N/A,#N/A,FALSE,"비용2";#N/A,#N/A,FALSE,"비용1";#N/A,#N/A,FALSE,"비용";#N/A,#N/A,FALSE,"보증2";#N/A,#N/A,FALSE,"보증1";#N/A,#N/A,FALSE,"보증";#N/A,#N/A,FALSE,"손익1";#N/A,#N/A,FALSE,"손익";#N/A,#N/A,FALSE,"부서별매출";#N/A,#N/A,FALSE,"매출"}</definedName>
    <definedName name="__________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AT2"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AT3" localSheetId="4" hidden="1">{#N/A,#N/A,FALSE,"인원";#N/A,#N/A,FALSE,"비용2";#N/A,#N/A,FALSE,"비용1";#N/A,#N/A,FALSE,"비용";#N/A,#N/A,FALSE,"보증2";#N/A,#N/A,FALSE,"보증1";#N/A,#N/A,FALSE,"보증";#N/A,#N/A,FALSE,"손익1";#N/A,#N/A,FALSE,"손익";#N/A,#N/A,FALSE,"부서별매출";#N/A,#N/A,FALSE,"매출"}</definedName>
    <definedName name="____________AT3" localSheetId="5" hidden="1">{#N/A,#N/A,FALSE,"인원";#N/A,#N/A,FALSE,"비용2";#N/A,#N/A,FALSE,"비용1";#N/A,#N/A,FALSE,"비용";#N/A,#N/A,FALSE,"보증2";#N/A,#N/A,FALSE,"보증1";#N/A,#N/A,FALSE,"보증";#N/A,#N/A,FALSE,"손익1";#N/A,#N/A,FALSE,"손익";#N/A,#N/A,FALSE,"부서별매출";#N/A,#N/A,FALSE,"매출"}</definedName>
    <definedName name="____________AT3" localSheetId="11" hidden="1">{#N/A,#N/A,FALSE,"인원";#N/A,#N/A,FALSE,"비용2";#N/A,#N/A,FALSE,"비용1";#N/A,#N/A,FALSE,"비용";#N/A,#N/A,FALSE,"보증2";#N/A,#N/A,FALSE,"보증1";#N/A,#N/A,FALSE,"보증";#N/A,#N/A,FALSE,"손익1";#N/A,#N/A,FALSE,"손익";#N/A,#N/A,FALSE,"부서별매출";#N/A,#N/A,FALSE,"매출"}</definedName>
    <definedName name="____________AT3" hidden="1">{#N/A,#N/A,FALSE,"인원";#N/A,#N/A,FALSE,"비용2";#N/A,#N/A,FALSE,"비용1";#N/A,#N/A,FALSE,"비용";#N/A,#N/A,FALSE,"보증2";#N/A,#N/A,FALSE,"보증1";#N/A,#N/A,FALSE,"보증";#N/A,#N/A,FALSE,"손익1";#N/A,#N/A,FALSE,"손익";#N/A,#N/A,FALSE,"부서별매출";#N/A,#N/A,FALSE,"매출"}</definedName>
    <definedName name="____________day3" localSheetId="4">#REF!</definedName>
    <definedName name="____________day3" localSheetId="5">#REF!</definedName>
    <definedName name="____________day3" localSheetId="11">#REF!</definedName>
    <definedName name="____________day3">#REF!</definedName>
    <definedName name="____________day4" localSheetId="4">#REF!</definedName>
    <definedName name="____________day4" localSheetId="5">#REF!</definedName>
    <definedName name="____________day4" localSheetId="11">#REF!</definedName>
    <definedName name="____________day4">#REF!</definedName>
    <definedName name="____________J200" localSheetId="4" hidden="1">{#N/A,#N/A,FALSE,"인원";#N/A,#N/A,FALSE,"비용2";#N/A,#N/A,FALSE,"비용1";#N/A,#N/A,FALSE,"비용";#N/A,#N/A,FALSE,"보증2";#N/A,#N/A,FALSE,"보증1";#N/A,#N/A,FALSE,"보증";#N/A,#N/A,FALSE,"손익1";#N/A,#N/A,FALSE,"손익";#N/A,#N/A,FALSE,"부서별매출";#N/A,#N/A,FALSE,"매출"}</definedName>
    <definedName name="____________J200" localSheetId="5" hidden="1">{#N/A,#N/A,FALSE,"인원";#N/A,#N/A,FALSE,"비용2";#N/A,#N/A,FALSE,"비용1";#N/A,#N/A,FALSE,"비용";#N/A,#N/A,FALSE,"보증2";#N/A,#N/A,FALSE,"보증1";#N/A,#N/A,FALSE,"보증";#N/A,#N/A,FALSE,"손익1";#N/A,#N/A,FALSE,"손익";#N/A,#N/A,FALSE,"부서별매출";#N/A,#N/A,FALSE,"매출"}</definedName>
    <definedName name="____________J200" localSheetId="11" hidden="1">{#N/A,#N/A,FALSE,"인원";#N/A,#N/A,FALSE,"비용2";#N/A,#N/A,FALSE,"비용1";#N/A,#N/A,FALSE,"비용";#N/A,#N/A,FALSE,"보증2";#N/A,#N/A,FALSE,"보증1";#N/A,#N/A,FALSE,"보증";#N/A,#N/A,FALSE,"손익1";#N/A,#N/A,FALSE,"손익";#N/A,#N/A,FALSE,"부서별매출";#N/A,#N/A,FALSE,"매출"}</definedName>
    <definedName name="____________J200" hidden="1">{#N/A,#N/A,FALSE,"인원";#N/A,#N/A,FALSE,"비용2";#N/A,#N/A,FALSE,"비용1";#N/A,#N/A,FALSE,"비용";#N/A,#N/A,FALSE,"보증2";#N/A,#N/A,FALSE,"보증1";#N/A,#N/A,FALSE,"보증";#N/A,#N/A,FALSE,"손익1";#N/A,#N/A,FALSE,"손익";#N/A,#N/A,FALSE,"부서별매출";#N/A,#N/A,FALSE,"매출"}</definedName>
    <definedName name="____________SPO1">#N/A</definedName>
    <definedName name="____________SPO2">#N/A</definedName>
    <definedName name="____________tt1" localSheetId="4" hidden="1">{#N/A,#N/A,TRUE,"일정"}</definedName>
    <definedName name="____________tt1" localSheetId="5" hidden="1">{#N/A,#N/A,TRUE,"일정"}</definedName>
    <definedName name="____________tt1" localSheetId="11" hidden="1">{#N/A,#N/A,TRUE,"일정"}</definedName>
    <definedName name="____________tt1" hidden="1">{#N/A,#N/A,TRUE,"일정"}</definedName>
    <definedName name="____________xlfn.BAHTTEXT" hidden="1">#NAME?</definedName>
    <definedName name="___________A1" localSheetId="4" hidden="1">#REF!</definedName>
    <definedName name="___________A1" localSheetId="5" hidden="1">#REF!</definedName>
    <definedName name="___________A1" localSheetId="11" hidden="1">#REF!</definedName>
    <definedName name="___________A1" hidden="1">#REF!</definedName>
    <definedName name="___________a12" localSheetId="4" hidden="1">{"'Monthly 1997'!$A$3:$S$89"}</definedName>
    <definedName name="___________a12" localSheetId="5" hidden="1">{"'Monthly 1997'!$A$3:$S$89"}</definedName>
    <definedName name="___________a12" localSheetId="11" hidden="1">{"'Monthly 1997'!$A$3:$S$89"}</definedName>
    <definedName name="___________a12" hidden="1">{"'Monthly 1997'!$A$3:$S$89"}</definedName>
    <definedName name="___________A999999" localSheetId="11">#REF!</definedName>
    <definedName name="___________A999999">#REF!</definedName>
    <definedName name="___________AT1" localSheetId="4" hidden="1">{#N/A,#N/A,FALSE,"인원";#N/A,#N/A,FALSE,"비용2";#N/A,#N/A,FALSE,"비용1";#N/A,#N/A,FALSE,"비용";#N/A,#N/A,FALSE,"보증2";#N/A,#N/A,FALSE,"보증1";#N/A,#N/A,FALSE,"보증";#N/A,#N/A,FALSE,"손익1";#N/A,#N/A,FALSE,"손익";#N/A,#N/A,FALSE,"부서별매출";#N/A,#N/A,FALSE,"매출"}</definedName>
    <definedName name="___________AT1" localSheetId="5" hidden="1">{#N/A,#N/A,FALSE,"인원";#N/A,#N/A,FALSE,"비용2";#N/A,#N/A,FALSE,"비용1";#N/A,#N/A,FALSE,"비용";#N/A,#N/A,FALSE,"보증2";#N/A,#N/A,FALSE,"보증1";#N/A,#N/A,FALSE,"보증";#N/A,#N/A,FALSE,"손익1";#N/A,#N/A,FALSE,"손익";#N/A,#N/A,FALSE,"부서별매출";#N/A,#N/A,FALSE,"매출"}</definedName>
    <definedName name="___________AT1" localSheetId="11" hidden="1">{#N/A,#N/A,FALSE,"인원";#N/A,#N/A,FALSE,"비용2";#N/A,#N/A,FALSE,"비용1";#N/A,#N/A,FALSE,"비용";#N/A,#N/A,FALSE,"보증2";#N/A,#N/A,FALSE,"보증1";#N/A,#N/A,FALSE,"보증";#N/A,#N/A,FALSE,"손익1";#N/A,#N/A,FALSE,"손익";#N/A,#N/A,FALSE,"부서별매출";#N/A,#N/A,FALSE,"매출"}</definedName>
    <definedName name="___________AT1" hidden="1">{#N/A,#N/A,FALSE,"인원";#N/A,#N/A,FALSE,"비용2";#N/A,#N/A,FALSE,"비용1";#N/A,#N/A,FALSE,"비용";#N/A,#N/A,FALSE,"보증2";#N/A,#N/A,FALSE,"보증1";#N/A,#N/A,FALSE,"보증";#N/A,#N/A,FALSE,"손익1";#N/A,#N/A,FALSE,"손익";#N/A,#N/A,FALSE,"부서별매출";#N/A,#N/A,FALSE,"매출"}</definedName>
    <definedName name="_________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AT2"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AT3" localSheetId="4" hidden="1">{#N/A,#N/A,FALSE,"인원";#N/A,#N/A,FALSE,"비용2";#N/A,#N/A,FALSE,"비용1";#N/A,#N/A,FALSE,"비용";#N/A,#N/A,FALSE,"보증2";#N/A,#N/A,FALSE,"보증1";#N/A,#N/A,FALSE,"보증";#N/A,#N/A,FALSE,"손익1";#N/A,#N/A,FALSE,"손익";#N/A,#N/A,FALSE,"부서별매출";#N/A,#N/A,FALSE,"매출"}</definedName>
    <definedName name="___________AT3" localSheetId="5" hidden="1">{#N/A,#N/A,FALSE,"인원";#N/A,#N/A,FALSE,"비용2";#N/A,#N/A,FALSE,"비용1";#N/A,#N/A,FALSE,"비용";#N/A,#N/A,FALSE,"보증2";#N/A,#N/A,FALSE,"보증1";#N/A,#N/A,FALSE,"보증";#N/A,#N/A,FALSE,"손익1";#N/A,#N/A,FALSE,"손익";#N/A,#N/A,FALSE,"부서별매출";#N/A,#N/A,FALSE,"매출"}</definedName>
    <definedName name="___________AT3" localSheetId="11" hidden="1">{#N/A,#N/A,FALSE,"인원";#N/A,#N/A,FALSE,"비용2";#N/A,#N/A,FALSE,"비용1";#N/A,#N/A,FALSE,"비용";#N/A,#N/A,FALSE,"보증2";#N/A,#N/A,FALSE,"보증1";#N/A,#N/A,FALSE,"보증";#N/A,#N/A,FALSE,"손익1";#N/A,#N/A,FALSE,"손익";#N/A,#N/A,FALSE,"부서별매출";#N/A,#N/A,FALSE,"매출"}</definedName>
    <definedName name="___________AT3" hidden="1">{#N/A,#N/A,FALSE,"인원";#N/A,#N/A,FALSE,"비용2";#N/A,#N/A,FALSE,"비용1";#N/A,#N/A,FALSE,"비용";#N/A,#N/A,FALSE,"보증2";#N/A,#N/A,FALSE,"보증1";#N/A,#N/A,FALSE,"보증";#N/A,#N/A,FALSE,"손익1";#N/A,#N/A,FALSE,"손익";#N/A,#N/A,FALSE,"부서별매출";#N/A,#N/A,FALSE,"매출"}</definedName>
    <definedName name="___________day3" localSheetId="4">#REF!</definedName>
    <definedName name="___________day3" localSheetId="5">#REF!</definedName>
    <definedName name="___________day3" localSheetId="11">#REF!</definedName>
    <definedName name="___________day3">#REF!</definedName>
    <definedName name="___________day4" localSheetId="4">#REF!</definedName>
    <definedName name="___________day4" localSheetId="5">#REF!</definedName>
    <definedName name="___________day4" localSheetId="11">#REF!</definedName>
    <definedName name="___________day4">#REF!</definedName>
    <definedName name="___________J200" localSheetId="4" hidden="1">{#N/A,#N/A,FALSE,"인원";#N/A,#N/A,FALSE,"비용2";#N/A,#N/A,FALSE,"비용1";#N/A,#N/A,FALSE,"비용";#N/A,#N/A,FALSE,"보증2";#N/A,#N/A,FALSE,"보증1";#N/A,#N/A,FALSE,"보증";#N/A,#N/A,FALSE,"손익1";#N/A,#N/A,FALSE,"손익";#N/A,#N/A,FALSE,"부서별매출";#N/A,#N/A,FALSE,"매출"}</definedName>
    <definedName name="___________J200" localSheetId="5" hidden="1">{#N/A,#N/A,FALSE,"인원";#N/A,#N/A,FALSE,"비용2";#N/A,#N/A,FALSE,"비용1";#N/A,#N/A,FALSE,"비용";#N/A,#N/A,FALSE,"보증2";#N/A,#N/A,FALSE,"보증1";#N/A,#N/A,FALSE,"보증";#N/A,#N/A,FALSE,"손익1";#N/A,#N/A,FALSE,"손익";#N/A,#N/A,FALSE,"부서별매출";#N/A,#N/A,FALSE,"매출"}</definedName>
    <definedName name="___________J200" localSheetId="11" hidden="1">{#N/A,#N/A,FALSE,"인원";#N/A,#N/A,FALSE,"비용2";#N/A,#N/A,FALSE,"비용1";#N/A,#N/A,FALSE,"비용";#N/A,#N/A,FALSE,"보증2";#N/A,#N/A,FALSE,"보증1";#N/A,#N/A,FALSE,"보증";#N/A,#N/A,FALSE,"손익1";#N/A,#N/A,FALSE,"손익";#N/A,#N/A,FALSE,"부서별매출";#N/A,#N/A,FALSE,"매출"}</definedName>
    <definedName name="___________J200" hidden="1">{#N/A,#N/A,FALSE,"인원";#N/A,#N/A,FALSE,"비용2";#N/A,#N/A,FALSE,"비용1";#N/A,#N/A,FALSE,"비용";#N/A,#N/A,FALSE,"보증2";#N/A,#N/A,FALSE,"보증1";#N/A,#N/A,FALSE,"보증";#N/A,#N/A,FALSE,"손익1";#N/A,#N/A,FALSE,"손익";#N/A,#N/A,FALSE,"부서별매출";#N/A,#N/A,FALSE,"매출"}</definedName>
    <definedName name="___________SPO1">#N/A</definedName>
    <definedName name="___________SPO2">#N/A</definedName>
    <definedName name="___________tt1" localSheetId="4" hidden="1">{#N/A,#N/A,TRUE,"일정"}</definedName>
    <definedName name="___________tt1" localSheetId="5" hidden="1">{#N/A,#N/A,TRUE,"일정"}</definedName>
    <definedName name="___________tt1" localSheetId="11" hidden="1">{#N/A,#N/A,TRUE,"일정"}</definedName>
    <definedName name="___________tt1" hidden="1">{#N/A,#N/A,TRUE,"일정"}</definedName>
    <definedName name="___________xlfn.BAHTTEXT" hidden="1">#NAME?</definedName>
    <definedName name="__________A1" localSheetId="4" hidden="1">#REF!</definedName>
    <definedName name="__________A1" localSheetId="5" hidden="1">#REF!</definedName>
    <definedName name="__________A1" localSheetId="11" hidden="1">#REF!</definedName>
    <definedName name="__________A1" hidden="1">#REF!</definedName>
    <definedName name="__________a12" localSheetId="4" hidden="1">{"'Monthly 1997'!$A$3:$S$89"}</definedName>
    <definedName name="__________a12" localSheetId="5" hidden="1">{"'Monthly 1997'!$A$3:$S$89"}</definedName>
    <definedName name="__________a12" localSheetId="11" hidden="1">{"'Monthly 1997'!$A$3:$S$89"}</definedName>
    <definedName name="__________a12" hidden="1">{"'Monthly 1997'!$A$3:$S$89"}</definedName>
    <definedName name="__________A999999" localSheetId="11">#REF!</definedName>
    <definedName name="__________A999999">#REF!</definedName>
    <definedName name="__________AT1" localSheetId="4" hidden="1">{#N/A,#N/A,FALSE,"인원";#N/A,#N/A,FALSE,"비용2";#N/A,#N/A,FALSE,"비용1";#N/A,#N/A,FALSE,"비용";#N/A,#N/A,FALSE,"보증2";#N/A,#N/A,FALSE,"보증1";#N/A,#N/A,FALSE,"보증";#N/A,#N/A,FALSE,"손익1";#N/A,#N/A,FALSE,"손익";#N/A,#N/A,FALSE,"부서별매출";#N/A,#N/A,FALSE,"매출"}</definedName>
    <definedName name="__________AT1" localSheetId="5" hidden="1">{#N/A,#N/A,FALSE,"인원";#N/A,#N/A,FALSE,"비용2";#N/A,#N/A,FALSE,"비용1";#N/A,#N/A,FALSE,"비용";#N/A,#N/A,FALSE,"보증2";#N/A,#N/A,FALSE,"보증1";#N/A,#N/A,FALSE,"보증";#N/A,#N/A,FALSE,"손익1";#N/A,#N/A,FALSE,"손익";#N/A,#N/A,FALSE,"부서별매출";#N/A,#N/A,FALSE,"매출"}</definedName>
    <definedName name="__________AT1" localSheetId="11" hidden="1">{#N/A,#N/A,FALSE,"인원";#N/A,#N/A,FALSE,"비용2";#N/A,#N/A,FALSE,"비용1";#N/A,#N/A,FALSE,"비용";#N/A,#N/A,FALSE,"보증2";#N/A,#N/A,FALSE,"보증1";#N/A,#N/A,FALSE,"보증";#N/A,#N/A,FALSE,"손익1";#N/A,#N/A,FALSE,"손익";#N/A,#N/A,FALSE,"부서별매출";#N/A,#N/A,FALSE,"매출"}</definedName>
    <definedName name="__________AT1" hidden="1">{#N/A,#N/A,FALSE,"인원";#N/A,#N/A,FALSE,"비용2";#N/A,#N/A,FALSE,"비용1";#N/A,#N/A,FALSE,"비용";#N/A,#N/A,FALSE,"보증2";#N/A,#N/A,FALSE,"보증1";#N/A,#N/A,FALSE,"보증";#N/A,#N/A,FALSE,"손익1";#N/A,#N/A,FALSE,"손익";#N/A,#N/A,FALSE,"부서별매출";#N/A,#N/A,FALSE,"매출"}</definedName>
    <definedName name="________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AT2"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AT3" localSheetId="4" hidden="1">{#N/A,#N/A,FALSE,"인원";#N/A,#N/A,FALSE,"비용2";#N/A,#N/A,FALSE,"비용1";#N/A,#N/A,FALSE,"비용";#N/A,#N/A,FALSE,"보증2";#N/A,#N/A,FALSE,"보증1";#N/A,#N/A,FALSE,"보증";#N/A,#N/A,FALSE,"손익1";#N/A,#N/A,FALSE,"손익";#N/A,#N/A,FALSE,"부서별매출";#N/A,#N/A,FALSE,"매출"}</definedName>
    <definedName name="__________AT3" localSheetId="5" hidden="1">{#N/A,#N/A,FALSE,"인원";#N/A,#N/A,FALSE,"비용2";#N/A,#N/A,FALSE,"비용1";#N/A,#N/A,FALSE,"비용";#N/A,#N/A,FALSE,"보증2";#N/A,#N/A,FALSE,"보증1";#N/A,#N/A,FALSE,"보증";#N/A,#N/A,FALSE,"손익1";#N/A,#N/A,FALSE,"손익";#N/A,#N/A,FALSE,"부서별매출";#N/A,#N/A,FALSE,"매출"}</definedName>
    <definedName name="__________AT3" localSheetId="11" hidden="1">{#N/A,#N/A,FALSE,"인원";#N/A,#N/A,FALSE,"비용2";#N/A,#N/A,FALSE,"비용1";#N/A,#N/A,FALSE,"비용";#N/A,#N/A,FALSE,"보증2";#N/A,#N/A,FALSE,"보증1";#N/A,#N/A,FALSE,"보증";#N/A,#N/A,FALSE,"손익1";#N/A,#N/A,FALSE,"손익";#N/A,#N/A,FALSE,"부서별매출";#N/A,#N/A,FALSE,"매출"}</definedName>
    <definedName name="__________AT3" hidden="1">{#N/A,#N/A,FALSE,"인원";#N/A,#N/A,FALSE,"비용2";#N/A,#N/A,FALSE,"비용1";#N/A,#N/A,FALSE,"비용";#N/A,#N/A,FALSE,"보증2";#N/A,#N/A,FALSE,"보증1";#N/A,#N/A,FALSE,"보증";#N/A,#N/A,FALSE,"손익1";#N/A,#N/A,FALSE,"손익";#N/A,#N/A,FALSE,"부서별매출";#N/A,#N/A,FALSE,"매출"}</definedName>
    <definedName name="__________day3" localSheetId="4">#REF!</definedName>
    <definedName name="__________day3" localSheetId="5">#REF!</definedName>
    <definedName name="__________day3" localSheetId="11">#REF!</definedName>
    <definedName name="__________day3">#REF!</definedName>
    <definedName name="__________day4" localSheetId="4">#REF!</definedName>
    <definedName name="__________day4" localSheetId="5">#REF!</definedName>
    <definedName name="__________day4" localSheetId="11">#REF!</definedName>
    <definedName name="__________day4">#REF!</definedName>
    <definedName name="__________J200" localSheetId="4" hidden="1">{#N/A,#N/A,FALSE,"인원";#N/A,#N/A,FALSE,"비용2";#N/A,#N/A,FALSE,"비용1";#N/A,#N/A,FALSE,"비용";#N/A,#N/A,FALSE,"보증2";#N/A,#N/A,FALSE,"보증1";#N/A,#N/A,FALSE,"보증";#N/A,#N/A,FALSE,"손익1";#N/A,#N/A,FALSE,"손익";#N/A,#N/A,FALSE,"부서별매출";#N/A,#N/A,FALSE,"매출"}</definedName>
    <definedName name="__________J200" localSheetId="5" hidden="1">{#N/A,#N/A,FALSE,"인원";#N/A,#N/A,FALSE,"비용2";#N/A,#N/A,FALSE,"비용1";#N/A,#N/A,FALSE,"비용";#N/A,#N/A,FALSE,"보증2";#N/A,#N/A,FALSE,"보증1";#N/A,#N/A,FALSE,"보증";#N/A,#N/A,FALSE,"손익1";#N/A,#N/A,FALSE,"손익";#N/A,#N/A,FALSE,"부서별매출";#N/A,#N/A,FALSE,"매출"}</definedName>
    <definedName name="__________J200" localSheetId="11" hidden="1">{#N/A,#N/A,FALSE,"인원";#N/A,#N/A,FALSE,"비용2";#N/A,#N/A,FALSE,"비용1";#N/A,#N/A,FALSE,"비용";#N/A,#N/A,FALSE,"보증2";#N/A,#N/A,FALSE,"보증1";#N/A,#N/A,FALSE,"보증";#N/A,#N/A,FALSE,"손익1";#N/A,#N/A,FALSE,"손익";#N/A,#N/A,FALSE,"부서별매출";#N/A,#N/A,FALSE,"매출"}</definedName>
    <definedName name="__________J200" hidden="1">{#N/A,#N/A,FALSE,"인원";#N/A,#N/A,FALSE,"비용2";#N/A,#N/A,FALSE,"비용1";#N/A,#N/A,FALSE,"비용";#N/A,#N/A,FALSE,"보증2";#N/A,#N/A,FALSE,"보증1";#N/A,#N/A,FALSE,"보증";#N/A,#N/A,FALSE,"손익1";#N/A,#N/A,FALSE,"손익";#N/A,#N/A,FALSE,"부서별매출";#N/A,#N/A,FALSE,"매출"}</definedName>
    <definedName name="__________SPO1">#N/A</definedName>
    <definedName name="__________SPO2">#N/A</definedName>
    <definedName name="__________tt1" localSheetId="4" hidden="1">{#N/A,#N/A,TRUE,"일정"}</definedName>
    <definedName name="__________tt1" localSheetId="5" hidden="1">{#N/A,#N/A,TRUE,"일정"}</definedName>
    <definedName name="__________tt1" localSheetId="11" hidden="1">{#N/A,#N/A,TRUE,"일정"}</definedName>
    <definedName name="__________tt1" hidden="1">{#N/A,#N/A,TRUE,"일정"}</definedName>
    <definedName name="__________xlfn.BAHTTEXT" hidden="1">#NAME?</definedName>
    <definedName name="_________A1" localSheetId="4" hidden="1">#REF!</definedName>
    <definedName name="_________A1" localSheetId="5" hidden="1">#REF!</definedName>
    <definedName name="_________A1" localSheetId="11" hidden="1">#REF!</definedName>
    <definedName name="_________A1" hidden="1">#REF!</definedName>
    <definedName name="_________a12" localSheetId="4" hidden="1">{"'Monthly 1997'!$A$3:$S$89"}</definedName>
    <definedName name="_________a12" localSheetId="5" hidden="1">{"'Monthly 1997'!$A$3:$S$89"}</definedName>
    <definedName name="_________a12" localSheetId="11" hidden="1">{"'Monthly 1997'!$A$3:$S$89"}</definedName>
    <definedName name="_________a12" hidden="1">{"'Monthly 1997'!$A$3:$S$89"}</definedName>
    <definedName name="_________A999999" localSheetId="11">#REF!</definedName>
    <definedName name="_________A999999">#REF!</definedName>
    <definedName name="_________AT1" localSheetId="4" hidden="1">{#N/A,#N/A,FALSE,"인원";#N/A,#N/A,FALSE,"비용2";#N/A,#N/A,FALSE,"비용1";#N/A,#N/A,FALSE,"비용";#N/A,#N/A,FALSE,"보증2";#N/A,#N/A,FALSE,"보증1";#N/A,#N/A,FALSE,"보증";#N/A,#N/A,FALSE,"손익1";#N/A,#N/A,FALSE,"손익";#N/A,#N/A,FALSE,"부서별매출";#N/A,#N/A,FALSE,"매출"}</definedName>
    <definedName name="_________AT1" localSheetId="5" hidden="1">{#N/A,#N/A,FALSE,"인원";#N/A,#N/A,FALSE,"비용2";#N/A,#N/A,FALSE,"비용1";#N/A,#N/A,FALSE,"비용";#N/A,#N/A,FALSE,"보증2";#N/A,#N/A,FALSE,"보증1";#N/A,#N/A,FALSE,"보증";#N/A,#N/A,FALSE,"손익1";#N/A,#N/A,FALSE,"손익";#N/A,#N/A,FALSE,"부서별매출";#N/A,#N/A,FALSE,"매출"}</definedName>
    <definedName name="_________AT1" localSheetId="11" hidden="1">{#N/A,#N/A,FALSE,"인원";#N/A,#N/A,FALSE,"비용2";#N/A,#N/A,FALSE,"비용1";#N/A,#N/A,FALSE,"비용";#N/A,#N/A,FALSE,"보증2";#N/A,#N/A,FALSE,"보증1";#N/A,#N/A,FALSE,"보증";#N/A,#N/A,FALSE,"손익1";#N/A,#N/A,FALSE,"손익";#N/A,#N/A,FALSE,"부서별매출";#N/A,#N/A,FALSE,"매출"}</definedName>
    <definedName name="_________AT1" hidden="1">{#N/A,#N/A,FALSE,"인원";#N/A,#N/A,FALSE,"비용2";#N/A,#N/A,FALSE,"비용1";#N/A,#N/A,FALSE,"비용";#N/A,#N/A,FALSE,"보증2";#N/A,#N/A,FALSE,"보증1";#N/A,#N/A,FALSE,"보증";#N/A,#N/A,FALSE,"손익1";#N/A,#N/A,FALSE,"손익";#N/A,#N/A,FALSE,"부서별매출";#N/A,#N/A,FALSE,"매출"}</definedName>
    <definedName name="_______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AT2"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AT3" localSheetId="4" hidden="1">{#N/A,#N/A,FALSE,"인원";#N/A,#N/A,FALSE,"비용2";#N/A,#N/A,FALSE,"비용1";#N/A,#N/A,FALSE,"비용";#N/A,#N/A,FALSE,"보증2";#N/A,#N/A,FALSE,"보증1";#N/A,#N/A,FALSE,"보증";#N/A,#N/A,FALSE,"손익1";#N/A,#N/A,FALSE,"손익";#N/A,#N/A,FALSE,"부서별매출";#N/A,#N/A,FALSE,"매출"}</definedName>
    <definedName name="_________AT3" localSheetId="5" hidden="1">{#N/A,#N/A,FALSE,"인원";#N/A,#N/A,FALSE,"비용2";#N/A,#N/A,FALSE,"비용1";#N/A,#N/A,FALSE,"비용";#N/A,#N/A,FALSE,"보증2";#N/A,#N/A,FALSE,"보증1";#N/A,#N/A,FALSE,"보증";#N/A,#N/A,FALSE,"손익1";#N/A,#N/A,FALSE,"손익";#N/A,#N/A,FALSE,"부서별매출";#N/A,#N/A,FALSE,"매출"}</definedName>
    <definedName name="_________AT3" localSheetId="11" hidden="1">{#N/A,#N/A,FALSE,"인원";#N/A,#N/A,FALSE,"비용2";#N/A,#N/A,FALSE,"비용1";#N/A,#N/A,FALSE,"비용";#N/A,#N/A,FALSE,"보증2";#N/A,#N/A,FALSE,"보증1";#N/A,#N/A,FALSE,"보증";#N/A,#N/A,FALSE,"손익1";#N/A,#N/A,FALSE,"손익";#N/A,#N/A,FALSE,"부서별매출";#N/A,#N/A,FALSE,"매출"}</definedName>
    <definedName name="_________AT3" hidden="1">{#N/A,#N/A,FALSE,"인원";#N/A,#N/A,FALSE,"비용2";#N/A,#N/A,FALSE,"비용1";#N/A,#N/A,FALSE,"비용";#N/A,#N/A,FALSE,"보증2";#N/A,#N/A,FALSE,"보증1";#N/A,#N/A,FALSE,"보증";#N/A,#N/A,FALSE,"손익1";#N/A,#N/A,FALSE,"손익";#N/A,#N/A,FALSE,"부서별매출";#N/A,#N/A,FALSE,"매출"}</definedName>
    <definedName name="_________day3" localSheetId="4">#REF!</definedName>
    <definedName name="_________day3" localSheetId="5">#REF!</definedName>
    <definedName name="_________day3" localSheetId="11">#REF!</definedName>
    <definedName name="_________day3">#REF!</definedName>
    <definedName name="_________day4" localSheetId="4">#REF!</definedName>
    <definedName name="_________day4" localSheetId="5">#REF!</definedName>
    <definedName name="_________day4" localSheetId="11">#REF!</definedName>
    <definedName name="_________day4">#REF!</definedName>
    <definedName name="_________J200" localSheetId="4" hidden="1">{#N/A,#N/A,FALSE,"인원";#N/A,#N/A,FALSE,"비용2";#N/A,#N/A,FALSE,"비용1";#N/A,#N/A,FALSE,"비용";#N/A,#N/A,FALSE,"보증2";#N/A,#N/A,FALSE,"보증1";#N/A,#N/A,FALSE,"보증";#N/A,#N/A,FALSE,"손익1";#N/A,#N/A,FALSE,"손익";#N/A,#N/A,FALSE,"부서별매출";#N/A,#N/A,FALSE,"매출"}</definedName>
    <definedName name="_________J200" localSheetId="5" hidden="1">{#N/A,#N/A,FALSE,"인원";#N/A,#N/A,FALSE,"비용2";#N/A,#N/A,FALSE,"비용1";#N/A,#N/A,FALSE,"비용";#N/A,#N/A,FALSE,"보증2";#N/A,#N/A,FALSE,"보증1";#N/A,#N/A,FALSE,"보증";#N/A,#N/A,FALSE,"손익1";#N/A,#N/A,FALSE,"손익";#N/A,#N/A,FALSE,"부서별매출";#N/A,#N/A,FALSE,"매출"}</definedName>
    <definedName name="_________J200" localSheetId="11" hidden="1">{#N/A,#N/A,FALSE,"인원";#N/A,#N/A,FALSE,"비용2";#N/A,#N/A,FALSE,"비용1";#N/A,#N/A,FALSE,"비용";#N/A,#N/A,FALSE,"보증2";#N/A,#N/A,FALSE,"보증1";#N/A,#N/A,FALSE,"보증";#N/A,#N/A,FALSE,"손익1";#N/A,#N/A,FALSE,"손익";#N/A,#N/A,FALSE,"부서별매출";#N/A,#N/A,FALSE,"매출"}</definedName>
    <definedName name="_________J200" hidden="1">{#N/A,#N/A,FALSE,"인원";#N/A,#N/A,FALSE,"비용2";#N/A,#N/A,FALSE,"비용1";#N/A,#N/A,FALSE,"비용";#N/A,#N/A,FALSE,"보증2";#N/A,#N/A,FALSE,"보증1";#N/A,#N/A,FALSE,"보증";#N/A,#N/A,FALSE,"손익1";#N/A,#N/A,FALSE,"손익";#N/A,#N/A,FALSE,"부서별매출";#N/A,#N/A,FALSE,"매출"}</definedName>
    <definedName name="_________SPO1">#N/A</definedName>
    <definedName name="_________SPO2">#N/A</definedName>
    <definedName name="_________tt1" localSheetId="4" hidden="1">{#N/A,#N/A,TRUE,"일정"}</definedName>
    <definedName name="_________tt1" localSheetId="5" hidden="1">{#N/A,#N/A,TRUE,"일정"}</definedName>
    <definedName name="_________tt1" localSheetId="11" hidden="1">{#N/A,#N/A,TRUE,"일정"}</definedName>
    <definedName name="_________tt1" hidden="1">{#N/A,#N/A,TRUE,"일정"}</definedName>
    <definedName name="_________xlfn.BAHTTEXT" hidden="1">#NAME?</definedName>
    <definedName name="________A1" localSheetId="4" hidden="1">#REF!</definedName>
    <definedName name="________A1" localSheetId="5" hidden="1">#REF!</definedName>
    <definedName name="________A1" localSheetId="11" hidden="1">#REF!</definedName>
    <definedName name="________A1" hidden="1">#REF!</definedName>
    <definedName name="________a12" localSheetId="4" hidden="1">{"'Monthly 1997'!$A$3:$S$89"}</definedName>
    <definedName name="________a12" localSheetId="5" hidden="1">{"'Monthly 1997'!$A$3:$S$89"}</definedName>
    <definedName name="________a12" localSheetId="11" hidden="1">{"'Monthly 1997'!$A$3:$S$89"}</definedName>
    <definedName name="________a12" hidden="1">{"'Monthly 1997'!$A$3:$S$89"}</definedName>
    <definedName name="________A65555" localSheetId="11">#REF!</definedName>
    <definedName name="________A65555">#REF!</definedName>
    <definedName name="________A65655" localSheetId="11">#REF!</definedName>
    <definedName name="________A65655">#REF!</definedName>
    <definedName name="________A999999" localSheetId="11">#REF!</definedName>
    <definedName name="________A999999">#REF!</definedName>
    <definedName name="________AT1" localSheetId="4" hidden="1">{#N/A,#N/A,FALSE,"인원";#N/A,#N/A,FALSE,"비용2";#N/A,#N/A,FALSE,"비용1";#N/A,#N/A,FALSE,"비용";#N/A,#N/A,FALSE,"보증2";#N/A,#N/A,FALSE,"보증1";#N/A,#N/A,FALSE,"보증";#N/A,#N/A,FALSE,"손익1";#N/A,#N/A,FALSE,"손익";#N/A,#N/A,FALSE,"부서별매출";#N/A,#N/A,FALSE,"매출"}</definedName>
    <definedName name="________AT1" localSheetId="5" hidden="1">{#N/A,#N/A,FALSE,"인원";#N/A,#N/A,FALSE,"비용2";#N/A,#N/A,FALSE,"비용1";#N/A,#N/A,FALSE,"비용";#N/A,#N/A,FALSE,"보증2";#N/A,#N/A,FALSE,"보증1";#N/A,#N/A,FALSE,"보증";#N/A,#N/A,FALSE,"손익1";#N/A,#N/A,FALSE,"손익";#N/A,#N/A,FALSE,"부서별매출";#N/A,#N/A,FALSE,"매출"}</definedName>
    <definedName name="________AT1" localSheetId="11" hidden="1">{#N/A,#N/A,FALSE,"인원";#N/A,#N/A,FALSE,"비용2";#N/A,#N/A,FALSE,"비용1";#N/A,#N/A,FALSE,"비용";#N/A,#N/A,FALSE,"보증2";#N/A,#N/A,FALSE,"보증1";#N/A,#N/A,FALSE,"보증";#N/A,#N/A,FALSE,"손익1";#N/A,#N/A,FALSE,"손익";#N/A,#N/A,FALSE,"부서별매출";#N/A,#N/A,FALSE,"매출"}</definedName>
    <definedName name="________AT1" hidden="1">{#N/A,#N/A,FALSE,"인원";#N/A,#N/A,FALSE,"비용2";#N/A,#N/A,FALSE,"비용1";#N/A,#N/A,FALSE,"비용";#N/A,#N/A,FALSE,"보증2";#N/A,#N/A,FALSE,"보증1";#N/A,#N/A,FALSE,"보증";#N/A,#N/A,FALSE,"손익1";#N/A,#N/A,FALSE,"손익";#N/A,#N/A,FALSE,"부서별매출";#N/A,#N/A,FALSE,"매출"}</definedName>
    <definedName name="______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AT2"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AT3" localSheetId="4" hidden="1">{#N/A,#N/A,FALSE,"인원";#N/A,#N/A,FALSE,"비용2";#N/A,#N/A,FALSE,"비용1";#N/A,#N/A,FALSE,"비용";#N/A,#N/A,FALSE,"보증2";#N/A,#N/A,FALSE,"보증1";#N/A,#N/A,FALSE,"보증";#N/A,#N/A,FALSE,"손익1";#N/A,#N/A,FALSE,"손익";#N/A,#N/A,FALSE,"부서별매출";#N/A,#N/A,FALSE,"매출"}</definedName>
    <definedName name="________AT3" localSheetId="5" hidden="1">{#N/A,#N/A,FALSE,"인원";#N/A,#N/A,FALSE,"비용2";#N/A,#N/A,FALSE,"비용1";#N/A,#N/A,FALSE,"비용";#N/A,#N/A,FALSE,"보증2";#N/A,#N/A,FALSE,"보증1";#N/A,#N/A,FALSE,"보증";#N/A,#N/A,FALSE,"손익1";#N/A,#N/A,FALSE,"손익";#N/A,#N/A,FALSE,"부서별매출";#N/A,#N/A,FALSE,"매출"}</definedName>
    <definedName name="________AT3" localSheetId="11" hidden="1">{#N/A,#N/A,FALSE,"인원";#N/A,#N/A,FALSE,"비용2";#N/A,#N/A,FALSE,"비용1";#N/A,#N/A,FALSE,"비용";#N/A,#N/A,FALSE,"보증2";#N/A,#N/A,FALSE,"보증1";#N/A,#N/A,FALSE,"보증";#N/A,#N/A,FALSE,"손익1";#N/A,#N/A,FALSE,"손익";#N/A,#N/A,FALSE,"부서별매출";#N/A,#N/A,FALSE,"매출"}</definedName>
    <definedName name="________AT3" hidden="1">{#N/A,#N/A,FALSE,"인원";#N/A,#N/A,FALSE,"비용2";#N/A,#N/A,FALSE,"비용1";#N/A,#N/A,FALSE,"비용";#N/A,#N/A,FALSE,"보증2";#N/A,#N/A,FALSE,"보증1";#N/A,#N/A,FALSE,"보증";#N/A,#N/A,FALSE,"손익1";#N/A,#N/A,FALSE,"손익";#N/A,#N/A,FALSE,"부서별매출";#N/A,#N/A,FALSE,"매출"}</definedName>
    <definedName name="________CCH1"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CCH1"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CCH1"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CCH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CCH2"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CCH2"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CCH2"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CCH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day3" localSheetId="4">#REF!</definedName>
    <definedName name="________day3" localSheetId="5">#REF!</definedName>
    <definedName name="________day3" localSheetId="11">#REF!</definedName>
    <definedName name="________day3">#REF!</definedName>
    <definedName name="________day4" localSheetId="4">#REF!</definedName>
    <definedName name="________day4" localSheetId="5">#REF!</definedName>
    <definedName name="________day4" localSheetId="11">#REF!</definedName>
    <definedName name="________day4">#REF!</definedName>
    <definedName name="________DD2"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DD2"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DD2"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INT2" localSheetId="4" hidden="1">{#N/A,#N/A,TRUE,"일정"}</definedName>
    <definedName name="________INT2" localSheetId="5" hidden="1">{#N/A,#N/A,TRUE,"일정"}</definedName>
    <definedName name="________INT2" localSheetId="11" hidden="1">{#N/A,#N/A,TRUE,"일정"}</definedName>
    <definedName name="________INT2" hidden="1">{#N/A,#N/A,TRUE,"일정"}</definedName>
    <definedName name="________J200" localSheetId="4" hidden="1">{#N/A,#N/A,FALSE,"인원";#N/A,#N/A,FALSE,"비용2";#N/A,#N/A,FALSE,"비용1";#N/A,#N/A,FALSE,"비용";#N/A,#N/A,FALSE,"보증2";#N/A,#N/A,FALSE,"보증1";#N/A,#N/A,FALSE,"보증";#N/A,#N/A,FALSE,"손익1";#N/A,#N/A,FALSE,"손익";#N/A,#N/A,FALSE,"부서별매출";#N/A,#N/A,FALSE,"매출"}</definedName>
    <definedName name="________J200" localSheetId="5" hidden="1">{#N/A,#N/A,FALSE,"인원";#N/A,#N/A,FALSE,"비용2";#N/A,#N/A,FALSE,"비용1";#N/A,#N/A,FALSE,"비용";#N/A,#N/A,FALSE,"보증2";#N/A,#N/A,FALSE,"보증1";#N/A,#N/A,FALSE,"보증";#N/A,#N/A,FALSE,"손익1";#N/A,#N/A,FALSE,"손익";#N/A,#N/A,FALSE,"부서별매출";#N/A,#N/A,FALSE,"매출"}</definedName>
    <definedName name="________J200" localSheetId="11" hidden="1">{#N/A,#N/A,FALSE,"인원";#N/A,#N/A,FALSE,"비용2";#N/A,#N/A,FALSE,"비용1";#N/A,#N/A,FALSE,"비용";#N/A,#N/A,FALSE,"보증2";#N/A,#N/A,FALSE,"보증1";#N/A,#N/A,FALSE,"보증";#N/A,#N/A,FALSE,"손익1";#N/A,#N/A,FALSE,"손익";#N/A,#N/A,FALSE,"부서별매출";#N/A,#N/A,FALSE,"매출"}</definedName>
    <definedName name="________J200" hidden="1">{#N/A,#N/A,FALSE,"인원";#N/A,#N/A,FALSE,"비용2";#N/A,#N/A,FALSE,"비용1";#N/A,#N/A,FALSE,"비용";#N/A,#N/A,FALSE,"보증2";#N/A,#N/A,FALSE,"보증1";#N/A,#N/A,FALSE,"보증";#N/A,#N/A,FALSE,"손익1";#N/A,#N/A,FALSE,"손익";#N/A,#N/A,FALSE,"부서별매출";#N/A,#N/A,FALSE,"매출"}</definedName>
    <definedName name="________NEW2"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NEW2"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NEW2"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NEW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Per2" localSheetId="4">#REF!</definedName>
    <definedName name="________Per2" localSheetId="5">#REF!</definedName>
    <definedName name="________Per2" localSheetId="11">#REF!</definedName>
    <definedName name="________Per2">#REF!</definedName>
    <definedName name="________RR2" localSheetId="4" hidden="1">{#N/A,#N/A,FALSE,"단축1";#N/A,#N/A,FALSE,"단축2";#N/A,#N/A,FALSE,"단축3";#N/A,#N/A,FALSE,"장축";#N/A,#N/A,FALSE,"4WD"}</definedName>
    <definedName name="________RR2" localSheetId="5" hidden="1">{#N/A,#N/A,FALSE,"단축1";#N/A,#N/A,FALSE,"단축2";#N/A,#N/A,FALSE,"단축3";#N/A,#N/A,FALSE,"장축";#N/A,#N/A,FALSE,"4WD"}</definedName>
    <definedName name="________RR2" localSheetId="11" hidden="1">{#N/A,#N/A,FALSE,"단축1";#N/A,#N/A,FALSE,"단축2";#N/A,#N/A,FALSE,"단축3";#N/A,#N/A,FALSE,"장축";#N/A,#N/A,FALSE,"4WD"}</definedName>
    <definedName name="________RR2" hidden="1">{#N/A,#N/A,FALSE,"단축1";#N/A,#N/A,FALSE,"단축2";#N/A,#N/A,FALSE,"단축3";#N/A,#N/A,FALSE,"장축";#N/A,#N/A,FALSE,"4WD"}</definedName>
    <definedName name="________SPO1">#N/A</definedName>
    <definedName name="________SPO2">#N/A</definedName>
    <definedName name="________SS2"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SS2"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SS2"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T200"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T200"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T200"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T2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Tir1" localSheetId="4" hidden="1">{#N/A,#N/A,TRUE,"일정"}</definedName>
    <definedName name="________Tir1" localSheetId="5" hidden="1">{#N/A,#N/A,TRUE,"일정"}</definedName>
    <definedName name="________Tir1" localSheetId="11" hidden="1">{#N/A,#N/A,TRUE,"일정"}</definedName>
    <definedName name="________Tir1" hidden="1">{#N/A,#N/A,TRUE,"일정"}</definedName>
    <definedName name="________Tit1" localSheetId="4">#REF!</definedName>
    <definedName name="________Tit1" localSheetId="5">#REF!</definedName>
    <definedName name="________Tit1" localSheetId="11">#REF!</definedName>
    <definedName name="________Tit1">#REF!</definedName>
    <definedName name="________Tit2" localSheetId="4">#REF!</definedName>
    <definedName name="________Tit2" localSheetId="5">#REF!</definedName>
    <definedName name="________Tit2" localSheetId="11">#REF!</definedName>
    <definedName name="________Tit2">#REF!</definedName>
    <definedName name="________Tit3" localSheetId="4">#REF!</definedName>
    <definedName name="________Tit3" localSheetId="5">#REF!</definedName>
    <definedName name="________Tit3" localSheetId="11">#REF!</definedName>
    <definedName name="________Tit3">#REF!</definedName>
    <definedName name="________Tit4" localSheetId="11">#REF!</definedName>
    <definedName name="________Tit4">#REF!</definedName>
    <definedName name="________top100"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top100"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top100"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tt1" localSheetId="4" hidden="1">{#N/A,#N/A,TRUE,"일정"}</definedName>
    <definedName name="________tt1" localSheetId="5" hidden="1">{#N/A,#N/A,TRUE,"일정"}</definedName>
    <definedName name="________tt1" localSheetId="11" hidden="1">{#N/A,#N/A,TRUE,"일정"}</definedName>
    <definedName name="________tt1" hidden="1">{#N/A,#N/A,TRUE,"일정"}</definedName>
    <definedName name="________V210"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V210"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V210"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xlfn.BAHTTEXT" hidden="1">#NAME?</definedName>
    <definedName name="_______A1" localSheetId="4" hidden="1">#REF!</definedName>
    <definedName name="_______A1" localSheetId="5" hidden="1">#REF!</definedName>
    <definedName name="_______A1" localSheetId="11" hidden="1">#REF!</definedName>
    <definedName name="_______A1" hidden="1">#REF!</definedName>
    <definedName name="_______a12" localSheetId="4" hidden="1">{"'Monthly 1997'!$A$3:$S$89"}</definedName>
    <definedName name="_______a12" localSheetId="5" hidden="1">{"'Monthly 1997'!$A$3:$S$89"}</definedName>
    <definedName name="_______a12" localSheetId="11" hidden="1">{"'Monthly 1997'!$A$3:$S$89"}</definedName>
    <definedName name="_______a12" hidden="1">{"'Monthly 1997'!$A$3:$S$89"}</definedName>
    <definedName name="_______A65555" localSheetId="11">#REF!</definedName>
    <definedName name="_______A65555">#REF!</definedName>
    <definedName name="_______A65655" localSheetId="11">#REF!</definedName>
    <definedName name="_______A65655">#REF!</definedName>
    <definedName name="_______A999999" localSheetId="11">#REF!</definedName>
    <definedName name="_______A999999">#REF!</definedName>
    <definedName name="_______AT1" localSheetId="4" hidden="1">{#N/A,#N/A,FALSE,"인원";#N/A,#N/A,FALSE,"비용2";#N/A,#N/A,FALSE,"비용1";#N/A,#N/A,FALSE,"비용";#N/A,#N/A,FALSE,"보증2";#N/A,#N/A,FALSE,"보증1";#N/A,#N/A,FALSE,"보증";#N/A,#N/A,FALSE,"손익1";#N/A,#N/A,FALSE,"손익";#N/A,#N/A,FALSE,"부서별매출";#N/A,#N/A,FALSE,"매출"}</definedName>
    <definedName name="_______AT1" localSheetId="5" hidden="1">{#N/A,#N/A,FALSE,"인원";#N/A,#N/A,FALSE,"비용2";#N/A,#N/A,FALSE,"비용1";#N/A,#N/A,FALSE,"비용";#N/A,#N/A,FALSE,"보증2";#N/A,#N/A,FALSE,"보증1";#N/A,#N/A,FALSE,"보증";#N/A,#N/A,FALSE,"손익1";#N/A,#N/A,FALSE,"손익";#N/A,#N/A,FALSE,"부서별매출";#N/A,#N/A,FALSE,"매출"}</definedName>
    <definedName name="_______AT1" localSheetId="11" hidden="1">{#N/A,#N/A,FALSE,"인원";#N/A,#N/A,FALSE,"비용2";#N/A,#N/A,FALSE,"비용1";#N/A,#N/A,FALSE,"비용";#N/A,#N/A,FALSE,"보증2";#N/A,#N/A,FALSE,"보증1";#N/A,#N/A,FALSE,"보증";#N/A,#N/A,FALSE,"손익1";#N/A,#N/A,FALSE,"손익";#N/A,#N/A,FALSE,"부서별매출";#N/A,#N/A,FALSE,"매출"}</definedName>
    <definedName name="_______AT1" hidden="1">{#N/A,#N/A,FALSE,"인원";#N/A,#N/A,FALSE,"비용2";#N/A,#N/A,FALSE,"비용1";#N/A,#N/A,FALSE,"비용";#N/A,#N/A,FALSE,"보증2";#N/A,#N/A,FALSE,"보증1";#N/A,#N/A,FALSE,"보증";#N/A,#N/A,FALSE,"손익1";#N/A,#N/A,FALSE,"손익";#N/A,#N/A,FALSE,"부서별매출";#N/A,#N/A,FALSE,"매출"}</definedName>
    <definedName name="_____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2"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3" localSheetId="4" hidden="1">{#N/A,#N/A,FALSE,"인원";#N/A,#N/A,FALSE,"비용2";#N/A,#N/A,FALSE,"비용1";#N/A,#N/A,FALSE,"비용";#N/A,#N/A,FALSE,"보증2";#N/A,#N/A,FALSE,"보증1";#N/A,#N/A,FALSE,"보증";#N/A,#N/A,FALSE,"손익1";#N/A,#N/A,FALSE,"손익";#N/A,#N/A,FALSE,"부서별매출";#N/A,#N/A,FALSE,"매출"}</definedName>
    <definedName name="_______AT3" localSheetId="5" hidden="1">{#N/A,#N/A,FALSE,"인원";#N/A,#N/A,FALSE,"비용2";#N/A,#N/A,FALSE,"비용1";#N/A,#N/A,FALSE,"비용";#N/A,#N/A,FALSE,"보증2";#N/A,#N/A,FALSE,"보증1";#N/A,#N/A,FALSE,"보증";#N/A,#N/A,FALSE,"손익1";#N/A,#N/A,FALSE,"손익";#N/A,#N/A,FALSE,"부서별매출";#N/A,#N/A,FALSE,"매출"}</definedName>
    <definedName name="_______AT3" localSheetId="11" hidden="1">{#N/A,#N/A,FALSE,"인원";#N/A,#N/A,FALSE,"비용2";#N/A,#N/A,FALSE,"비용1";#N/A,#N/A,FALSE,"비용";#N/A,#N/A,FALSE,"보증2";#N/A,#N/A,FALSE,"보증1";#N/A,#N/A,FALSE,"보증";#N/A,#N/A,FALSE,"손익1";#N/A,#N/A,FALSE,"손익";#N/A,#N/A,FALSE,"부서별매출";#N/A,#N/A,FALSE,"매출"}</definedName>
    <definedName name="_______AT3" hidden="1">{#N/A,#N/A,FALSE,"인원";#N/A,#N/A,FALSE,"비용2";#N/A,#N/A,FALSE,"비용1";#N/A,#N/A,FALSE,"비용";#N/A,#N/A,FALSE,"보증2";#N/A,#N/A,FALSE,"보증1";#N/A,#N/A,FALSE,"보증";#N/A,#N/A,FALSE,"손익1";#N/A,#N/A,FALSE,"손익";#N/A,#N/A,FALSE,"부서별매출";#N/A,#N/A,FALSE,"매출"}</definedName>
    <definedName name="_______CCH1"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CCH1"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CCH1"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CCH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CCH2"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CCH2"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CCH2"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CCH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day3" localSheetId="4">#REF!</definedName>
    <definedName name="_______day3" localSheetId="5">#REF!</definedName>
    <definedName name="_______day3" localSheetId="11">#REF!</definedName>
    <definedName name="_______day3">#REF!</definedName>
    <definedName name="_______day4" localSheetId="4">#REF!</definedName>
    <definedName name="_______day4" localSheetId="5">#REF!</definedName>
    <definedName name="_______day4" localSheetId="11">#REF!</definedName>
    <definedName name="_______day4">#REF!</definedName>
    <definedName name="_______DD2"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DD2"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DD2"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INT2" localSheetId="4" hidden="1">{#N/A,#N/A,TRUE,"일정"}</definedName>
    <definedName name="_______INT2" localSheetId="5" hidden="1">{#N/A,#N/A,TRUE,"일정"}</definedName>
    <definedName name="_______INT2" localSheetId="11" hidden="1">{#N/A,#N/A,TRUE,"일정"}</definedName>
    <definedName name="_______INT2" hidden="1">{#N/A,#N/A,TRUE,"일정"}</definedName>
    <definedName name="_______J200" localSheetId="4" hidden="1">{#N/A,#N/A,FALSE,"인원";#N/A,#N/A,FALSE,"비용2";#N/A,#N/A,FALSE,"비용1";#N/A,#N/A,FALSE,"비용";#N/A,#N/A,FALSE,"보증2";#N/A,#N/A,FALSE,"보증1";#N/A,#N/A,FALSE,"보증";#N/A,#N/A,FALSE,"손익1";#N/A,#N/A,FALSE,"손익";#N/A,#N/A,FALSE,"부서별매출";#N/A,#N/A,FALSE,"매출"}</definedName>
    <definedName name="_______J200" localSheetId="5" hidden="1">{#N/A,#N/A,FALSE,"인원";#N/A,#N/A,FALSE,"비용2";#N/A,#N/A,FALSE,"비용1";#N/A,#N/A,FALSE,"비용";#N/A,#N/A,FALSE,"보증2";#N/A,#N/A,FALSE,"보증1";#N/A,#N/A,FALSE,"보증";#N/A,#N/A,FALSE,"손익1";#N/A,#N/A,FALSE,"손익";#N/A,#N/A,FALSE,"부서별매출";#N/A,#N/A,FALSE,"매출"}</definedName>
    <definedName name="_______J200" localSheetId="11" hidden="1">{#N/A,#N/A,FALSE,"인원";#N/A,#N/A,FALSE,"비용2";#N/A,#N/A,FALSE,"비용1";#N/A,#N/A,FALSE,"비용";#N/A,#N/A,FALSE,"보증2";#N/A,#N/A,FALSE,"보증1";#N/A,#N/A,FALSE,"보증";#N/A,#N/A,FALSE,"손익1";#N/A,#N/A,FALSE,"손익";#N/A,#N/A,FALSE,"부서별매출";#N/A,#N/A,FALSE,"매출"}</definedName>
    <definedName name="_______J200" hidden="1">{#N/A,#N/A,FALSE,"인원";#N/A,#N/A,FALSE,"비용2";#N/A,#N/A,FALSE,"비용1";#N/A,#N/A,FALSE,"비용";#N/A,#N/A,FALSE,"보증2";#N/A,#N/A,FALSE,"보증1";#N/A,#N/A,FALSE,"보증";#N/A,#N/A,FALSE,"손익1";#N/A,#N/A,FALSE,"손익";#N/A,#N/A,FALSE,"부서별매출";#N/A,#N/A,FALSE,"매출"}</definedName>
    <definedName name="_______NEW2"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NEW2"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NEW2"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NEW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Per2" localSheetId="4">#REF!</definedName>
    <definedName name="_______Per2" localSheetId="5">#REF!</definedName>
    <definedName name="_______Per2" localSheetId="11">#REF!</definedName>
    <definedName name="_______Per2">#REF!</definedName>
    <definedName name="_______RR2" localSheetId="4" hidden="1">{#N/A,#N/A,FALSE,"단축1";#N/A,#N/A,FALSE,"단축2";#N/A,#N/A,FALSE,"단축3";#N/A,#N/A,FALSE,"장축";#N/A,#N/A,FALSE,"4WD"}</definedName>
    <definedName name="_______RR2" localSheetId="5" hidden="1">{#N/A,#N/A,FALSE,"단축1";#N/A,#N/A,FALSE,"단축2";#N/A,#N/A,FALSE,"단축3";#N/A,#N/A,FALSE,"장축";#N/A,#N/A,FALSE,"4WD"}</definedName>
    <definedName name="_______RR2" localSheetId="11" hidden="1">{#N/A,#N/A,FALSE,"단축1";#N/A,#N/A,FALSE,"단축2";#N/A,#N/A,FALSE,"단축3";#N/A,#N/A,FALSE,"장축";#N/A,#N/A,FALSE,"4WD"}</definedName>
    <definedName name="_______RR2" hidden="1">{#N/A,#N/A,FALSE,"단축1";#N/A,#N/A,FALSE,"단축2";#N/A,#N/A,FALSE,"단축3";#N/A,#N/A,FALSE,"장축";#N/A,#N/A,FALSE,"4WD"}</definedName>
    <definedName name="_______SPO1">#N/A</definedName>
    <definedName name="_______SPO2">#N/A</definedName>
    <definedName name="_______SS2"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SS2"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SS2"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T200"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T200"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T200"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T2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Tir1" localSheetId="4" hidden="1">{#N/A,#N/A,TRUE,"일정"}</definedName>
    <definedName name="_______Tir1" localSheetId="5" hidden="1">{#N/A,#N/A,TRUE,"일정"}</definedName>
    <definedName name="_______Tir1" localSheetId="11" hidden="1">{#N/A,#N/A,TRUE,"일정"}</definedName>
    <definedName name="_______Tir1" hidden="1">{#N/A,#N/A,TRUE,"일정"}</definedName>
    <definedName name="_______Tit1" localSheetId="4">#REF!</definedName>
    <definedName name="_______Tit1" localSheetId="5">#REF!</definedName>
    <definedName name="_______Tit1" localSheetId="11">#REF!</definedName>
    <definedName name="_______Tit1">#REF!</definedName>
    <definedName name="_______Tit2" localSheetId="4">#REF!</definedName>
    <definedName name="_______Tit2" localSheetId="5">#REF!</definedName>
    <definedName name="_______Tit2" localSheetId="11">#REF!</definedName>
    <definedName name="_______Tit2">#REF!</definedName>
    <definedName name="_______Tit3" localSheetId="4">#REF!</definedName>
    <definedName name="_______Tit3" localSheetId="5">#REF!</definedName>
    <definedName name="_______Tit3" localSheetId="11">#REF!</definedName>
    <definedName name="_______Tit3">#REF!</definedName>
    <definedName name="_______Tit4" localSheetId="11">#REF!</definedName>
    <definedName name="_______Tit4">#REF!</definedName>
    <definedName name="_______top1" localSheetId="4">{30,140,350,160,"",""}</definedName>
    <definedName name="_______top1" localSheetId="5">{30,140,350,160,"",""}</definedName>
    <definedName name="_______top1" localSheetId="11">{30,140,350,160,"",""}</definedName>
    <definedName name="_______top1">{30,140,350,160,"",""}</definedName>
    <definedName name="_______top100"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top100"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top100"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tt1" localSheetId="4" hidden="1">{#N/A,#N/A,TRUE,"일정"}</definedName>
    <definedName name="_______tt1" localSheetId="5" hidden="1">{#N/A,#N/A,TRUE,"일정"}</definedName>
    <definedName name="_______tt1" localSheetId="11" hidden="1">{#N/A,#N/A,TRUE,"일정"}</definedName>
    <definedName name="_______tt1" hidden="1">{#N/A,#N/A,TRUE,"일정"}</definedName>
    <definedName name="_______V210"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V210"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V210"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xlfn.BAHTTEXT" hidden="1">#NAME?</definedName>
    <definedName name="______A1" localSheetId="4" hidden="1">#REF!</definedName>
    <definedName name="______A1" localSheetId="5" hidden="1">#REF!</definedName>
    <definedName name="______A1" localSheetId="11" hidden="1">#REF!</definedName>
    <definedName name="______A1" hidden="1">#REF!</definedName>
    <definedName name="______a12" localSheetId="4" hidden="1">{"'Monthly 1997'!$A$3:$S$89"}</definedName>
    <definedName name="______a12" localSheetId="5" hidden="1">{"'Monthly 1997'!$A$3:$S$89"}</definedName>
    <definedName name="______a12" localSheetId="11" hidden="1">{"'Monthly 1997'!$A$3:$S$89"}</definedName>
    <definedName name="______a12" hidden="1">{"'Monthly 1997'!$A$3:$S$89"}</definedName>
    <definedName name="______A65555" localSheetId="11">#REF!</definedName>
    <definedName name="______A65555">#REF!</definedName>
    <definedName name="______A65655" localSheetId="11">#REF!</definedName>
    <definedName name="______A65655">#REF!</definedName>
    <definedName name="______A999999" localSheetId="11">#REF!</definedName>
    <definedName name="______A999999">#REF!</definedName>
    <definedName name="______AT1" localSheetId="4" hidden="1">{#N/A,#N/A,FALSE,"인원";#N/A,#N/A,FALSE,"비용2";#N/A,#N/A,FALSE,"비용1";#N/A,#N/A,FALSE,"비용";#N/A,#N/A,FALSE,"보증2";#N/A,#N/A,FALSE,"보증1";#N/A,#N/A,FALSE,"보증";#N/A,#N/A,FALSE,"손익1";#N/A,#N/A,FALSE,"손익";#N/A,#N/A,FALSE,"부서별매출";#N/A,#N/A,FALSE,"매출"}</definedName>
    <definedName name="______AT1" localSheetId="5" hidden="1">{#N/A,#N/A,FALSE,"인원";#N/A,#N/A,FALSE,"비용2";#N/A,#N/A,FALSE,"비용1";#N/A,#N/A,FALSE,"비용";#N/A,#N/A,FALSE,"보증2";#N/A,#N/A,FALSE,"보증1";#N/A,#N/A,FALSE,"보증";#N/A,#N/A,FALSE,"손익1";#N/A,#N/A,FALSE,"손익";#N/A,#N/A,FALSE,"부서별매출";#N/A,#N/A,FALSE,"매출"}</definedName>
    <definedName name="______AT1" localSheetId="11" hidden="1">{#N/A,#N/A,FALSE,"인원";#N/A,#N/A,FALSE,"비용2";#N/A,#N/A,FALSE,"비용1";#N/A,#N/A,FALSE,"비용";#N/A,#N/A,FALSE,"보증2";#N/A,#N/A,FALSE,"보증1";#N/A,#N/A,FALSE,"보증";#N/A,#N/A,FALSE,"손익1";#N/A,#N/A,FALSE,"손익";#N/A,#N/A,FALSE,"부서별매출";#N/A,#N/A,FALSE,"매출"}</definedName>
    <definedName name="______AT1" hidden="1">{#N/A,#N/A,FALSE,"인원";#N/A,#N/A,FALSE,"비용2";#N/A,#N/A,FALSE,"비용1";#N/A,#N/A,FALSE,"비용";#N/A,#N/A,FALSE,"보증2";#N/A,#N/A,FALSE,"보증1";#N/A,#N/A,FALSE,"보증";#N/A,#N/A,FALSE,"손익1";#N/A,#N/A,FALSE,"손익";#N/A,#N/A,FALSE,"부서별매출";#N/A,#N/A,FALSE,"매출"}</definedName>
    <definedName name="____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2"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3" localSheetId="4" hidden="1">{#N/A,#N/A,FALSE,"인원";#N/A,#N/A,FALSE,"비용2";#N/A,#N/A,FALSE,"비용1";#N/A,#N/A,FALSE,"비용";#N/A,#N/A,FALSE,"보증2";#N/A,#N/A,FALSE,"보증1";#N/A,#N/A,FALSE,"보증";#N/A,#N/A,FALSE,"손익1";#N/A,#N/A,FALSE,"손익";#N/A,#N/A,FALSE,"부서별매출";#N/A,#N/A,FALSE,"매출"}</definedName>
    <definedName name="______AT3" localSheetId="5" hidden="1">{#N/A,#N/A,FALSE,"인원";#N/A,#N/A,FALSE,"비용2";#N/A,#N/A,FALSE,"비용1";#N/A,#N/A,FALSE,"비용";#N/A,#N/A,FALSE,"보증2";#N/A,#N/A,FALSE,"보증1";#N/A,#N/A,FALSE,"보증";#N/A,#N/A,FALSE,"손익1";#N/A,#N/A,FALSE,"손익";#N/A,#N/A,FALSE,"부서별매출";#N/A,#N/A,FALSE,"매출"}</definedName>
    <definedName name="______AT3" localSheetId="11" hidden="1">{#N/A,#N/A,FALSE,"인원";#N/A,#N/A,FALSE,"비용2";#N/A,#N/A,FALSE,"비용1";#N/A,#N/A,FALSE,"비용";#N/A,#N/A,FALSE,"보증2";#N/A,#N/A,FALSE,"보증1";#N/A,#N/A,FALSE,"보증";#N/A,#N/A,FALSE,"손익1";#N/A,#N/A,FALSE,"손익";#N/A,#N/A,FALSE,"부서별매출";#N/A,#N/A,FALSE,"매출"}</definedName>
    <definedName name="______AT3" hidden="1">{#N/A,#N/A,FALSE,"인원";#N/A,#N/A,FALSE,"비용2";#N/A,#N/A,FALSE,"비용1";#N/A,#N/A,FALSE,"비용";#N/A,#N/A,FALSE,"보증2";#N/A,#N/A,FALSE,"보증1";#N/A,#N/A,FALSE,"보증";#N/A,#N/A,FALSE,"손익1";#N/A,#N/A,FALSE,"손익";#N/A,#N/A,FALSE,"부서별매출";#N/A,#N/A,FALSE,"매출"}</definedName>
    <definedName name="______day3" localSheetId="4">#REF!</definedName>
    <definedName name="______day3" localSheetId="5">#REF!</definedName>
    <definedName name="______day3" localSheetId="11">#REF!</definedName>
    <definedName name="______day3">#REF!</definedName>
    <definedName name="______day4" localSheetId="4">#REF!</definedName>
    <definedName name="______day4" localSheetId="5">#REF!</definedName>
    <definedName name="______day4" localSheetId="11">#REF!</definedName>
    <definedName name="______day4">#REF!</definedName>
    <definedName name="______J200" localSheetId="4" hidden="1">{#N/A,#N/A,FALSE,"인원";#N/A,#N/A,FALSE,"비용2";#N/A,#N/A,FALSE,"비용1";#N/A,#N/A,FALSE,"비용";#N/A,#N/A,FALSE,"보증2";#N/A,#N/A,FALSE,"보증1";#N/A,#N/A,FALSE,"보증";#N/A,#N/A,FALSE,"손익1";#N/A,#N/A,FALSE,"손익";#N/A,#N/A,FALSE,"부서별매출";#N/A,#N/A,FALSE,"매출"}</definedName>
    <definedName name="______J200" localSheetId="5" hidden="1">{#N/A,#N/A,FALSE,"인원";#N/A,#N/A,FALSE,"비용2";#N/A,#N/A,FALSE,"비용1";#N/A,#N/A,FALSE,"비용";#N/A,#N/A,FALSE,"보증2";#N/A,#N/A,FALSE,"보증1";#N/A,#N/A,FALSE,"보증";#N/A,#N/A,FALSE,"손익1";#N/A,#N/A,FALSE,"손익";#N/A,#N/A,FALSE,"부서별매출";#N/A,#N/A,FALSE,"매출"}</definedName>
    <definedName name="______J200" localSheetId="11" hidden="1">{#N/A,#N/A,FALSE,"인원";#N/A,#N/A,FALSE,"비용2";#N/A,#N/A,FALSE,"비용1";#N/A,#N/A,FALSE,"비용";#N/A,#N/A,FALSE,"보증2";#N/A,#N/A,FALSE,"보증1";#N/A,#N/A,FALSE,"보증";#N/A,#N/A,FALSE,"손익1";#N/A,#N/A,FALSE,"손익";#N/A,#N/A,FALSE,"부서별매출";#N/A,#N/A,FALSE,"매출"}</definedName>
    <definedName name="______J200" hidden="1">{#N/A,#N/A,FALSE,"인원";#N/A,#N/A,FALSE,"비용2";#N/A,#N/A,FALSE,"비용1";#N/A,#N/A,FALSE,"비용";#N/A,#N/A,FALSE,"보증2";#N/A,#N/A,FALSE,"보증1";#N/A,#N/A,FALSE,"보증";#N/A,#N/A,FALSE,"손익1";#N/A,#N/A,FALSE,"손익";#N/A,#N/A,FALSE,"부서별매출";#N/A,#N/A,FALSE,"매출"}</definedName>
    <definedName name="______Per2" localSheetId="4">#REF!</definedName>
    <definedName name="______Per2" localSheetId="5">#REF!</definedName>
    <definedName name="______Per2" localSheetId="11">#REF!</definedName>
    <definedName name="______Per2">#REF!</definedName>
    <definedName name="______SPO1">#N/A</definedName>
    <definedName name="______SPO2">#N/A</definedName>
    <definedName name="______Tit1" localSheetId="4">#REF!</definedName>
    <definedName name="______Tit1" localSheetId="5">#REF!</definedName>
    <definedName name="______Tit1" localSheetId="11">#REF!</definedName>
    <definedName name="______Tit1">#REF!</definedName>
    <definedName name="______Tit2" localSheetId="4">#REF!</definedName>
    <definedName name="______Tit2" localSheetId="5">#REF!</definedName>
    <definedName name="______Tit2" localSheetId="11">#REF!</definedName>
    <definedName name="______Tit2">#REF!</definedName>
    <definedName name="______Tit3" localSheetId="4">#REF!</definedName>
    <definedName name="______Tit3" localSheetId="5">#REF!</definedName>
    <definedName name="______Tit3" localSheetId="11">#REF!</definedName>
    <definedName name="______Tit3">#REF!</definedName>
    <definedName name="______Tit4" localSheetId="11">#REF!</definedName>
    <definedName name="______Tit4">#REF!</definedName>
    <definedName name="______top1" localSheetId="4">{30,140,350,160,"",""}</definedName>
    <definedName name="______top1" localSheetId="5">{30,140,350,160,"",""}</definedName>
    <definedName name="______top1" localSheetId="11">{30,140,350,160,"",""}</definedName>
    <definedName name="______top1">{30,140,350,160,"",""}</definedName>
    <definedName name="______tt1" localSheetId="4" hidden="1">{#N/A,#N/A,TRUE,"일정"}</definedName>
    <definedName name="______tt1" localSheetId="5" hidden="1">{#N/A,#N/A,TRUE,"일정"}</definedName>
    <definedName name="______tt1" localSheetId="11" hidden="1">{#N/A,#N/A,TRUE,"일정"}</definedName>
    <definedName name="______tt1" hidden="1">{#N/A,#N/A,TRUE,"일정"}</definedName>
    <definedName name="______xlfn.BAHTTEXT" hidden="1">#NAME?</definedName>
    <definedName name="_____A1" localSheetId="4" hidden="1">#REF!</definedName>
    <definedName name="_____A1" localSheetId="5" hidden="1">#REF!</definedName>
    <definedName name="_____A1" localSheetId="11" hidden="1">#REF!</definedName>
    <definedName name="_____A1" hidden="1">#REF!</definedName>
    <definedName name="_____a12" localSheetId="4" hidden="1">{"'Monthly 1997'!$A$3:$S$89"}</definedName>
    <definedName name="_____a12" localSheetId="5" hidden="1">{"'Monthly 1997'!$A$3:$S$89"}</definedName>
    <definedName name="_____a12" localSheetId="11" hidden="1">{"'Monthly 1997'!$A$3:$S$89"}</definedName>
    <definedName name="_____a12" hidden="1">{"'Monthly 1997'!$A$3:$S$89"}</definedName>
    <definedName name="_____A65555" localSheetId="11">#REF!</definedName>
    <definedName name="_____A65555">#REF!</definedName>
    <definedName name="_____A65655" localSheetId="11">#REF!</definedName>
    <definedName name="_____A65655">#REF!</definedName>
    <definedName name="_____A999999" localSheetId="11">#REF!</definedName>
    <definedName name="_____A999999">#REF!</definedName>
    <definedName name="_____AT1" localSheetId="4" hidden="1">{#N/A,#N/A,FALSE,"인원";#N/A,#N/A,FALSE,"비용2";#N/A,#N/A,FALSE,"비용1";#N/A,#N/A,FALSE,"비용";#N/A,#N/A,FALSE,"보증2";#N/A,#N/A,FALSE,"보증1";#N/A,#N/A,FALSE,"보증";#N/A,#N/A,FALSE,"손익1";#N/A,#N/A,FALSE,"손익";#N/A,#N/A,FALSE,"부서별매출";#N/A,#N/A,FALSE,"매출"}</definedName>
    <definedName name="_____AT1" localSheetId="5" hidden="1">{#N/A,#N/A,FALSE,"인원";#N/A,#N/A,FALSE,"비용2";#N/A,#N/A,FALSE,"비용1";#N/A,#N/A,FALSE,"비용";#N/A,#N/A,FALSE,"보증2";#N/A,#N/A,FALSE,"보증1";#N/A,#N/A,FALSE,"보증";#N/A,#N/A,FALSE,"손익1";#N/A,#N/A,FALSE,"손익";#N/A,#N/A,FALSE,"부서별매출";#N/A,#N/A,FALSE,"매출"}</definedName>
    <definedName name="_____AT1" localSheetId="11" hidden="1">{#N/A,#N/A,FALSE,"인원";#N/A,#N/A,FALSE,"비용2";#N/A,#N/A,FALSE,"비용1";#N/A,#N/A,FALSE,"비용";#N/A,#N/A,FALSE,"보증2";#N/A,#N/A,FALSE,"보증1";#N/A,#N/A,FALSE,"보증";#N/A,#N/A,FALSE,"손익1";#N/A,#N/A,FALSE,"손익";#N/A,#N/A,FALSE,"부서별매출";#N/A,#N/A,FALSE,"매출"}</definedName>
    <definedName name="_____AT1" hidden="1">{#N/A,#N/A,FALSE,"인원";#N/A,#N/A,FALSE,"비용2";#N/A,#N/A,FALSE,"비용1";#N/A,#N/A,FALSE,"비용";#N/A,#N/A,FALSE,"보증2";#N/A,#N/A,FALSE,"보증1";#N/A,#N/A,FALSE,"보증";#N/A,#N/A,FALSE,"손익1";#N/A,#N/A,FALSE,"손익";#N/A,#N/A,FALSE,"부서별매출";#N/A,#N/A,FALSE,"매출"}</definedName>
    <definedName name="___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2"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3" localSheetId="4" hidden="1">{#N/A,#N/A,FALSE,"인원";#N/A,#N/A,FALSE,"비용2";#N/A,#N/A,FALSE,"비용1";#N/A,#N/A,FALSE,"비용";#N/A,#N/A,FALSE,"보증2";#N/A,#N/A,FALSE,"보증1";#N/A,#N/A,FALSE,"보증";#N/A,#N/A,FALSE,"손익1";#N/A,#N/A,FALSE,"손익";#N/A,#N/A,FALSE,"부서별매출";#N/A,#N/A,FALSE,"매출"}</definedName>
    <definedName name="_____AT3" localSheetId="5" hidden="1">{#N/A,#N/A,FALSE,"인원";#N/A,#N/A,FALSE,"비용2";#N/A,#N/A,FALSE,"비용1";#N/A,#N/A,FALSE,"비용";#N/A,#N/A,FALSE,"보증2";#N/A,#N/A,FALSE,"보증1";#N/A,#N/A,FALSE,"보증";#N/A,#N/A,FALSE,"손익1";#N/A,#N/A,FALSE,"손익";#N/A,#N/A,FALSE,"부서별매출";#N/A,#N/A,FALSE,"매출"}</definedName>
    <definedName name="_____AT3" localSheetId="11" hidden="1">{#N/A,#N/A,FALSE,"인원";#N/A,#N/A,FALSE,"비용2";#N/A,#N/A,FALSE,"비용1";#N/A,#N/A,FALSE,"비용";#N/A,#N/A,FALSE,"보증2";#N/A,#N/A,FALSE,"보증1";#N/A,#N/A,FALSE,"보증";#N/A,#N/A,FALSE,"손익1";#N/A,#N/A,FALSE,"손익";#N/A,#N/A,FALSE,"부서별매출";#N/A,#N/A,FALSE,"매출"}</definedName>
    <definedName name="_____AT3" hidden="1">{#N/A,#N/A,FALSE,"인원";#N/A,#N/A,FALSE,"비용2";#N/A,#N/A,FALSE,"비용1";#N/A,#N/A,FALSE,"비용";#N/A,#N/A,FALSE,"보증2";#N/A,#N/A,FALSE,"보증1";#N/A,#N/A,FALSE,"보증";#N/A,#N/A,FALSE,"손익1";#N/A,#N/A,FALSE,"손익";#N/A,#N/A,FALSE,"부서별매출";#N/A,#N/A,FALSE,"매출"}</definedName>
    <definedName name="_____CCH1"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CCH1"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CCH1"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CCH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CCH2"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CCH2"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CCH2"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CCH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day3" localSheetId="4">#REF!</definedName>
    <definedName name="_____day3" localSheetId="5">#REF!</definedName>
    <definedName name="_____day3" localSheetId="11">#REF!</definedName>
    <definedName name="_____day3">#REF!</definedName>
    <definedName name="_____day4" localSheetId="4">#REF!</definedName>
    <definedName name="_____day4" localSheetId="5">#REF!</definedName>
    <definedName name="_____day4" localSheetId="11">#REF!</definedName>
    <definedName name="_____day4">#REF!</definedName>
    <definedName name="_____DD2"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DD2"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DD2"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INT2" localSheetId="4" hidden="1">{#N/A,#N/A,TRUE,"일정"}</definedName>
    <definedName name="_____INT2" localSheetId="5" hidden="1">{#N/A,#N/A,TRUE,"일정"}</definedName>
    <definedName name="_____INT2" localSheetId="11" hidden="1">{#N/A,#N/A,TRUE,"일정"}</definedName>
    <definedName name="_____INT2" hidden="1">{#N/A,#N/A,TRUE,"일정"}</definedName>
    <definedName name="_____J200" localSheetId="4" hidden="1">{#N/A,#N/A,FALSE,"인원";#N/A,#N/A,FALSE,"비용2";#N/A,#N/A,FALSE,"비용1";#N/A,#N/A,FALSE,"비용";#N/A,#N/A,FALSE,"보증2";#N/A,#N/A,FALSE,"보증1";#N/A,#N/A,FALSE,"보증";#N/A,#N/A,FALSE,"손익1";#N/A,#N/A,FALSE,"손익";#N/A,#N/A,FALSE,"부서별매출";#N/A,#N/A,FALSE,"매출"}</definedName>
    <definedName name="_____J200" localSheetId="5" hidden="1">{#N/A,#N/A,FALSE,"인원";#N/A,#N/A,FALSE,"비용2";#N/A,#N/A,FALSE,"비용1";#N/A,#N/A,FALSE,"비용";#N/A,#N/A,FALSE,"보증2";#N/A,#N/A,FALSE,"보증1";#N/A,#N/A,FALSE,"보증";#N/A,#N/A,FALSE,"손익1";#N/A,#N/A,FALSE,"손익";#N/A,#N/A,FALSE,"부서별매출";#N/A,#N/A,FALSE,"매출"}</definedName>
    <definedName name="_____J200" localSheetId="11" hidden="1">{#N/A,#N/A,FALSE,"인원";#N/A,#N/A,FALSE,"비용2";#N/A,#N/A,FALSE,"비용1";#N/A,#N/A,FALSE,"비용";#N/A,#N/A,FALSE,"보증2";#N/A,#N/A,FALSE,"보증1";#N/A,#N/A,FALSE,"보증";#N/A,#N/A,FALSE,"손익1";#N/A,#N/A,FALSE,"손익";#N/A,#N/A,FALSE,"부서별매출";#N/A,#N/A,FALSE,"매출"}</definedName>
    <definedName name="_____J200" hidden="1">{#N/A,#N/A,FALSE,"인원";#N/A,#N/A,FALSE,"비용2";#N/A,#N/A,FALSE,"비용1";#N/A,#N/A,FALSE,"비용";#N/A,#N/A,FALSE,"보증2";#N/A,#N/A,FALSE,"보증1";#N/A,#N/A,FALSE,"보증";#N/A,#N/A,FALSE,"손익1";#N/A,#N/A,FALSE,"손익";#N/A,#N/A,FALSE,"부서별매출";#N/A,#N/A,FALSE,"매출"}</definedName>
    <definedName name="_____NEW2"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NEW2"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NEW2"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NEW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Per2" localSheetId="4">#REF!</definedName>
    <definedName name="_____Per2" localSheetId="5">#REF!</definedName>
    <definedName name="_____Per2" localSheetId="11">#REF!</definedName>
    <definedName name="_____Per2">#REF!</definedName>
    <definedName name="_____RR2" localSheetId="4" hidden="1">{#N/A,#N/A,FALSE,"단축1";#N/A,#N/A,FALSE,"단축2";#N/A,#N/A,FALSE,"단축3";#N/A,#N/A,FALSE,"장축";#N/A,#N/A,FALSE,"4WD"}</definedName>
    <definedName name="_____RR2" localSheetId="5" hidden="1">{#N/A,#N/A,FALSE,"단축1";#N/A,#N/A,FALSE,"단축2";#N/A,#N/A,FALSE,"단축3";#N/A,#N/A,FALSE,"장축";#N/A,#N/A,FALSE,"4WD"}</definedName>
    <definedName name="_____RR2" localSheetId="11" hidden="1">{#N/A,#N/A,FALSE,"단축1";#N/A,#N/A,FALSE,"단축2";#N/A,#N/A,FALSE,"단축3";#N/A,#N/A,FALSE,"장축";#N/A,#N/A,FALSE,"4WD"}</definedName>
    <definedName name="_____RR2" hidden="1">{#N/A,#N/A,FALSE,"단축1";#N/A,#N/A,FALSE,"단축2";#N/A,#N/A,FALSE,"단축3";#N/A,#N/A,FALSE,"장축";#N/A,#N/A,FALSE,"4WD"}</definedName>
    <definedName name="_____SPO1">#N/A</definedName>
    <definedName name="_____SPO2">#N/A</definedName>
    <definedName name="_____SS2"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SS2"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SS2"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T200"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T200"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T200"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T2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Tir1" localSheetId="4" hidden="1">{#N/A,#N/A,TRUE,"일정"}</definedName>
    <definedName name="_____Tir1" localSheetId="5" hidden="1">{#N/A,#N/A,TRUE,"일정"}</definedName>
    <definedName name="_____Tir1" localSheetId="11" hidden="1">{#N/A,#N/A,TRUE,"일정"}</definedName>
    <definedName name="_____Tir1" hidden="1">{#N/A,#N/A,TRUE,"일정"}</definedName>
    <definedName name="_____Tit1" localSheetId="4">#REF!</definedName>
    <definedName name="_____Tit1" localSheetId="5">#REF!</definedName>
    <definedName name="_____Tit1" localSheetId="11">#REF!</definedName>
    <definedName name="_____Tit1">#REF!</definedName>
    <definedName name="_____Tit2" localSheetId="4">#REF!</definedName>
    <definedName name="_____Tit2" localSheetId="5">#REF!</definedName>
    <definedName name="_____Tit2" localSheetId="11">#REF!</definedName>
    <definedName name="_____Tit2">#REF!</definedName>
    <definedName name="_____Tit3" localSheetId="4">#REF!</definedName>
    <definedName name="_____Tit3" localSheetId="5">#REF!</definedName>
    <definedName name="_____Tit3" localSheetId="11">#REF!</definedName>
    <definedName name="_____Tit3">#REF!</definedName>
    <definedName name="_____Tit4" localSheetId="11">#REF!</definedName>
    <definedName name="_____Tit4">#REF!</definedName>
    <definedName name="_____top1" localSheetId="4">{30,140,350,160,"",""}</definedName>
    <definedName name="_____top1" localSheetId="5">{30,140,350,160,"",""}</definedName>
    <definedName name="_____top1" localSheetId="11">{30,140,350,160,"",""}</definedName>
    <definedName name="_____top1">{30,140,350,160,"",""}</definedName>
    <definedName name="_____top100"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top100"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top100"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tt1" localSheetId="4" hidden="1">{#N/A,#N/A,TRUE,"일정"}</definedName>
    <definedName name="_____tt1" localSheetId="5" hidden="1">{#N/A,#N/A,TRUE,"일정"}</definedName>
    <definedName name="_____tt1" localSheetId="11" hidden="1">{#N/A,#N/A,TRUE,"일정"}</definedName>
    <definedName name="_____tt1" hidden="1">{#N/A,#N/A,TRUE,"일정"}</definedName>
    <definedName name="_____V210"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V210"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V210"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xlfn.BAHTTEXT" hidden="1">#NAME?</definedName>
    <definedName name="_____xlfn.RTD" hidden="1">#NAME?</definedName>
    <definedName name="____A1" localSheetId="4" hidden="1">#REF!</definedName>
    <definedName name="____A1" localSheetId="5" hidden="1">#REF!</definedName>
    <definedName name="____A1" localSheetId="11" hidden="1">#REF!</definedName>
    <definedName name="____A1" hidden="1">#REF!</definedName>
    <definedName name="____a12" localSheetId="4" hidden="1">{"'Monthly 1997'!$A$3:$S$89"}</definedName>
    <definedName name="____a12" localSheetId="5" hidden="1">{"'Monthly 1997'!$A$3:$S$89"}</definedName>
    <definedName name="____a12" localSheetId="11" hidden="1">{"'Monthly 1997'!$A$3:$S$89"}</definedName>
    <definedName name="____a12" hidden="1">{"'Monthly 1997'!$A$3:$S$89"}</definedName>
    <definedName name="____A65555" localSheetId="11">#REF!</definedName>
    <definedName name="____A65555">#REF!</definedName>
    <definedName name="____A65655" localSheetId="11">#REF!</definedName>
    <definedName name="____A65655">#REF!</definedName>
    <definedName name="____A999999" localSheetId="11">#REF!</definedName>
    <definedName name="____A999999">#REF!</definedName>
    <definedName name="____AT1" localSheetId="4" hidden="1">{#N/A,#N/A,FALSE,"인원";#N/A,#N/A,FALSE,"비용2";#N/A,#N/A,FALSE,"비용1";#N/A,#N/A,FALSE,"비용";#N/A,#N/A,FALSE,"보증2";#N/A,#N/A,FALSE,"보증1";#N/A,#N/A,FALSE,"보증";#N/A,#N/A,FALSE,"손익1";#N/A,#N/A,FALSE,"손익";#N/A,#N/A,FALSE,"부서별매출";#N/A,#N/A,FALSE,"매출"}</definedName>
    <definedName name="____AT1" localSheetId="5" hidden="1">{#N/A,#N/A,FALSE,"인원";#N/A,#N/A,FALSE,"비용2";#N/A,#N/A,FALSE,"비용1";#N/A,#N/A,FALSE,"비용";#N/A,#N/A,FALSE,"보증2";#N/A,#N/A,FALSE,"보증1";#N/A,#N/A,FALSE,"보증";#N/A,#N/A,FALSE,"손익1";#N/A,#N/A,FALSE,"손익";#N/A,#N/A,FALSE,"부서별매출";#N/A,#N/A,FALSE,"매출"}</definedName>
    <definedName name="____AT1" localSheetId="11" hidden="1">{#N/A,#N/A,FALSE,"인원";#N/A,#N/A,FALSE,"비용2";#N/A,#N/A,FALSE,"비용1";#N/A,#N/A,FALSE,"비용";#N/A,#N/A,FALSE,"보증2";#N/A,#N/A,FALSE,"보증1";#N/A,#N/A,FALSE,"보증";#N/A,#N/A,FALSE,"손익1";#N/A,#N/A,FALSE,"손익";#N/A,#N/A,FALSE,"부서별매출";#N/A,#N/A,FALSE,"매출"}</definedName>
    <definedName name="____AT1" hidden="1">{#N/A,#N/A,FALSE,"인원";#N/A,#N/A,FALSE,"비용2";#N/A,#N/A,FALSE,"비용1";#N/A,#N/A,FALSE,"비용";#N/A,#N/A,FALSE,"보증2";#N/A,#N/A,FALSE,"보증1";#N/A,#N/A,FALSE,"보증";#N/A,#N/A,FALSE,"손익1";#N/A,#N/A,FALSE,"손익";#N/A,#N/A,FALSE,"부서별매출";#N/A,#N/A,FALSE,"매출"}</definedName>
    <definedName name="__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2"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3" localSheetId="4" hidden="1">{#N/A,#N/A,FALSE,"인원";#N/A,#N/A,FALSE,"비용2";#N/A,#N/A,FALSE,"비용1";#N/A,#N/A,FALSE,"비용";#N/A,#N/A,FALSE,"보증2";#N/A,#N/A,FALSE,"보증1";#N/A,#N/A,FALSE,"보증";#N/A,#N/A,FALSE,"손익1";#N/A,#N/A,FALSE,"손익";#N/A,#N/A,FALSE,"부서별매출";#N/A,#N/A,FALSE,"매출"}</definedName>
    <definedName name="____AT3" localSheetId="5" hidden="1">{#N/A,#N/A,FALSE,"인원";#N/A,#N/A,FALSE,"비용2";#N/A,#N/A,FALSE,"비용1";#N/A,#N/A,FALSE,"비용";#N/A,#N/A,FALSE,"보증2";#N/A,#N/A,FALSE,"보증1";#N/A,#N/A,FALSE,"보증";#N/A,#N/A,FALSE,"손익1";#N/A,#N/A,FALSE,"손익";#N/A,#N/A,FALSE,"부서별매출";#N/A,#N/A,FALSE,"매출"}</definedName>
    <definedName name="____AT3" localSheetId="11" hidden="1">{#N/A,#N/A,FALSE,"인원";#N/A,#N/A,FALSE,"비용2";#N/A,#N/A,FALSE,"비용1";#N/A,#N/A,FALSE,"비용";#N/A,#N/A,FALSE,"보증2";#N/A,#N/A,FALSE,"보증1";#N/A,#N/A,FALSE,"보증";#N/A,#N/A,FALSE,"손익1";#N/A,#N/A,FALSE,"손익";#N/A,#N/A,FALSE,"부서별매출";#N/A,#N/A,FALSE,"매출"}</definedName>
    <definedName name="____AT3" hidden="1">{#N/A,#N/A,FALSE,"인원";#N/A,#N/A,FALSE,"비용2";#N/A,#N/A,FALSE,"비용1";#N/A,#N/A,FALSE,"비용";#N/A,#N/A,FALSE,"보증2";#N/A,#N/A,FALSE,"보증1";#N/A,#N/A,FALSE,"보증";#N/A,#N/A,FALSE,"손익1";#N/A,#N/A,FALSE,"손익";#N/A,#N/A,FALSE,"부서별매출";#N/A,#N/A,FALSE,"매출"}</definedName>
    <definedName name="____B100000" localSheetId="4">#REF!</definedName>
    <definedName name="____B100000" localSheetId="5">#REF!</definedName>
    <definedName name="____B100000" localSheetId="11">#REF!</definedName>
    <definedName name="____B100000">#REF!</definedName>
    <definedName name="____B80000" localSheetId="4">#REF!</definedName>
    <definedName name="____B80000" localSheetId="5">#REF!</definedName>
    <definedName name="____B80000" localSheetId="11">#REF!</definedName>
    <definedName name="____B80000">#REF!</definedName>
    <definedName name="____B99999" localSheetId="4">#REF!</definedName>
    <definedName name="____B99999" localSheetId="5">#REF!</definedName>
    <definedName name="____B99999" localSheetId="11">#REF!</definedName>
    <definedName name="____B99999">#REF!</definedName>
    <definedName name="____CCH1"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CCH1"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CCH1"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CCH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CCH2"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CCH2"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CCH2"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CCH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day3" localSheetId="4">#REF!</definedName>
    <definedName name="____day3" localSheetId="5">#REF!</definedName>
    <definedName name="____day3" localSheetId="11">#REF!</definedName>
    <definedName name="____day3">#REF!</definedName>
    <definedName name="____day4" localSheetId="4">#REF!</definedName>
    <definedName name="____day4" localSheetId="5">#REF!</definedName>
    <definedName name="____day4" localSheetId="11">#REF!</definedName>
    <definedName name="____day4">#REF!</definedName>
    <definedName name="____DD2"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DD2"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DD2"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INT2" localSheetId="4" hidden="1">{#N/A,#N/A,TRUE,"일정"}</definedName>
    <definedName name="____INT2" localSheetId="5" hidden="1">{#N/A,#N/A,TRUE,"일정"}</definedName>
    <definedName name="____INT2" localSheetId="11" hidden="1">{#N/A,#N/A,TRUE,"일정"}</definedName>
    <definedName name="____INT2" hidden="1">{#N/A,#N/A,TRUE,"일정"}</definedName>
    <definedName name="____J200" localSheetId="4" hidden="1">{#N/A,#N/A,FALSE,"인원";#N/A,#N/A,FALSE,"비용2";#N/A,#N/A,FALSE,"비용1";#N/A,#N/A,FALSE,"비용";#N/A,#N/A,FALSE,"보증2";#N/A,#N/A,FALSE,"보증1";#N/A,#N/A,FALSE,"보증";#N/A,#N/A,FALSE,"손익1";#N/A,#N/A,FALSE,"손익";#N/A,#N/A,FALSE,"부서별매출";#N/A,#N/A,FALSE,"매출"}</definedName>
    <definedName name="____J200" localSheetId="5" hidden="1">{#N/A,#N/A,FALSE,"인원";#N/A,#N/A,FALSE,"비용2";#N/A,#N/A,FALSE,"비용1";#N/A,#N/A,FALSE,"비용";#N/A,#N/A,FALSE,"보증2";#N/A,#N/A,FALSE,"보증1";#N/A,#N/A,FALSE,"보증";#N/A,#N/A,FALSE,"손익1";#N/A,#N/A,FALSE,"손익";#N/A,#N/A,FALSE,"부서별매출";#N/A,#N/A,FALSE,"매출"}</definedName>
    <definedName name="____J200" localSheetId="11" hidden="1">{#N/A,#N/A,FALSE,"인원";#N/A,#N/A,FALSE,"비용2";#N/A,#N/A,FALSE,"비용1";#N/A,#N/A,FALSE,"비용";#N/A,#N/A,FALSE,"보증2";#N/A,#N/A,FALSE,"보증1";#N/A,#N/A,FALSE,"보증";#N/A,#N/A,FALSE,"손익1";#N/A,#N/A,FALSE,"손익";#N/A,#N/A,FALSE,"부서별매출";#N/A,#N/A,FALSE,"매출"}</definedName>
    <definedName name="____J200" hidden="1">{#N/A,#N/A,FALSE,"인원";#N/A,#N/A,FALSE,"비용2";#N/A,#N/A,FALSE,"비용1";#N/A,#N/A,FALSE,"비용";#N/A,#N/A,FALSE,"보증2";#N/A,#N/A,FALSE,"보증1";#N/A,#N/A,FALSE,"보증";#N/A,#N/A,FALSE,"손익1";#N/A,#N/A,FALSE,"손익";#N/A,#N/A,FALSE,"부서별매출";#N/A,#N/A,FALSE,"매출"}</definedName>
    <definedName name="____NEW2"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NEW2"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NEW2"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NEW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Per2" localSheetId="4">#REF!</definedName>
    <definedName name="____Per2" localSheetId="5">#REF!</definedName>
    <definedName name="____Per2" localSheetId="11">#REF!</definedName>
    <definedName name="____Per2">#REF!</definedName>
    <definedName name="____RR2" localSheetId="4" hidden="1">{#N/A,#N/A,FALSE,"단축1";#N/A,#N/A,FALSE,"단축2";#N/A,#N/A,FALSE,"단축3";#N/A,#N/A,FALSE,"장축";#N/A,#N/A,FALSE,"4WD"}</definedName>
    <definedName name="____RR2" localSheetId="5" hidden="1">{#N/A,#N/A,FALSE,"단축1";#N/A,#N/A,FALSE,"단축2";#N/A,#N/A,FALSE,"단축3";#N/A,#N/A,FALSE,"장축";#N/A,#N/A,FALSE,"4WD"}</definedName>
    <definedName name="____RR2" localSheetId="11" hidden="1">{#N/A,#N/A,FALSE,"단축1";#N/A,#N/A,FALSE,"단축2";#N/A,#N/A,FALSE,"단축3";#N/A,#N/A,FALSE,"장축";#N/A,#N/A,FALSE,"4WD"}</definedName>
    <definedName name="____RR2" hidden="1">{#N/A,#N/A,FALSE,"단축1";#N/A,#N/A,FALSE,"단축2";#N/A,#N/A,FALSE,"단축3";#N/A,#N/A,FALSE,"장축";#N/A,#N/A,FALSE,"4WD"}</definedName>
    <definedName name="____SPO1">#N/A</definedName>
    <definedName name="____SPO2">#N/A</definedName>
    <definedName name="____SS2"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SS2"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SS2"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T200"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T200"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T200"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T2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Tir1" localSheetId="4" hidden="1">{#N/A,#N/A,TRUE,"일정"}</definedName>
    <definedName name="____Tir1" localSheetId="5" hidden="1">{#N/A,#N/A,TRUE,"일정"}</definedName>
    <definedName name="____Tir1" localSheetId="11" hidden="1">{#N/A,#N/A,TRUE,"일정"}</definedName>
    <definedName name="____Tir1" hidden="1">{#N/A,#N/A,TRUE,"일정"}</definedName>
    <definedName name="____Tit1" localSheetId="4">#REF!</definedName>
    <definedName name="____Tit1" localSheetId="5">#REF!</definedName>
    <definedName name="____Tit1" localSheetId="11">#REF!</definedName>
    <definedName name="____Tit1">#REF!</definedName>
    <definedName name="____Tit2" localSheetId="4">#REF!</definedName>
    <definedName name="____Tit2" localSheetId="5">#REF!</definedName>
    <definedName name="____Tit2" localSheetId="11">#REF!</definedName>
    <definedName name="____Tit2">#REF!</definedName>
    <definedName name="____Tit3" localSheetId="4">#REF!</definedName>
    <definedName name="____Tit3" localSheetId="5">#REF!</definedName>
    <definedName name="____Tit3" localSheetId="11">#REF!</definedName>
    <definedName name="____Tit3">#REF!</definedName>
    <definedName name="____Tit4" localSheetId="11">#REF!</definedName>
    <definedName name="____Tit4">#REF!</definedName>
    <definedName name="____top1" localSheetId="4">{30,140,350,160,"",""}</definedName>
    <definedName name="____top1" localSheetId="5">{30,140,350,160,"",""}</definedName>
    <definedName name="____top1" localSheetId="11">{30,140,350,160,"",""}</definedName>
    <definedName name="____top1">{30,140,350,160,"",""}</definedName>
    <definedName name="____top100"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top100"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top100"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tt1" localSheetId="4" hidden="1">{#N/A,#N/A,TRUE,"일정"}</definedName>
    <definedName name="____tt1" localSheetId="5" hidden="1">{#N/A,#N/A,TRUE,"일정"}</definedName>
    <definedName name="____tt1" localSheetId="11" hidden="1">{#N/A,#N/A,TRUE,"일정"}</definedName>
    <definedName name="____tt1" hidden="1">{#N/A,#N/A,TRUE,"일정"}</definedName>
    <definedName name="____V210"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V210"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V210"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xlfn.BAHTTEXT" hidden="1">#NAME?</definedName>
    <definedName name="____xlfn.RTD" hidden="1">#NAME?</definedName>
    <definedName name="___A1" localSheetId="4" hidden="1">#REF!</definedName>
    <definedName name="___A1" localSheetId="5" hidden="1">#REF!</definedName>
    <definedName name="___A1" localSheetId="11" hidden="1">#REF!</definedName>
    <definedName name="___A1" hidden="1">#REF!</definedName>
    <definedName name="___a12" localSheetId="4" hidden="1">{"'Monthly 1997'!$A$3:$S$89"}</definedName>
    <definedName name="___a12" localSheetId="5" hidden="1">{"'Monthly 1997'!$A$3:$S$89"}</definedName>
    <definedName name="___a12" localSheetId="11" hidden="1">{"'Monthly 1997'!$A$3:$S$89"}</definedName>
    <definedName name="___a12" hidden="1">{"'Monthly 1997'!$A$3:$S$89"}</definedName>
    <definedName name="___A65555" localSheetId="11">#REF!</definedName>
    <definedName name="___A65555">#REF!</definedName>
    <definedName name="___A65655" localSheetId="11">#REF!</definedName>
    <definedName name="___A65655">#REF!</definedName>
    <definedName name="___A999999" localSheetId="11">#REF!</definedName>
    <definedName name="___A999999">#REF!</definedName>
    <definedName name="___AT1" localSheetId="4" hidden="1">{#N/A,#N/A,FALSE,"인원";#N/A,#N/A,FALSE,"비용2";#N/A,#N/A,FALSE,"비용1";#N/A,#N/A,FALSE,"비용";#N/A,#N/A,FALSE,"보증2";#N/A,#N/A,FALSE,"보증1";#N/A,#N/A,FALSE,"보증";#N/A,#N/A,FALSE,"손익1";#N/A,#N/A,FALSE,"손익";#N/A,#N/A,FALSE,"부서별매출";#N/A,#N/A,FALSE,"매출"}</definedName>
    <definedName name="___AT1" localSheetId="5" hidden="1">{#N/A,#N/A,FALSE,"인원";#N/A,#N/A,FALSE,"비용2";#N/A,#N/A,FALSE,"비용1";#N/A,#N/A,FALSE,"비용";#N/A,#N/A,FALSE,"보증2";#N/A,#N/A,FALSE,"보증1";#N/A,#N/A,FALSE,"보증";#N/A,#N/A,FALSE,"손익1";#N/A,#N/A,FALSE,"손익";#N/A,#N/A,FALSE,"부서별매출";#N/A,#N/A,FALSE,"매출"}</definedName>
    <definedName name="___AT1" localSheetId="11" hidden="1">{#N/A,#N/A,FALSE,"인원";#N/A,#N/A,FALSE,"비용2";#N/A,#N/A,FALSE,"비용1";#N/A,#N/A,FALSE,"비용";#N/A,#N/A,FALSE,"보증2";#N/A,#N/A,FALSE,"보증1";#N/A,#N/A,FALSE,"보증";#N/A,#N/A,FALSE,"손익1";#N/A,#N/A,FALSE,"손익";#N/A,#N/A,FALSE,"부서별매출";#N/A,#N/A,FALSE,"매출"}</definedName>
    <definedName name="___AT1" hidden="1">{#N/A,#N/A,FALSE,"인원";#N/A,#N/A,FALSE,"비용2";#N/A,#N/A,FALSE,"비용1";#N/A,#N/A,FALSE,"비용";#N/A,#N/A,FALSE,"보증2";#N/A,#N/A,FALSE,"보증1";#N/A,#N/A,FALSE,"보증";#N/A,#N/A,FALSE,"손익1";#N/A,#N/A,FALSE,"손익";#N/A,#N/A,FALSE,"부서별매출";#N/A,#N/A,FALSE,"매출"}</definedName>
    <definedName name="_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2"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3" localSheetId="4" hidden="1">{#N/A,#N/A,FALSE,"인원";#N/A,#N/A,FALSE,"비용2";#N/A,#N/A,FALSE,"비용1";#N/A,#N/A,FALSE,"비용";#N/A,#N/A,FALSE,"보증2";#N/A,#N/A,FALSE,"보증1";#N/A,#N/A,FALSE,"보증";#N/A,#N/A,FALSE,"손익1";#N/A,#N/A,FALSE,"손익";#N/A,#N/A,FALSE,"부서별매출";#N/A,#N/A,FALSE,"매출"}</definedName>
    <definedName name="___AT3" localSheetId="5" hidden="1">{#N/A,#N/A,FALSE,"인원";#N/A,#N/A,FALSE,"비용2";#N/A,#N/A,FALSE,"비용1";#N/A,#N/A,FALSE,"비용";#N/A,#N/A,FALSE,"보증2";#N/A,#N/A,FALSE,"보증1";#N/A,#N/A,FALSE,"보증";#N/A,#N/A,FALSE,"손익1";#N/A,#N/A,FALSE,"손익";#N/A,#N/A,FALSE,"부서별매출";#N/A,#N/A,FALSE,"매출"}</definedName>
    <definedName name="___AT3" localSheetId="11" hidden="1">{#N/A,#N/A,FALSE,"인원";#N/A,#N/A,FALSE,"비용2";#N/A,#N/A,FALSE,"비용1";#N/A,#N/A,FALSE,"비용";#N/A,#N/A,FALSE,"보증2";#N/A,#N/A,FALSE,"보증1";#N/A,#N/A,FALSE,"보증";#N/A,#N/A,FALSE,"손익1";#N/A,#N/A,FALSE,"손익";#N/A,#N/A,FALSE,"부서별매출";#N/A,#N/A,FALSE,"매출"}</definedName>
    <definedName name="___AT3" hidden="1">{#N/A,#N/A,FALSE,"인원";#N/A,#N/A,FALSE,"비용2";#N/A,#N/A,FALSE,"비용1";#N/A,#N/A,FALSE,"비용";#N/A,#N/A,FALSE,"보증2";#N/A,#N/A,FALSE,"보증1";#N/A,#N/A,FALSE,"보증";#N/A,#N/A,FALSE,"손익1";#N/A,#N/A,FALSE,"손익";#N/A,#N/A,FALSE,"부서별매출";#N/A,#N/A,FALSE,"매출"}</definedName>
    <definedName name="___B100000" localSheetId="4">#REF!</definedName>
    <definedName name="___B100000" localSheetId="5">#REF!</definedName>
    <definedName name="___B100000" localSheetId="11">#REF!</definedName>
    <definedName name="___B100000">#REF!</definedName>
    <definedName name="___B80000" localSheetId="4">#REF!</definedName>
    <definedName name="___B80000" localSheetId="5">#REF!</definedName>
    <definedName name="___B80000" localSheetId="11">#REF!</definedName>
    <definedName name="___B80000">#REF!</definedName>
    <definedName name="___B99999" localSheetId="4">#REF!</definedName>
    <definedName name="___B99999" localSheetId="5">#REF!</definedName>
    <definedName name="___B99999" localSheetId="11">#REF!</definedName>
    <definedName name="___B99999">#REF!</definedName>
    <definedName name="___CCH1"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CCH1"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CCH1"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CCH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CCH2"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CCH2"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CCH2"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CCH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day3" localSheetId="4">#REF!</definedName>
    <definedName name="___day3" localSheetId="5">#REF!</definedName>
    <definedName name="___day3" localSheetId="11">#REF!</definedName>
    <definedName name="___day3">#REF!</definedName>
    <definedName name="___day4" localSheetId="4">#REF!</definedName>
    <definedName name="___day4" localSheetId="5">#REF!</definedName>
    <definedName name="___day4" localSheetId="11">#REF!</definedName>
    <definedName name="___day4">#REF!</definedName>
    <definedName name="___DD2"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DD2"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DD2"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INT2" localSheetId="4" hidden="1">{#N/A,#N/A,TRUE,"일정"}</definedName>
    <definedName name="___INT2" localSheetId="5" hidden="1">{#N/A,#N/A,TRUE,"일정"}</definedName>
    <definedName name="___INT2" localSheetId="11" hidden="1">{#N/A,#N/A,TRUE,"일정"}</definedName>
    <definedName name="___INT2" hidden="1">{#N/A,#N/A,TRUE,"일정"}</definedName>
    <definedName name="___J200" localSheetId="4" hidden="1">{#N/A,#N/A,FALSE,"인원";#N/A,#N/A,FALSE,"비용2";#N/A,#N/A,FALSE,"비용1";#N/A,#N/A,FALSE,"비용";#N/A,#N/A,FALSE,"보증2";#N/A,#N/A,FALSE,"보증1";#N/A,#N/A,FALSE,"보증";#N/A,#N/A,FALSE,"손익1";#N/A,#N/A,FALSE,"손익";#N/A,#N/A,FALSE,"부서별매출";#N/A,#N/A,FALSE,"매출"}</definedName>
    <definedName name="___J200" localSheetId="5" hidden="1">{#N/A,#N/A,FALSE,"인원";#N/A,#N/A,FALSE,"비용2";#N/A,#N/A,FALSE,"비용1";#N/A,#N/A,FALSE,"비용";#N/A,#N/A,FALSE,"보증2";#N/A,#N/A,FALSE,"보증1";#N/A,#N/A,FALSE,"보증";#N/A,#N/A,FALSE,"손익1";#N/A,#N/A,FALSE,"손익";#N/A,#N/A,FALSE,"부서별매출";#N/A,#N/A,FALSE,"매출"}</definedName>
    <definedName name="___J200" localSheetId="11" hidden="1">{#N/A,#N/A,FALSE,"인원";#N/A,#N/A,FALSE,"비용2";#N/A,#N/A,FALSE,"비용1";#N/A,#N/A,FALSE,"비용";#N/A,#N/A,FALSE,"보증2";#N/A,#N/A,FALSE,"보증1";#N/A,#N/A,FALSE,"보증";#N/A,#N/A,FALSE,"손익1";#N/A,#N/A,FALSE,"손익";#N/A,#N/A,FALSE,"부서별매출";#N/A,#N/A,FALSE,"매출"}</definedName>
    <definedName name="___J200" hidden="1">{#N/A,#N/A,FALSE,"인원";#N/A,#N/A,FALSE,"비용2";#N/A,#N/A,FALSE,"비용1";#N/A,#N/A,FALSE,"비용";#N/A,#N/A,FALSE,"보증2";#N/A,#N/A,FALSE,"보증1";#N/A,#N/A,FALSE,"보증";#N/A,#N/A,FALSE,"손익1";#N/A,#N/A,FALSE,"손익";#N/A,#N/A,FALSE,"부서별매출";#N/A,#N/A,FALSE,"매출"}</definedName>
    <definedName name="___NEW2"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NEW2"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NEW2"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NEW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Per2" localSheetId="4">#REF!</definedName>
    <definedName name="___Per2" localSheetId="5">#REF!</definedName>
    <definedName name="___Per2" localSheetId="11">#REF!</definedName>
    <definedName name="___Per2">#REF!</definedName>
    <definedName name="___RR2" localSheetId="4" hidden="1">{#N/A,#N/A,FALSE,"단축1";#N/A,#N/A,FALSE,"단축2";#N/A,#N/A,FALSE,"단축3";#N/A,#N/A,FALSE,"장축";#N/A,#N/A,FALSE,"4WD"}</definedName>
    <definedName name="___RR2" localSheetId="5" hidden="1">{#N/A,#N/A,FALSE,"단축1";#N/A,#N/A,FALSE,"단축2";#N/A,#N/A,FALSE,"단축3";#N/A,#N/A,FALSE,"장축";#N/A,#N/A,FALSE,"4WD"}</definedName>
    <definedName name="___RR2" localSheetId="11" hidden="1">{#N/A,#N/A,FALSE,"단축1";#N/A,#N/A,FALSE,"단축2";#N/A,#N/A,FALSE,"단축3";#N/A,#N/A,FALSE,"장축";#N/A,#N/A,FALSE,"4WD"}</definedName>
    <definedName name="___RR2" hidden="1">{#N/A,#N/A,FALSE,"단축1";#N/A,#N/A,FALSE,"단축2";#N/A,#N/A,FALSE,"단축3";#N/A,#N/A,FALSE,"장축";#N/A,#N/A,FALSE,"4WD"}</definedName>
    <definedName name="___SPO1">#N/A</definedName>
    <definedName name="___SPO2">#N/A</definedName>
    <definedName name="___SS2"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SS2"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SS2"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T200"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T200"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T200"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T2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Tir1" localSheetId="4" hidden="1">{#N/A,#N/A,TRUE,"일정"}</definedName>
    <definedName name="___Tir1" localSheetId="5" hidden="1">{#N/A,#N/A,TRUE,"일정"}</definedName>
    <definedName name="___Tir1" localSheetId="11" hidden="1">{#N/A,#N/A,TRUE,"일정"}</definedName>
    <definedName name="___Tir1" hidden="1">{#N/A,#N/A,TRUE,"일정"}</definedName>
    <definedName name="___Tit1" localSheetId="4">#REF!</definedName>
    <definedName name="___Tit1" localSheetId="5">#REF!</definedName>
    <definedName name="___Tit1" localSheetId="11">#REF!</definedName>
    <definedName name="___Tit1">#REF!</definedName>
    <definedName name="___Tit2" localSheetId="4">#REF!</definedName>
    <definedName name="___Tit2" localSheetId="5">#REF!</definedName>
    <definedName name="___Tit2" localSheetId="11">#REF!</definedName>
    <definedName name="___Tit2">#REF!</definedName>
    <definedName name="___Tit3" localSheetId="4">#REF!</definedName>
    <definedName name="___Tit3" localSheetId="5">#REF!</definedName>
    <definedName name="___Tit3" localSheetId="11">#REF!</definedName>
    <definedName name="___Tit3">#REF!</definedName>
    <definedName name="___Tit4" localSheetId="11">#REF!</definedName>
    <definedName name="___Tit4">#REF!</definedName>
    <definedName name="___top1" localSheetId="4">{30,140,350,160,"",""}</definedName>
    <definedName name="___top1" localSheetId="5">{30,140,350,160,"",""}</definedName>
    <definedName name="___top1" localSheetId="11">{30,140,350,160,"",""}</definedName>
    <definedName name="___top1">{30,140,350,160,"",""}</definedName>
    <definedName name="___top100"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top100"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top100"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tt1" localSheetId="4" hidden="1">{#N/A,#N/A,TRUE,"일정"}</definedName>
    <definedName name="___tt1" localSheetId="5" hidden="1">{#N/A,#N/A,TRUE,"일정"}</definedName>
    <definedName name="___tt1" localSheetId="11" hidden="1">{#N/A,#N/A,TRUE,"일정"}</definedName>
    <definedName name="___tt1" hidden="1">{#N/A,#N/A,TRUE,"일정"}</definedName>
    <definedName name="___V210"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V210"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V210"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xlfn.BAHTTEXT" hidden="1">#NAME?</definedName>
    <definedName name="___xlfn.RTD" hidden="1">#NAME?</definedName>
    <definedName name="__A1" localSheetId="4" hidden="1">#REF!</definedName>
    <definedName name="__A1" localSheetId="5" hidden="1">#REF!</definedName>
    <definedName name="__A1" localSheetId="11" hidden="1">#REF!</definedName>
    <definedName name="__A1" hidden="1">#REF!</definedName>
    <definedName name="__a12" localSheetId="4" hidden="1">{"'Monthly 1997'!$A$3:$S$89"}</definedName>
    <definedName name="__a12" localSheetId="5" hidden="1">{"'Monthly 1997'!$A$3:$S$89"}</definedName>
    <definedName name="__a12" localSheetId="11" hidden="1">{"'Monthly 1997'!$A$3:$S$89"}</definedName>
    <definedName name="__a12" hidden="1">{"'Monthly 1997'!$A$3:$S$89"}</definedName>
    <definedName name="__A65555" localSheetId="11">#REF!</definedName>
    <definedName name="__A65555">#REF!</definedName>
    <definedName name="__A65655" localSheetId="11">#REF!</definedName>
    <definedName name="__A65655">#REF!</definedName>
    <definedName name="__A999999" localSheetId="11">#REF!</definedName>
    <definedName name="__A999999">#REF!</definedName>
    <definedName name="__ap2">#N/A</definedName>
    <definedName name="__AT1" localSheetId="4" hidden="1">{#N/A,#N/A,FALSE,"인원";#N/A,#N/A,FALSE,"비용2";#N/A,#N/A,FALSE,"비용1";#N/A,#N/A,FALSE,"비용";#N/A,#N/A,FALSE,"보증2";#N/A,#N/A,FALSE,"보증1";#N/A,#N/A,FALSE,"보증";#N/A,#N/A,FALSE,"손익1";#N/A,#N/A,FALSE,"손익";#N/A,#N/A,FALSE,"부서별매출";#N/A,#N/A,FALSE,"매출"}</definedName>
    <definedName name="__AT1" localSheetId="5" hidden="1">{#N/A,#N/A,FALSE,"인원";#N/A,#N/A,FALSE,"비용2";#N/A,#N/A,FALSE,"비용1";#N/A,#N/A,FALSE,"비용";#N/A,#N/A,FALSE,"보증2";#N/A,#N/A,FALSE,"보증1";#N/A,#N/A,FALSE,"보증";#N/A,#N/A,FALSE,"손익1";#N/A,#N/A,FALSE,"손익";#N/A,#N/A,FALSE,"부서별매출";#N/A,#N/A,FALSE,"매출"}</definedName>
    <definedName name="__AT1" localSheetId="11" hidden="1">{#N/A,#N/A,FALSE,"인원";#N/A,#N/A,FALSE,"비용2";#N/A,#N/A,FALSE,"비용1";#N/A,#N/A,FALSE,"비용";#N/A,#N/A,FALSE,"보증2";#N/A,#N/A,FALSE,"보증1";#N/A,#N/A,FALSE,"보증";#N/A,#N/A,FALSE,"손익1";#N/A,#N/A,FALSE,"손익";#N/A,#N/A,FALSE,"부서별매출";#N/A,#N/A,FALSE,"매출"}</definedName>
    <definedName name="__AT1" hidden="1">{#N/A,#N/A,FALSE,"인원";#N/A,#N/A,FALSE,"비용2";#N/A,#N/A,FALSE,"비용1";#N/A,#N/A,FALSE,"비용";#N/A,#N/A,FALSE,"보증2";#N/A,#N/A,FALSE,"보증1";#N/A,#N/A,FALSE,"보증";#N/A,#N/A,FALSE,"손익1";#N/A,#N/A,FALSE,"손익";#N/A,#N/A,FALSE,"부서별매출";#N/A,#N/A,FALSE,"매출"}</definedName>
    <definedName name="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2"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3" localSheetId="4" hidden="1">{#N/A,#N/A,FALSE,"인원";#N/A,#N/A,FALSE,"비용2";#N/A,#N/A,FALSE,"비용1";#N/A,#N/A,FALSE,"비용";#N/A,#N/A,FALSE,"보증2";#N/A,#N/A,FALSE,"보증1";#N/A,#N/A,FALSE,"보증";#N/A,#N/A,FALSE,"손익1";#N/A,#N/A,FALSE,"손익";#N/A,#N/A,FALSE,"부서별매출";#N/A,#N/A,FALSE,"매출"}</definedName>
    <definedName name="__AT3" localSheetId="5" hidden="1">{#N/A,#N/A,FALSE,"인원";#N/A,#N/A,FALSE,"비용2";#N/A,#N/A,FALSE,"비용1";#N/A,#N/A,FALSE,"비용";#N/A,#N/A,FALSE,"보증2";#N/A,#N/A,FALSE,"보증1";#N/A,#N/A,FALSE,"보증";#N/A,#N/A,FALSE,"손익1";#N/A,#N/A,FALSE,"손익";#N/A,#N/A,FALSE,"부서별매출";#N/A,#N/A,FALSE,"매출"}</definedName>
    <definedName name="__AT3" localSheetId="11" hidden="1">{#N/A,#N/A,FALSE,"인원";#N/A,#N/A,FALSE,"비용2";#N/A,#N/A,FALSE,"비용1";#N/A,#N/A,FALSE,"비용";#N/A,#N/A,FALSE,"보증2";#N/A,#N/A,FALSE,"보증1";#N/A,#N/A,FALSE,"보증";#N/A,#N/A,FALSE,"손익1";#N/A,#N/A,FALSE,"손익";#N/A,#N/A,FALSE,"부서별매출";#N/A,#N/A,FALSE,"매출"}</definedName>
    <definedName name="__AT3" hidden="1">{#N/A,#N/A,FALSE,"인원";#N/A,#N/A,FALSE,"비용2";#N/A,#N/A,FALSE,"비용1";#N/A,#N/A,FALSE,"비용";#N/A,#N/A,FALSE,"보증2";#N/A,#N/A,FALSE,"보증1";#N/A,#N/A,FALSE,"보증";#N/A,#N/A,FALSE,"손익1";#N/A,#N/A,FALSE,"손익";#N/A,#N/A,FALSE,"부서별매출";#N/A,#N/A,FALSE,"매출"}</definedName>
    <definedName name="__B100000" localSheetId="4">#REF!</definedName>
    <definedName name="__B100000" localSheetId="5">#REF!</definedName>
    <definedName name="__B100000" localSheetId="11">#REF!</definedName>
    <definedName name="__B100000">#REF!</definedName>
    <definedName name="__B80000" localSheetId="4">#REF!</definedName>
    <definedName name="__B80000" localSheetId="5">#REF!</definedName>
    <definedName name="__B80000" localSheetId="11">#REF!</definedName>
    <definedName name="__B80000">#REF!</definedName>
    <definedName name="__B99999" localSheetId="4">#REF!</definedName>
    <definedName name="__B99999" localSheetId="5">#REF!</definedName>
    <definedName name="__B99999" localSheetId="11">#REF!</definedName>
    <definedName name="__B99999">#REF!</definedName>
    <definedName name="__CCH1"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CCH1"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CCH1"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CCH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CCH2"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CCH2"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CCH2"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CCH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day3" localSheetId="4">#REF!</definedName>
    <definedName name="__day3" localSheetId="5">#REF!</definedName>
    <definedName name="__day3" localSheetId="11">#REF!</definedName>
    <definedName name="__day3">#REF!</definedName>
    <definedName name="__day4" localSheetId="4">#REF!</definedName>
    <definedName name="__day4" localSheetId="5">#REF!</definedName>
    <definedName name="__day4" localSheetId="11">#REF!</definedName>
    <definedName name="__day4">#REF!</definedName>
    <definedName name="__DD2"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DD2"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DD2"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I______AU__E" localSheetId="4">#REF!</definedName>
    <definedName name="__I______AU__E" localSheetId="5">#REF!</definedName>
    <definedName name="__I______AU__E" localSheetId="11">#REF!</definedName>
    <definedName name="__I______AU__E">#REF!</definedName>
    <definedName name="__INT2" localSheetId="4" hidden="1">{#N/A,#N/A,TRUE,"일정"}</definedName>
    <definedName name="__INT2" localSheetId="5" hidden="1">{#N/A,#N/A,TRUE,"일정"}</definedName>
    <definedName name="__INT2" localSheetId="11" hidden="1">{#N/A,#N/A,TRUE,"일정"}</definedName>
    <definedName name="__INT2" hidden="1">{#N/A,#N/A,TRUE,"일정"}</definedName>
    <definedName name="__J200" localSheetId="4" hidden="1">{#N/A,#N/A,FALSE,"인원";#N/A,#N/A,FALSE,"비용2";#N/A,#N/A,FALSE,"비용1";#N/A,#N/A,FALSE,"비용";#N/A,#N/A,FALSE,"보증2";#N/A,#N/A,FALSE,"보증1";#N/A,#N/A,FALSE,"보증";#N/A,#N/A,FALSE,"손익1";#N/A,#N/A,FALSE,"손익";#N/A,#N/A,FALSE,"부서별매출";#N/A,#N/A,FALSE,"매출"}</definedName>
    <definedName name="__J200" localSheetId="5" hidden="1">{#N/A,#N/A,FALSE,"인원";#N/A,#N/A,FALSE,"비용2";#N/A,#N/A,FALSE,"비용1";#N/A,#N/A,FALSE,"비용";#N/A,#N/A,FALSE,"보증2";#N/A,#N/A,FALSE,"보증1";#N/A,#N/A,FALSE,"보증";#N/A,#N/A,FALSE,"손익1";#N/A,#N/A,FALSE,"손익";#N/A,#N/A,FALSE,"부서별매출";#N/A,#N/A,FALSE,"매출"}</definedName>
    <definedName name="__J200" localSheetId="11" hidden="1">{#N/A,#N/A,FALSE,"인원";#N/A,#N/A,FALSE,"비용2";#N/A,#N/A,FALSE,"비용1";#N/A,#N/A,FALSE,"비용";#N/A,#N/A,FALSE,"보증2";#N/A,#N/A,FALSE,"보증1";#N/A,#N/A,FALSE,"보증";#N/A,#N/A,FALSE,"손익1";#N/A,#N/A,FALSE,"손익";#N/A,#N/A,FALSE,"부서별매출";#N/A,#N/A,FALSE,"매출"}</definedName>
    <definedName name="__J200" hidden="1">{#N/A,#N/A,FALSE,"인원";#N/A,#N/A,FALSE,"비용2";#N/A,#N/A,FALSE,"비용1";#N/A,#N/A,FALSE,"비용";#N/A,#N/A,FALSE,"보증2";#N/A,#N/A,FALSE,"보증1";#N/A,#N/A,FALSE,"보증";#N/A,#N/A,FALSE,"손익1";#N/A,#N/A,FALSE,"손익";#N/A,#N/A,FALSE,"부서별매출";#N/A,#N/A,FALSE,"매출"}</definedName>
    <definedName name="__NEW2"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NEW2"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NEW2"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NEW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Per2" localSheetId="4">#REF!</definedName>
    <definedName name="__Per2" localSheetId="5">#REF!</definedName>
    <definedName name="__Per2" localSheetId="11">#REF!</definedName>
    <definedName name="__Per2">#REF!</definedName>
    <definedName name="__RR2" localSheetId="4" hidden="1">{#N/A,#N/A,FALSE,"단축1";#N/A,#N/A,FALSE,"단축2";#N/A,#N/A,FALSE,"단축3";#N/A,#N/A,FALSE,"장축";#N/A,#N/A,FALSE,"4WD"}</definedName>
    <definedName name="__RR2" localSheetId="5" hidden="1">{#N/A,#N/A,FALSE,"단축1";#N/A,#N/A,FALSE,"단축2";#N/A,#N/A,FALSE,"단축3";#N/A,#N/A,FALSE,"장축";#N/A,#N/A,FALSE,"4WD"}</definedName>
    <definedName name="__RR2" localSheetId="11" hidden="1">{#N/A,#N/A,FALSE,"단축1";#N/A,#N/A,FALSE,"단축2";#N/A,#N/A,FALSE,"단축3";#N/A,#N/A,FALSE,"장축";#N/A,#N/A,FALSE,"4WD"}</definedName>
    <definedName name="__RR2" hidden="1">{#N/A,#N/A,FALSE,"단축1";#N/A,#N/A,FALSE,"단축2";#N/A,#N/A,FALSE,"단축3";#N/A,#N/A,FALSE,"장축";#N/A,#N/A,FALSE,"4WD"}</definedName>
    <definedName name="__SPO1">#N/A</definedName>
    <definedName name="__SPO2">#N/A</definedName>
    <definedName name="__SS2"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SS2"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SS2"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T200"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T200"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T200"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T2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Tir1" localSheetId="4" hidden="1">{#N/A,#N/A,TRUE,"일정"}</definedName>
    <definedName name="__Tir1" localSheetId="5" hidden="1">{#N/A,#N/A,TRUE,"일정"}</definedName>
    <definedName name="__Tir1" localSheetId="11" hidden="1">{#N/A,#N/A,TRUE,"일정"}</definedName>
    <definedName name="__Tir1" hidden="1">{#N/A,#N/A,TRUE,"일정"}</definedName>
    <definedName name="__Tit1" localSheetId="4">#REF!</definedName>
    <definedName name="__Tit1" localSheetId="5">#REF!</definedName>
    <definedName name="__Tit1" localSheetId="11">#REF!</definedName>
    <definedName name="__Tit1">#REF!</definedName>
    <definedName name="__Tit2" localSheetId="4">#REF!</definedName>
    <definedName name="__Tit2" localSheetId="5">#REF!</definedName>
    <definedName name="__Tit2" localSheetId="11">#REF!</definedName>
    <definedName name="__Tit2">#REF!</definedName>
    <definedName name="__Tit3" localSheetId="4">#REF!</definedName>
    <definedName name="__Tit3" localSheetId="5">#REF!</definedName>
    <definedName name="__Tit3" localSheetId="11">#REF!</definedName>
    <definedName name="__Tit3">#REF!</definedName>
    <definedName name="__Tit4" localSheetId="11">#REF!</definedName>
    <definedName name="__Tit4">#REF!</definedName>
    <definedName name="__top1" localSheetId="4">{30,140,350,160,"",""}</definedName>
    <definedName name="__top1" localSheetId="5">{30,140,350,160,"",""}</definedName>
    <definedName name="__top1" localSheetId="11">{30,140,350,160,"",""}</definedName>
    <definedName name="__top1">{30,140,350,160,"",""}</definedName>
    <definedName name="__top100"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top100"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top100"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tt1" localSheetId="4" hidden="1">{#N/A,#N/A,TRUE,"일정"}</definedName>
    <definedName name="__tt1" localSheetId="5" hidden="1">{#N/A,#N/A,TRUE,"일정"}</definedName>
    <definedName name="__tt1" localSheetId="11" hidden="1">{#N/A,#N/A,TRUE,"일정"}</definedName>
    <definedName name="__tt1" hidden="1">{#N/A,#N/A,TRUE,"일정"}</definedName>
    <definedName name="__V210"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V210"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V210"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xlfn.BAHTTEXT" hidden="1">#NAME?</definedName>
    <definedName name="__xlfn.RTD" hidden="1">#NAME?</definedName>
    <definedName name="_05_3_7" localSheetId="4">#REF!</definedName>
    <definedName name="_05_3_7" localSheetId="5">#REF!</definedName>
    <definedName name="_05_3_7" localSheetId="11">#REF!</definedName>
    <definedName name="_05_3_7">#REF!</definedName>
    <definedName name="_06_2_6" localSheetId="4">#REF!</definedName>
    <definedName name="_06_2_6" localSheetId="5">#REF!</definedName>
    <definedName name="_06_2_6" localSheetId="11">#REF!</definedName>
    <definedName name="_06_2_6">#REF!</definedName>
    <definedName name="_06_3_9" localSheetId="4">#REF!</definedName>
    <definedName name="_06_3_9" localSheetId="5">#REF!</definedName>
    <definedName name="_06_3_9" localSheetId="11">#REF!</definedName>
    <definedName name="_06_3_9">#REF!</definedName>
    <definedName name="_07_2_10" localSheetId="11">#REF!</definedName>
    <definedName name="_07_2_10">#REF!</definedName>
    <definedName name="_07_2_2" localSheetId="11">#REF!</definedName>
    <definedName name="_07_2_2">#REF!</definedName>
    <definedName name="_07_2_3" localSheetId="11">#REF!</definedName>
    <definedName name="_07_2_3">#REF!</definedName>
    <definedName name="_08" localSheetId="11">#REF!</definedName>
    <definedName name="_08">#REF!</definedName>
    <definedName name="_10_??" localSheetId="4" hidden="1">{#N/A,#N/A,FALSE,"??";#N/A,#N/A,FALSE,"??2";#N/A,#N/A,FALSE,"??1";#N/A,#N/A,FALSE,"??";#N/A,#N/A,FALSE,"??2";#N/A,#N/A,FALSE,"??1";#N/A,#N/A,FALSE,"??";#N/A,#N/A,FALSE,"??1";#N/A,#N/A,FALSE,"??";#N/A,#N/A,FALSE,"?????";#N/A,#N/A,FALSE,"??"}</definedName>
    <definedName name="_10_??" localSheetId="5" hidden="1">{#N/A,#N/A,FALSE,"??";#N/A,#N/A,FALSE,"??2";#N/A,#N/A,FALSE,"??1";#N/A,#N/A,FALSE,"??";#N/A,#N/A,FALSE,"??2";#N/A,#N/A,FALSE,"??1";#N/A,#N/A,FALSE,"??";#N/A,#N/A,FALSE,"??1";#N/A,#N/A,FALSE,"??";#N/A,#N/A,FALSE,"?????";#N/A,#N/A,FALSE,"??"}</definedName>
    <definedName name="_10_??" localSheetId="11" hidden="1">{#N/A,#N/A,FALSE,"??";#N/A,#N/A,FALSE,"??2";#N/A,#N/A,FALSE,"??1";#N/A,#N/A,FALSE,"??";#N/A,#N/A,FALSE,"??2";#N/A,#N/A,FALSE,"??1";#N/A,#N/A,FALSE,"??";#N/A,#N/A,FALSE,"??1";#N/A,#N/A,FALSE,"??";#N/A,#N/A,FALSE,"?????";#N/A,#N/A,FALSE,"??"}</definedName>
    <definedName name="_10_??" hidden="1">{#N/A,#N/A,FALSE,"??";#N/A,#N/A,FALSE,"??2";#N/A,#N/A,FALSE,"??1";#N/A,#N/A,FALSE,"??";#N/A,#N/A,FALSE,"??2";#N/A,#N/A,FALSE,"??1";#N/A,#N/A,FALSE,"??";#N/A,#N/A,FALSE,"??1";#N/A,#N/A,FALSE,"??";#N/A,#N/A,FALSE,"?????";#N/A,#N/A,FALSE,"??"}</definedName>
    <definedName name="_1048__0_S" localSheetId="4" hidden="1">#REF!</definedName>
    <definedName name="_1048__0_S" localSheetId="5" hidden="1">#REF!</definedName>
    <definedName name="_1048__0_S" localSheetId="11" hidden="1">#REF!</definedName>
    <definedName name="_1048__0_S" hidden="1">#REF!</definedName>
    <definedName name="_1050__0_S" localSheetId="4" hidden="1">#REF!</definedName>
    <definedName name="_1050__0_S" localSheetId="5" hidden="1">#REF!</definedName>
    <definedName name="_1050__0_S" localSheetId="11" hidden="1">#REF!</definedName>
    <definedName name="_1050__0_S" hidden="1">#REF!</definedName>
    <definedName name="_1053__0_S" localSheetId="4" hidden="1">#REF!</definedName>
    <definedName name="_1053__0_S" localSheetId="5" hidden="1">#REF!</definedName>
    <definedName name="_1053__0_S" localSheetId="11" hidden="1">#REF!</definedName>
    <definedName name="_1053__0_S" hidden="1">#REF!</definedName>
    <definedName name="_11_???" localSheetId="4" hidden="1">{#N/A,#N/A,FALSE,"??????? (5)";#N/A,#N/A,FALSE,"??????? (7)";#N/A,#N/A,FALSE,"??????? (6)";#N/A,#N/A,FALSE,"??????? (2)";#N/A,#N/A,FALSE,"???????";#N/A,#N/A,FALSE,"???????";#N/A,#N/A,FALSE,"???????";#N/A,#N/A,FALSE,"???????";#N/A,#N/A,FALSE,"???????";#N/A,#N/A,FALSE,"????? (2)";#N/A,#N/A,FALSE,"96 ????";#N/A,#N/A,FALSE,"????";#N/A,#N/A,FALSE,"??";#N/A,#N/A,FALSE,"??";#N/A,#N/A,FALSE,"??????"}</definedName>
    <definedName name="_11_???" localSheetId="5" hidden="1">{#N/A,#N/A,FALSE,"??????? (5)";#N/A,#N/A,FALSE,"??????? (7)";#N/A,#N/A,FALSE,"??????? (6)";#N/A,#N/A,FALSE,"??????? (2)";#N/A,#N/A,FALSE,"???????";#N/A,#N/A,FALSE,"???????";#N/A,#N/A,FALSE,"???????";#N/A,#N/A,FALSE,"???????";#N/A,#N/A,FALSE,"???????";#N/A,#N/A,FALSE,"????? (2)";#N/A,#N/A,FALSE,"96 ????";#N/A,#N/A,FALSE,"????";#N/A,#N/A,FALSE,"??";#N/A,#N/A,FALSE,"??";#N/A,#N/A,FALSE,"??????"}</definedName>
    <definedName name="_11_???" localSheetId="11" hidden="1">{#N/A,#N/A,FALSE,"??????? (5)";#N/A,#N/A,FALSE,"??????? (7)";#N/A,#N/A,FALSE,"??????? (6)";#N/A,#N/A,FALSE,"??????? (2)";#N/A,#N/A,FALSE,"???????";#N/A,#N/A,FALSE,"???????";#N/A,#N/A,FALSE,"???????";#N/A,#N/A,FALSE,"???????";#N/A,#N/A,FALSE,"???????";#N/A,#N/A,FALSE,"????? (2)";#N/A,#N/A,FALSE,"96 ????";#N/A,#N/A,FALSE,"????";#N/A,#N/A,FALSE,"??";#N/A,#N/A,FALSE,"??";#N/A,#N/A,FALSE,"??????"}</definedName>
    <definedName name="_11_???" hidden="1">{#N/A,#N/A,FALSE,"??????? (5)";#N/A,#N/A,FALSE,"??????? (7)";#N/A,#N/A,FALSE,"??????? (6)";#N/A,#N/A,FALSE,"??????? (2)";#N/A,#N/A,FALSE,"???????";#N/A,#N/A,FALSE,"???????";#N/A,#N/A,FALSE,"???????";#N/A,#N/A,FALSE,"???????";#N/A,#N/A,FALSE,"???????";#N/A,#N/A,FALSE,"????? (2)";#N/A,#N/A,FALSE,"96 ????";#N/A,#N/A,FALSE,"????";#N/A,#N/A,FALSE,"??";#N/A,#N/A,FALSE,"??";#N/A,#N/A,FALSE,"??????"}</definedName>
    <definedName name="_111" localSheetId="4">#REF!</definedName>
    <definedName name="_111" localSheetId="5">#REF!</definedName>
    <definedName name="_111" localSheetId="11">#REF!</definedName>
    <definedName name="_111">#REF!</definedName>
    <definedName name="_12_???" localSheetId="4" hidden="1">{#N/A,#N/A,FALSE,"??????? (5)";#N/A,#N/A,FALSE,"??????? (7)";#N/A,#N/A,FALSE,"??????? (6)";#N/A,#N/A,FALSE,"??????? (2)";#N/A,#N/A,FALSE,"???????";#N/A,#N/A,FALSE,"???????";#N/A,#N/A,FALSE,"???????";#N/A,#N/A,FALSE,"???????";#N/A,#N/A,FALSE,"???????";#N/A,#N/A,FALSE,"????? (2)";#N/A,#N/A,FALSE,"96 ????";#N/A,#N/A,FALSE,"????";#N/A,#N/A,FALSE,"??";#N/A,#N/A,FALSE,"??";#N/A,#N/A,FALSE,"??????"}</definedName>
    <definedName name="_12_???" localSheetId="5" hidden="1">{#N/A,#N/A,FALSE,"??????? (5)";#N/A,#N/A,FALSE,"??????? (7)";#N/A,#N/A,FALSE,"??????? (6)";#N/A,#N/A,FALSE,"??????? (2)";#N/A,#N/A,FALSE,"???????";#N/A,#N/A,FALSE,"???????";#N/A,#N/A,FALSE,"???????";#N/A,#N/A,FALSE,"???????";#N/A,#N/A,FALSE,"???????";#N/A,#N/A,FALSE,"????? (2)";#N/A,#N/A,FALSE,"96 ????";#N/A,#N/A,FALSE,"????";#N/A,#N/A,FALSE,"??";#N/A,#N/A,FALSE,"??";#N/A,#N/A,FALSE,"??????"}</definedName>
    <definedName name="_12_???" localSheetId="11" hidden="1">{#N/A,#N/A,FALSE,"??????? (5)";#N/A,#N/A,FALSE,"??????? (7)";#N/A,#N/A,FALSE,"??????? (6)";#N/A,#N/A,FALSE,"??????? (2)";#N/A,#N/A,FALSE,"???????";#N/A,#N/A,FALSE,"???????";#N/A,#N/A,FALSE,"???????";#N/A,#N/A,FALSE,"???????";#N/A,#N/A,FALSE,"???????";#N/A,#N/A,FALSE,"????? (2)";#N/A,#N/A,FALSE,"96 ????";#N/A,#N/A,FALSE,"????";#N/A,#N/A,FALSE,"??";#N/A,#N/A,FALSE,"??";#N/A,#N/A,FALSE,"??????"}</definedName>
    <definedName name="_12_???" hidden="1">{#N/A,#N/A,FALSE,"??????? (5)";#N/A,#N/A,FALSE,"??????? (7)";#N/A,#N/A,FALSE,"??????? (6)";#N/A,#N/A,FALSE,"??????? (2)";#N/A,#N/A,FALSE,"???????";#N/A,#N/A,FALSE,"???????";#N/A,#N/A,FALSE,"???????";#N/A,#N/A,FALSE,"???????";#N/A,#N/A,FALSE,"???????";#N/A,#N/A,FALSE,"????? (2)";#N/A,#N/A,FALSE,"96 ????";#N/A,#N/A,FALSE,"????";#N/A,#N/A,FALSE,"??";#N/A,#N/A,FALSE,"??";#N/A,#N/A,FALSE,"??????"}</definedName>
    <definedName name="_16_??" localSheetId="4" hidden="1">{#N/A,#N/A,FALSE,"??";#N/A,#N/A,FALSE,"??2";#N/A,#N/A,FALSE,"??1";#N/A,#N/A,FALSE,"??";#N/A,#N/A,FALSE,"??2";#N/A,#N/A,FALSE,"??1";#N/A,#N/A,FALSE,"??";#N/A,#N/A,FALSE,"??1";#N/A,#N/A,FALSE,"??";#N/A,#N/A,FALSE,"?????";#N/A,#N/A,FALSE,"??"}</definedName>
    <definedName name="_16_??" localSheetId="5" hidden="1">{#N/A,#N/A,FALSE,"??";#N/A,#N/A,FALSE,"??2";#N/A,#N/A,FALSE,"??1";#N/A,#N/A,FALSE,"??";#N/A,#N/A,FALSE,"??2";#N/A,#N/A,FALSE,"??1";#N/A,#N/A,FALSE,"??";#N/A,#N/A,FALSE,"??1";#N/A,#N/A,FALSE,"??";#N/A,#N/A,FALSE,"?????";#N/A,#N/A,FALSE,"??"}</definedName>
    <definedName name="_16_??" localSheetId="11" hidden="1">{#N/A,#N/A,FALSE,"??";#N/A,#N/A,FALSE,"??2";#N/A,#N/A,FALSE,"??1";#N/A,#N/A,FALSE,"??";#N/A,#N/A,FALSE,"??2";#N/A,#N/A,FALSE,"??1";#N/A,#N/A,FALSE,"??";#N/A,#N/A,FALSE,"??1";#N/A,#N/A,FALSE,"??";#N/A,#N/A,FALSE,"?????";#N/A,#N/A,FALSE,"??"}</definedName>
    <definedName name="_16_??" hidden="1">{#N/A,#N/A,FALSE,"??";#N/A,#N/A,FALSE,"??2";#N/A,#N/A,FALSE,"??1";#N/A,#N/A,FALSE,"??";#N/A,#N/A,FALSE,"??2";#N/A,#N/A,FALSE,"??1";#N/A,#N/A,FALSE,"??";#N/A,#N/A,FALSE,"??1";#N/A,#N/A,FALSE,"??";#N/A,#N/A,FALSE,"?????";#N/A,#N/A,FALSE,"??"}</definedName>
    <definedName name="_1685__0_S" localSheetId="4" hidden="1">#REF!</definedName>
    <definedName name="_1685__0_S" localSheetId="5" hidden="1">#REF!</definedName>
    <definedName name="_1685__0_S" localSheetId="11" hidden="1">#REF!</definedName>
    <definedName name="_1685__0_S" hidden="1">#REF!</definedName>
    <definedName name="_18_???" localSheetId="4" hidden="1">{#N/A,#N/A,FALSE,"??????? (5)";#N/A,#N/A,FALSE,"??????? (7)";#N/A,#N/A,FALSE,"??????? (6)";#N/A,#N/A,FALSE,"??????? (2)";#N/A,#N/A,FALSE,"???????";#N/A,#N/A,FALSE,"???????";#N/A,#N/A,FALSE,"???????";#N/A,#N/A,FALSE,"???????";#N/A,#N/A,FALSE,"???????";#N/A,#N/A,FALSE,"????? (2)";#N/A,#N/A,FALSE,"96 ????";#N/A,#N/A,FALSE,"????";#N/A,#N/A,FALSE,"??";#N/A,#N/A,FALSE,"??";#N/A,#N/A,FALSE,"??????"}</definedName>
    <definedName name="_18_???" localSheetId="5" hidden="1">{#N/A,#N/A,FALSE,"??????? (5)";#N/A,#N/A,FALSE,"??????? (7)";#N/A,#N/A,FALSE,"??????? (6)";#N/A,#N/A,FALSE,"??????? (2)";#N/A,#N/A,FALSE,"???????";#N/A,#N/A,FALSE,"???????";#N/A,#N/A,FALSE,"???????";#N/A,#N/A,FALSE,"???????";#N/A,#N/A,FALSE,"???????";#N/A,#N/A,FALSE,"????? (2)";#N/A,#N/A,FALSE,"96 ????";#N/A,#N/A,FALSE,"????";#N/A,#N/A,FALSE,"??";#N/A,#N/A,FALSE,"??";#N/A,#N/A,FALSE,"??????"}</definedName>
    <definedName name="_18_???" localSheetId="11" hidden="1">{#N/A,#N/A,FALSE,"??????? (5)";#N/A,#N/A,FALSE,"??????? (7)";#N/A,#N/A,FALSE,"??????? (6)";#N/A,#N/A,FALSE,"??????? (2)";#N/A,#N/A,FALSE,"???????";#N/A,#N/A,FALSE,"???????";#N/A,#N/A,FALSE,"???????";#N/A,#N/A,FALSE,"???????";#N/A,#N/A,FALSE,"???????";#N/A,#N/A,FALSE,"????? (2)";#N/A,#N/A,FALSE,"96 ????";#N/A,#N/A,FALSE,"????";#N/A,#N/A,FALSE,"??";#N/A,#N/A,FALSE,"??";#N/A,#N/A,FALSE,"??????"}</definedName>
    <definedName name="_18_???" hidden="1">{#N/A,#N/A,FALSE,"??????? (5)";#N/A,#N/A,FALSE,"??????? (7)";#N/A,#N/A,FALSE,"??????? (6)";#N/A,#N/A,FALSE,"??????? (2)";#N/A,#N/A,FALSE,"???????";#N/A,#N/A,FALSE,"???????";#N/A,#N/A,FALSE,"???????";#N/A,#N/A,FALSE,"???????";#N/A,#N/A,FALSE,"???????";#N/A,#N/A,FALSE,"????? (2)";#N/A,#N/A,FALSE,"96 ????";#N/A,#N/A,FALSE,"????";#N/A,#N/A,FALSE,"??";#N/A,#N/A,FALSE,"??";#N/A,#N/A,FALSE,"??????"}</definedName>
    <definedName name="_20" localSheetId="4">#REF!</definedName>
    <definedName name="_20" localSheetId="5">#REF!</definedName>
    <definedName name="_20" localSheetId="11">#REF!</definedName>
    <definedName name="_20">#REF!</definedName>
    <definedName name="_30" localSheetId="4">#REF!</definedName>
    <definedName name="_30" localSheetId="5">#REF!</definedName>
    <definedName name="_30" localSheetId="11">#REF!</definedName>
    <definedName name="_30">#REF!</definedName>
    <definedName name="_35_??" localSheetId="4" hidden="1">{#N/A,#N/A,FALSE,"??";#N/A,#N/A,FALSE,"??2";#N/A,#N/A,FALSE,"??1";#N/A,#N/A,FALSE,"??";#N/A,#N/A,FALSE,"??2";#N/A,#N/A,FALSE,"??1";#N/A,#N/A,FALSE,"??";#N/A,#N/A,FALSE,"??1";#N/A,#N/A,FALSE,"??";#N/A,#N/A,FALSE,"?????";#N/A,#N/A,FALSE,"??"}</definedName>
    <definedName name="_35_??" localSheetId="5" hidden="1">{#N/A,#N/A,FALSE,"??";#N/A,#N/A,FALSE,"??2";#N/A,#N/A,FALSE,"??1";#N/A,#N/A,FALSE,"??";#N/A,#N/A,FALSE,"??2";#N/A,#N/A,FALSE,"??1";#N/A,#N/A,FALSE,"??";#N/A,#N/A,FALSE,"??1";#N/A,#N/A,FALSE,"??";#N/A,#N/A,FALSE,"?????";#N/A,#N/A,FALSE,"??"}</definedName>
    <definedName name="_35_??" localSheetId="11" hidden="1">{#N/A,#N/A,FALSE,"??";#N/A,#N/A,FALSE,"??2";#N/A,#N/A,FALSE,"??1";#N/A,#N/A,FALSE,"??";#N/A,#N/A,FALSE,"??2";#N/A,#N/A,FALSE,"??1";#N/A,#N/A,FALSE,"??";#N/A,#N/A,FALSE,"??1";#N/A,#N/A,FALSE,"??";#N/A,#N/A,FALSE,"?????";#N/A,#N/A,FALSE,"??"}</definedName>
    <definedName name="_35_??" hidden="1">{#N/A,#N/A,FALSE,"??";#N/A,#N/A,FALSE,"??2";#N/A,#N/A,FALSE,"??1";#N/A,#N/A,FALSE,"??";#N/A,#N/A,FALSE,"??2";#N/A,#N/A,FALSE,"??1";#N/A,#N/A,FALSE,"??";#N/A,#N/A,FALSE,"??1";#N/A,#N/A,FALSE,"??";#N/A,#N/A,FALSE,"?????";#N/A,#N/A,FALSE,"??"}</definedName>
    <definedName name="_38_???" localSheetId="4" hidden="1">{#N/A,#N/A,FALSE,"??????? (5)";#N/A,#N/A,FALSE,"??????? (7)";#N/A,#N/A,FALSE,"??????? (6)";#N/A,#N/A,FALSE,"??????? (2)";#N/A,#N/A,FALSE,"???????";#N/A,#N/A,FALSE,"???????";#N/A,#N/A,FALSE,"???????";#N/A,#N/A,FALSE,"???????";#N/A,#N/A,FALSE,"???????";#N/A,#N/A,FALSE,"????? (2)";#N/A,#N/A,FALSE,"96 ????";#N/A,#N/A,FALSE,"????";#N/A,#N/A,FALSE,"??";#N/A,#N/A,FALSE,"??";#N/A,#N/A,FALSE,"??????"}</definedName>
    <definedName name="_38_???" localSheetId="5" hidden="1">{#N/A,#N/A,FALSE,"??????? (5)";#N/A,#N/A,FALSE,"??????? (7)";#N/A,#N/A,FALSE,"??????? (6)";#N/A,#N/A,FALSE,"??????? (2)";#N/A,#N/A,FALSE,"???????";#N/A,#N/A,FALSE,"???????";#N/A,#N/A,FALSE,"???????";#N/A,#N/A,FALSE,"???????";#N/A,#N/A,FALSE,"???????";#N/A,#N/A,FALSE,"????? (2)";#N/A,#N/A,FALSE,"96 ????";#N/A,#N/A,FALSE,"????";#N/A,#N/A,FALSE,"??";#N/A,#N/A,FALSE,"??";#N/A,#N/A,FALSE,"??????"}</definedName>
    <definedName name="_38_???" localSheetId="11" hidden="1">{#N/A,#N/A,FALSE,"??????? (5)";#N/A,#N/A,FALSE,"??????? (7)";#N/A,#N/A,FALSE,"??????? (6)";#N/A,#N/A,FALSE,"??????? (2)";#N/A,#N/A,FALSE,"???????";#N/A,#N/A,FALSE,"???????";#N/A,#N/A,FALSE,"???????";#N/A,#N/A,FALSE,"???????";#N/A,#N/A,FALSE,"???????";#N/A,#N/A,FALSE,"????? (2)";#N/A,#N/A,FALSE,"96 ????";#N/A,#N/A,FALSE,"????";#N/A,#N/A,FALSE,"??";#N/A,#N/A,FALSE,"??";#N/A,#N/A,FALSE,"??????"}</definedName>
    <definedName name="_38_???" hidden="1">{#N/A,#N/A,FALSE,"??????? (5)";#N/A,#N/A,FALSE,"??????? (7)";#N/A,#N/A,FALSE,"??????? (6)";#N/A,#N/A,FALSE,"??????? (2)";#N/A,#N/A,FALSE,"???????";#N/A,#N/A,FALSE,"???????";#N/A,#N/A,FALSE,"???????";#N/A,#N/A,FALSE,"???????";#N/A,#N/A,FALSE,"???????";#N/A,#N/A,FALSE,"????? (2)";#N/A,#N/A,FALSE,"96 ????";#N/A,#N/A,FALSE,"????";#N/A,#N/A,FALSE,"??";#N/A,#N/A,FALSE,"??";#N/A,#N/A,FALSE,"??????"}</definedName>
    <definedName name="_40" localSheetId="4">#REF!</definedName>
    <definedName name="_40" localSheetId="5">#REF!</definedName>
    <definedName name="_40" localSheetId="11">#REF!</definedName>
    <definedName name="_40">#REF!</definedName>
    <definedName name="_40_0실마" localSheetId="4">#REF!</definedName>
    <definedName name="_40_0실마" localSheetId="5">#REF!</definedName>
    <definedName name="_40_0실마" localSheetId="11">#REF!</definedName>
    <definedName name="_40_0실마">#REF!</definedName>
    <definedName name="_440__0_S" localSheetId="4" hidden="1">#REF!</definedName>
    <definedName name="_440__0_S" localSheetId="5" hidden="1">#REF!</definedName>
    <definedName name="_440__0_S" localSheetId="11" hidden="1">#REF!</definedName>
    <definedName name="_440__0_S" hidden="1">#REF!</definedName>
    <definedName name="_457_0_0입" localSheetId="11">#REF!</definedName>
    <definedName name="_457_0_0입">#REF!</definedName>
    <definedName name="_465_0_0차" localSheetId="11">#REF!</definedName>
    <definedName name="_465_0_0차">#REF!</definedName>
    <definedName name="_48_0실적" localSheetId="11">#REF!</definedName>
    <definedName name="_48_0실적">#REF!</definedName>
    <definedName name="_489_0계기" localSheetId="11">#REF!</definedName>
    <definedName name="_489_0계기">#REF!</definedName>
    <definedName name="_497_0계기en" localSheetId="11">#REF!</definedName>
    <definedName name="_497_0계기en">#REF!</definedName>
    <definedName name="_505_0누계기" localSheetId="11">#REF!</definedName>
    <definedName name="_505_0누계기">#REF!</definedName>
    <definedName name="_513_0누계생" localSheetId="11">#REF!</definedName>
    <definedName name="_513_0누계생">#REF!</definedName>
    <definedName name="_521_0누실마" localSheetId="11">#REF!</definedName>
    <definedName name="_521_0누실마">#REF!</definedName>
    <definedName name="_529_0누실적" localSheetId="11">#REF!</definedName>
    <definedName name="_529_0누실적">#REF!</definedName>
    <definedName name="_537_0실기버" localSheetId="11">#REF!</definedName>
    <definedName name="_537_0실기버">#REF!</definedName>
    <definedName name="_545_0실적마" localSheetId="11">#REF!</definedName>
    <definedName name="_545_0실적마">#REF!</definedName>
    <definedName name="_56_????" localSheetId="11">#REF!</definedName>
    <definedName name="_56_????">#REF!</definedName>
    <definedName name="_569ОБЛАСТЬ_ПЕЌАТ" localSheetId="11">#REF!</definedName>
    <definedName name="_569ОБЛАСТЬ_ПЕЌАТ">#REF!</definedName>
    <definedName name="_6260__0_S" localSheetId="11" hidden="1">#REF!</definedName>
    <definedName name="_6260__0_S" hidden="1">#REF!</definedName>
    <definedName name="_73_??" localSheetId="4" hidden="1">{#N/A,#N/A,FALSE,"??";#N/A,#N/A,FALSE,"??2";#N/A,#N/A,FALSE,"??1";#N/A,#N/A,FALSE,"??";#N/A,#N/A,FALSE,"??2";#N/A,#N/A,FALSE,"??1";#N/A,#N/A,FALSE,"??";#N/A,#N/A,FALSE,"??1";#N/A,#N/A,FALSE,"??";#N/A,#N/A,FALSE,"?????";#N/A,#N/A,FALSE,"??"}</definedName>
    <definedName name="_73_??" localSheetId="5" hidden="1">{#N/A,#N/A,FALSE,"??";#N/A,#N/A,FALSE,"??2";#N/A,#N/A,FALSE,"??1";#N/A,#N/A,FALSE,"??";#N/A,#N/A,FALSE,"??2";#N/A,#N/A,FALSE,"??1";#N/A,#N/A,FALSE,"??";#N/A,#N/A,FALSE,"??1";#N/A,#N/A,FALSE,"??";#N/A,#N/A,FALSE,"?????";#N/A,#N/A,FALSE,"??"}</definedName>
    <definedName name="_73_??" localSheetId="11" hidden="1">{#N/A,#N/A,FALSE,"??";#N/A,#N/A,FALSE,"??2";#N/A,#N/A,FALSE,"??1";#N/A,#N/A,FALSE,"??";#N/A,#N/A,FALSE,"??2";#N/A,#N/A,FALSE,"??1";#N/A,#N/A,FALSE,"??";#N/A,#N/A,FALSE,"??1";#N/A,#N/A,FALSE,"??";#N/A,#N/A,FALSE,"?????";#N/A,#N/A,FALSE,"??"}</definedName>
    <definedName name="_73_??" hidden="1">{#N/A,#N/A,FALSE,"??";#N/A,#N/A,FALSE,"??2";#N/A,#N/A,FALSE,"??1";#N/A,#N/A,FALSE,"??";#N/A,#N/A,FALSE,"??2";#N/A,#N/A,FALSE,"??1";#N/A,#N/A,FALSE,"??";#N/A,#N/A,FALSE,"??1";#N/A,#N/A,FALSE,"??";#N/A,#N/A,FALSE,"?????";#N/A,#N/A,FALSE,"??"}</definedName>
    <definedName name="_8_??" localSheetId="4" hidden="1">{#N/A,#N/A,FALSE,"??";#N/A,#N/A,FALSE,"??2";#N/A,#N/A,FALSE,"??1";#N/A,#N/A,FALSE,"??";#N/A,#N/A,FALSE,"??2";#N/A,#N/A,FALSE,"??1";#N/A,#N/A,FALSE,"??";#N/A,#N/A,FALSE,"??1";#N/A,#N/A,FALSE,"??";#N/A,#N/A,FALSE,"?????";#N/A,#N/A,FALSE,"??"}</definedName>
    <definedName name="_8_??" localSheetId="5" hidden="1">{#N/A,#N/A,FALSE,"??";#N/A,#N/A,FALSE,"??2";#N/A,#N/A,FALSE,"??1";#N/A,#N/A,FALSE,"??";#N/A,#N/A,FALSE,"??2";#N/A,#N/A,FALSE,"??1";#N/A,#N/A,FALSE,"??";#N/A,#N/A,FALSE,"??1";#N/A,#N/A,FALSE,"??";#N/A,#N/A,FALSE,"?????";#N/A,#N/A,FALSE,"??"}</definedName>
    <definedName name="_8_??" localSheetId="11" hidden="1">{#N/A,#N/A,FALSE,"??";#N/A,#N/A,FALSE,"??2";#N/A,#N/A,FALSE,"??1";#N/A,#N/A,FALSE,"??";#N/A,#N/A,FALSE,"??2";#N/A,#N/A,FALSE,"??1";#N/A,#N/A,FALSE,"??";#N/A,#N/A,FALSE,"??1";#N/A,#N/A,FALSE,"??";#N/A,#N/A,FALSE,"?????";#N/A,#N/A,FALSE,"??"}</definedName>
    <definedName name="_8_??" hidden="1">{#N/A,#N/A,FALSE,"??";#N/A,#N/A,FALSE,"??2";#N/A,#N/A,FALSE,"??1";#N/A,#N/A,FALSE,"??";#N/A,#N/A,FALSE,"??2";#N/A,#N/A,FALSE,"??1";#N/A,#N/A,FALSE,"??";#N/A,#N/A,FALSE,"??1";#N/A,#N/A,FALSE,"??";#N/A,#N/A,FALSE,"?????";#N/A,#N/A,FALSE,"??"}</definedName>
    <definedName name="_80_???" localSheetId="4" hidden="1">{#N/A,#N/A,FALSE,"??????? (5)";#N/A,#N/A,FALSE,"??????? (7)";#N/A,#N/A,FALSE,"??????? (6)";#N/A,#N/A,FALSE,"??????? (2)";#N/A,#N/A,FALSE,"???????";#N/A,#N/A,FALSE,"???????";#N/A,#N/A,FALSE,"???????";#N/A,#N/A,FALSE,"???????";#N/A,#N/A,FALSE,"???????";#N/A,#N/A,FALSE,"????? (2)";#N/A,#N/A,FALSE,"96 ????";#N/A,#N/A,FALSE,"????";#N/A,#N/A,FALSE,"??";#N/A,#N/A,FALSE,"??";#N/A,#N/A,FALSE,"??????"}</definedName>
    <definedName name="_80_???" localSheetId="5" hidden="1">{#N/A,#N/A,FALSE,"??????? (5)";#N/A,#N/A,FALSE,"??????? (7)";#N/A,#N/A,FALSE,"??????? (6)";#N/A,#N/A,FALSE,"??????? (2)";#N/A,#N/A,FALSE,"???????";#N/A,#N/A,FALSE,"???????";#N/A,#N/A,FALSE,"???????";#N/A,#N/A,FALSE,"???????";#N/A,#N/A,FALSE,"???????";#N/A,#N/A,FALSE,"????? (2)";#N/A,#N/A,FALSE,"96 ????";#N/A,#N/A,FALSE,"????";#N/A,#N/A,FALSE,"??";#N/A,#N/A,FALSE,"??";#N/A,#N/A,FALSE,"??????"}</definedName>
    <definedName name="_80_???" localSheetId="11" hidden="1">{#N/A,#N/A,FALSE,"??????? (5)";#N/A,#N/A,FALSE,"??????? (7)";#N/A,#N/A,FALSE,"??????? (6)";#N/A,#N/A,FALSE,"??????? (2)";#N/A,#N/A,FALSE,"???????";#N/A,#N/A,FALSE,"???????";#N/A,#N/A,FALSE,"???????";#N/A,#N/A,FALSE,"???????";#N/A,#N/A,FALSE,"???????";#N/A,#N/A,FALSE,"????? (2)";#N/A,#N/A,FALSE,"96 ????";#N/A,#N/A,FALSE,"????";#N/A,#N/A,FALSE,"??";#N/A,#N/A,FALSE,"??";#N/A,#N/A,FALSE,"??????"}</definedName>
    <definedName name="_80_???" hidden="1">{#N/A,#N/A,FALSE,"??????? (5)";#N/A,#N/A,FALSE,"??????? (7)";#N/A,#N/A,FALSE,"??????? (6)";#N/A,#N/A,FALSE,"??????? (2)";#N/A,#N/A,FALSE,"???????";#N/A,#N/A,FALSE,"???????";#N/A,#N/A,FALSE,"???????";#N/A,#N/A,FALSE,"???????";#N/A,#N/A,FALSE,"???????";#N/A,#N/A,FALSE,"????? (2)";#N/A,#N/A,FALSE,"96 ????";#N/A,#N/A,FALSE,"????";#N/A,#N/A,FALSE,"??";#N/A,#N/A,FALSE,"??";#N/A,#N/A,FALSE,"??????"}</definedName>
    <definedName name="_89185A78B00" localSheetId="4">#REF!</definedName>
    <definedName name="_89185A78B00" localSheetId="5">#REF!</definedName>
    <definedName name="_89185A78B00" localSheetId="11">#REF!</definedName>
    <definedName name="_89185A78B00">#REF!</definedName>
    <definedName name="_9_??" localSheetId="4" hidden="1">{#N/A,#N/A,FALSE,"??";#N/A,#N/A,FALSE,"??2";#N/A,#N/A,FALSE,"??1";#N/A,#N/A,FALSE,"??";#N/A,#N/A,FALSE,"??2";#N/A,#N/A,FALSE,"??1";#N/A,#N/A,FALSE,"??";#N/A,#N/A,FALSE,"??1";#N/A,#N/A,FALSE,"??";#N/A,#N/A,FALSE,"?????";#N/A,#N/A,FALSE,"??"}</definedName>
    <definedName name="_9_??" localSheetId="5" hidden="1">{#N/A,#N/A,FALSE,"??";#N/A,#N/A,FALSE,"??2";#N/A,#N/A,FALSE,"??1";#N/A,#N/A,FALSE,"??";#N/A,#N/A,FALSE,"??2";#N/A,#N/A,FALSE,"??1";#N/A,#N/A,FALSE,"??";#N/A,#N/A,FALSE,"??1";#N/A,#N/A,FALSE,"??";#N/A,#N/A,FALSE,"?????";#N/A,#N/A,FALSE,"??"}</definedName>
    <definedName name="_9_??" localSheetId="11" hidden="1">{#N/A,#N/A,FALSE,"??";#N/A,#N/A,FALSE,"??2";#N/A,#N/A,FALSE,"??1";#N/A,#N/A,FALSE,"??";#N/A,#N/A,FALSE,"??2";#N/A,#N/A,FALSE,"??1";#N/A,#N/A,FALSE,"??";#N/A,#N/A,FALSE,"??1";#N/A,#N/A,FALSE,"??";#N/A,#N/A,FALSE,"?????";#N/A,#N/A,FALSE,"??"}</definedName>
    <definedName name="_9_??" hidden="1">{#N/A,#N/A,FALSE,"??";#N/A,#N/A,FALSE,"??2";#N/A,#N/A,FALSE,"??1";#N/A,#N/A,FALSE,"??";#N/A,#N/A,FALSE,"??2";#N/A,#N/A,FALSE,"??1";#N/A,#N/A,FALSE,"??";#N/A,#N/A,FALSE,"??1";#N/A,#N/A,FALSE,"??";#N/A,#N/A,FALSE,"?????";#N/A,#N/A,FALSE,"??"}</definedName>
    <definedName name="_9_???" localSheetId="4" hidden="1">{#N/A,#N/A,FALSE,"??????? (5)";#N/A,#N/A,FALSE,"??????? (7)";#N/A,#N/A,FALSE,"??????? (6)";#N/A,#N/A,FALSE,"??????? (2)";#N/A,#N/A,FALSE,"???????";#N/A,#N/A,FALSE,"???????";#N/A,#N/A,FALSE,"???????";#N/A,#N/A,FALSE,"???????";#N/A,#N/A,FALSE,"???????";#N/A,#N/A,FALSE,"????? (2)";#N/A,#N/A,FALSE,"96 ????";#N/A,#N/A,FALSE,"????";#N/A,#N/A,FALSE,"??";#N/A,#N/A,FALSE,"??";#N/A,#N/A,FALSE,"??????"}</definedName>
    <definedName name="_9_???" localSheetId="5" hidden="1">{#N/A,#N/A,FALSE,"??????? (5)";#N/A,#N/A,FALSE,"??????? (7)";#N/A,#N/A,FALSE,"??????? (6)";#N/A,#N/A,FALSE,"??????? (2)";#N/A,#N/A,FALSE,"???????";#N/A,#N/A,FALSE,"???????";#N/A,#N/A,FALSE,"???????";#N/A,#N/A,FALSE,"???????";#N/A,#N/A,FALSE,"???????";#N/A,#N/A,FALSE,"????? (2)";#N/A,#N/A,FALSE,"96 ????";#N/A,#N/A,FALSE,"????";#N/A,#N/A,FALSE,"??";#N/A,#N/A,FALSE,"??";#N/A,#N/A,FALSE,"??????"}</definedName>
    <definedName name="_9_???" localSheetId="11" hidden="1">{#N/A,#N/A,FALSE,"??????? (5)";#N/A,#N/A,FALSE,"??????? (7)";#N/A,#N/A,FALSE,"??????? (6)";#N/A,#N/A,FALSE,"??????? (2)";#N/A,#N/A,FALSE,"???????";#N/A,#N/A,FALSE,"???????";#N/A,#N/A,FALSE,"???????";#N/A,#N/A,FALSE,"???????";#N/A,#N/A,FALSE,"???????";#N/A,#N/A,FALSE,"????? (2)";#N/A,#N/A,FALSE,"96 ????";#N/A,#N/A,FALSE,"????";#N/A,#N/A,FALSE,"??";#N/A,#N/A,FALSE,"??";#N/A,#N/A,FALSE,"??????"}</definedName>
    <definedName name="_9_???" hidden="1">{#N/A,#N/A,FALSE,"??????? (5)";#N/A,#N/A,FALSE,"??????? (7)";#N/A,#N/A,FALSE,"??????? (6)";#N/A,#N/A,FALSE,"??????? (2)";#N/A,#N/A,FALSE,"???????";#N/A,#N/A,FALSE,"???????";#N/A,#N/A,FALSE,"???????";#N/A,#N/A,FALSE,"???????";#N/A,#N/A,FALSE,"???????";#N/A,#N/A,FALSE,"????? (2)";#N/A,#N/A,FALSE,"96 ????";#N/A,#N/A,FALSE,"????";#N/A,#N/A,FALSE,"??";#N/A,#N/A,FALSE,"??";#N/A,#N/A,FALSE,"??????"}</definedName>
    <definedName name="_A1" localSheetId="4" hidden="1">#REF!</definedName>
    <definedName name="_A1" localSheetId="5" hidden="1">#REF!</definedName>
    <definedName name="_A1" localSheetId="11" hidden="1">#REF!</definedName>
    <definedName name="_A1" hidden="1">#REF!</definedName>
    <definedName name="_a12" localSheetId="4" hidden="1">{"'Monthly 1997'!$A$3:$S$89"}</definedName>
    <definedName name="_a12" localSheetId="5" hidden="1">{"'Monthly 1997'!$A$3:$S$89"}</definedName>
    <definedName name="_a12" localSheetId="11" hidden="1">{"'Monthly 1997'!$A$3:$S$89"}</definedName>
    <definedName name="_a12" hidden="1">{"'Monthly 1997'!$A$3:$S$89"}</definedName>
    <definedName name="_a145" localSheetId="11">#REF!</definedName>
    <definedName name="_a145">#REF!</definedName>
    <definedName name="_a146" localSheetId="11">#REF!</definedName>
    <definedName name="_a146">#REF!</definedName>
    <definedName name="_a147" localSheetId="11">#REF!</definedName>
    <definedName name="_a147">#REF!</definedName>
    <definedName name="_A3"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3"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3"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61" localSheetId="4" hidden="1">{#N/A,#N/A,FALSE,"BODY"}</definedName>
    <definedName name="_A61" localSheetId="5" hidden="1">{#N/A,#N/A,FALSE,"BODY"}</definedName>
    <definedName name="_A61" localSheetId="11" hidden="1">{#N/A,#N/A,FALSE,"BODY"}</definedName>
    <definedName name="_A61" hidden="1">{#N/A,#N/A,FALSE,"BODY"}</definedName>
    <definedName name="_A65555" localSheetId="4">#REF!</definedName>
    <definedName name="_A65555" localSheetId="5">#REF!</definedName>
    <definedName name="_A65555" localSheetId="11">#REF!</definedName>
    <definedName name="_A65555">#REF!</definedName>
    <definedName name="_A65655" localSheetId="4">#REF!</definedName>
    <definedName name="_A65655" localSheetId="5">#REF!</definedName>
    <definedName name="_A65655" localSheetId="11">#REF!</definedName>
    <definedName name="_A65655">#REF!</definedName>
    <definedName name="_A999999" localSheetId="4">#REF!</definedName>
    <definedName name="_A999999" localSheetId="5">#REF!</definedName>
    <definedName name="_A999999" localSheetId="11">#REF!</definedName>
    <definedName name="_A999999">#REF!</definedName>
    <definedName name="_ap2">#N/A</definedName>
    <definedName name="_AT1" localSheetId="4" hidden="1">{#N/A,#N/A,FALSE,"인원";#N/A,#N/A,FALSE,"비용2";#N/A,#N/A,FALSE,"비용1";#N/A,#N/A,FALSE,"비용";#N/A,#N/A,FALSE,"보증2";#N/A,#N/A,FALSE,"보증1";#N/A,#N/A,FALSE,"보증";#N/A,#N/A,FALSE,"손익1";#N/A,#N/A,FALSE,"손익";#N/A,#N/A,FALSE,"부서별매출";#N/A,#N/A,FALSE,"매출"}</definedName>
    <definedName name="_AT1" localSheetId="5" hidden="1">{#N/A,#N/A,FALSE,"인원";#N/A,#N/A,FALSE,"비용2";#N/A,#N/A,FALSE,"비용1";#N/A,#N/A,FALSE,"비용";#N/A,#N/A,FALSE,"보증2";#N/A,#N/A,FALSE,"보증1";#N/A,#N/A,FALSE,"보증";#N/A,#N/A,FALSE,"손익1";#N/A,#N/A,FALSE,"손익";#N/A,#N/A,FALSE,"부서별매출";#N/A,#N/A,FALSE,"매출"}</definedName>
    <definedName name="_AT1" localSheetId="11" hidden="1">{#N/A,#N/A,FALSE,"인원";#N/A,#N/A,FALSE,"비용2";#N/A,#N/A,FALSE,"비용1";#N/A,#N/A,FALSE,"비용";#N/A,#N/A,FALSE,"보증2";#N/A,#N/A,FALSE,"보증1";#N/A,#N/A,FALSE,"보증";#N/A,#N/A,FALSE,"손익1";#N/A,#N/A,FALSE,"손익";#N/A,#N/A,FALSE,"부서별매출";#N/A,#N/A,FALSE,"매출"}</definedName>
    <definedName name="_AT1" hidden="1">{#N/A,#N/A,FALSE,"인원";#N/A,#N/A,FALSE,"비용2";#N/A,#N/A,FALSE,"비용1";#N/A,#N/A,FALSE,"비용";#N/A,#N/A,FALSE,"보증2";#N/A,#N/A,FALSE,"보증1";#N/A,#N/A,FALSE,"보증";#N/A,#N/A,FALSE,"손익1";#N/A,#N/A,FALSE,"손익";#N/A,#N/A,FALSE,"부서별매출";#N/A,#N/A,FALSE,"매출"}</definedName>
    <definedName name="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2"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3" localSheetId="4" hidden="1">{#N/A,#N/A,FALSE,"인원";#N/A,#N/A,FALSE,"비용2";#N/A,#N/A,FALSE,"비용1";#N/A,#N/A,FALSE,"비용";#N/A,#N/A,FALSE,"보증2";#N/A,#N/A,FALSE,"보증1";#N/A,#N/A,FALSE,"보증";#N/A,#N/A,FALSE,"손익1";#N/A,#N/A,FALSE,"손익";#N/A,#N/A,FALSE,"부서별매출";#N/A,#N/A,FALSE,"매출"}</definedName>
    <definedName name="_AT3" localSheetId="5" hidden="1">{#N/A,#N/A,FALSE,"인원";#N/A,#N/A,FALSE,"비용2";#N/A,#N/A,FALSE,"비용1";#N/A,#N/A,FALSE,"비용";#N/A,#N/A,FALSE,"보증2";#N/A,#N/A,FALSE,"보증1";#N/A,#N/A,FALSE,"보증";#N/A,#N/A,FALSE,"손익1";#N/A,#N/A,FALSE,"손익";#N/A,#N/A,FALSE,"부서별매출";#N/A,#N/A,FALSE,"매출"}</definedName>
    <definedName name="_AT3" localSheetId="11" hidden="1">{#N/A,#N/A,FALSE,"인원";#N/A,#N/A,FALSE,"비용2";#N/A,#N/A,FALSE,"비용1";#N/A,#N/A,FALSE,"비용";#N/A,#N/A,FALSE,"보증2";#N/A,#N/A,FALSE,"보증1";#N/A,#N/A,FALSE,"보증";#N/A,#N/A,FALSE,"손익1";#N/A,#N/A,FALSE,"손익";#N/A,#N/A,FALSE,"부서별매출";#N/A,#N/A,FALSE,"매출"}</definedName>
    <definedName name="_AT3" hidden="1">{#N/A,#N/A,FALSE,"인원";#N/A,#N/A,FALSE,"비용2";#N/A,#N/A,FALSE,"비용1";#N/A,#N/A,FALSE,"비용";#N/A,#N/A,FALSE,"보증2";#N/A,#N/A,FALSE,"보증1";#N/A,#N/A,FALSE,"보증";#N/A,#N/A,FALSE,"손익1";#N/A,#N/A,FALSE,"손익";#N/A,#N/A,FALSE,"부서별매출";#N/A,#N/A,FALSE,"매출"}</definedName>
    <definedName name="_aZ" localSheetId="3">[0]!_a1Z,[0]!_a2Z</definedName>
    <definedName name="_aZ" localSheetId="4">[0]!_a1Z,[0]!_a2Z</definedName>
    <definedName name="_aZ" localSheetId="5">[0]!_a1Z,[0]!_a2Z</definedName>
    <definedName name="_aZ" localSheetId="11">[0]!_a1Z,[0]!_a2Z</definedName>
    <definedName name="_aZ">[0]!_a1Z,[0]!_a2Z</definedName>
    <definedName name="_B100000" localSheetId="4">#REF!</definedName>
    <definedName name="_B100000" localSheetId="5">#REF!</definedName>
    <definedName name="_B100000" localSheetId="11">#REF!</definedName>
    <definedName name="_B100000">#REF!</definedName>
    <definedName name="_B699999">#N/A</definedName>
    <definedName name="_B80000" localSheetId="4">#REF!</definedName>
    <definedName name="_B80000" localSheetId="5">#REF!</definedName>
    <definedName name="_B80000" localSheetId="11">#REF!</definedName>
    <definedName name="_B80000">#REF!</definedName>
    <definedName name="_B99999" localSheetId="4">#REF!</definedName>
    <definedName name="_B99999" localSheetId="5">#REF!</definedName>
    <definedName name="_B99999" localSheetId="11">#REF!</definedName>
    <definedName name="_B99999">#REF!</definedName>
    <definedName name="_C65537" localSheetId="4">#REF!</definedName>
    <definedName name="_C65537" localSheetId="5">#REF!</definedName>
    <definedName name="_C65537" localSheetId="11">#REF!</definedName>
    <definedName name="_C65537">#REF!</definedName>
    <definedName name="_CCH1"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CCH1"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CCH1"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CCH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CCH2"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CCH2"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CCH2"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CCH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CT5" localSheetId="4">#REF!</definedName>
    <definedName name="_CT5" localSheetId="5">#REF!</definedName>
    <definedName name="_CT5" localSheetId="11">#REF!</definedName>
    <definedName name="_CT5">#REF!</definedName>
    <definedName name="_day3" localSheetId="4">#REF!</definedName>
    <definedName name="_day3" localSheetId="5">#REF!</definedName>
    <definedName name="_day3" localSheetId="11">#REF!</definedName>
    <definedName name="_day3">#REF!</definedName>
    <definedName name="_day4" localSheetId="4">#REF!</definedName>
    <definedName name="_day4" localSheetId="5">#REF!</definedName>
    <definedName name="_day4" localSheetId="11">#REF!</definedName>
    <definedName name="_day4">#REF!</definedName>
    <definedName name="_DD2"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DD2"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DD2"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Dist_Bin" localSheetId="4" hidden="1">#REF!</definedName>
    <definedName name="_Dist_Bin" localSheetId="5" hidden="1">#REF!</definedName>
    <definedName name="_Dist_Bin" localSheetId="11" hidden="1">#REF!</definedName>
    <definedName name="_Dist_Bin" hidden="1">#REF!</definedName>
    <definedName name="_Dist_Values" localSheetId="4" hidden="1">#REF!</definedName>
    <definedName name="_Dist_Values" localSheetId="5" hidden="1">#REF!</definedName>
    <definedName name="_Dist_Values" localSheetId="11" hidden="1">#REF!</definedName>
    <definedName name="_Dist_Values" hidden="1">#REF!</definedName>
    <definedName name="_Fill" localSheetId="4" hidden="1">#REF!</definedName>
    <definedName name="_Fill" localSheetId="5" hidden="1">#REF!</definedName>
    <definedName name="_Fill" localSheetId="11" hidden="1">#REF!</definedName>
    <definedName name="_Fill" hidden="1">#REF!</definedName>
    <definedName name="_INT2" localSheetId="4" hidden="1">{#N/A,#N/A,TRUE,"일정"}</definedName>
    <definedName name="_INT2" localSheetId="5" hidden="1">{#N/A,#N/A,TRUE,"일정"}</definedName>
    <definedName name="_INT2" localSheetId="11" hidden="1">{#N/A,#N/A,TRUE,"일정"}</definedName>
    <definedName name="_INT2" hidden="1">{#N/A,#N/A,TRUE,"일정"}</definedName>
    <definedName name="_J200" localSheetId="4" hidden="1">{#N/A,#N/A,FALSE,"인원";#N/A,#N/A,FALSE,"비용2";#N/A,#N/A,FALSE,"비용1";#N/A,#N/A,FALSE,"비용";#N/A,#N/A,FALSE,"보증2";#N/A,#N/A,FALSE,"보증1";#N/A,#N/A,FALSE,"보증";#N/A,#N/A,FALSE,"손익1";#N/A,#N/A,FALSE,"손익";#N/A,#N/A,FALSE,"부서별매출";#N/A,#N/A,FALSE,"매출"}</definedName>
    <definedName name="_J200" localSheetId="5" hidden="1">{#N/A,#N/A,FALSE,"인원";#N/A,#N/A,FALSE,"비용2";#N/A,#N/A,FALSE,"비용1";#N/A,#N/A,FALSE,"비용";#N/A,#N/A,FALSE,"보증2";#N/A,#N/A,FALSE,"보증1";#N/A,#N/A,FALSE,"보증";#N/A,#N/A,FALSE,"손익1";#N/A,#N/A,FALSE,"손익";#N/A,#N/A,FALSE,"부서별매출";#N/A,#N/A,FALSE,"매출"}</definedName>
    <definedName name="_J200" localSheetId="11" hidden="1">{#N/A,#N/A,FALSE,"인원";#N/A,#N/A,FALSE,"비용2";#N/A,#N/A,FALSE,"비용1";#N/A,#N/A,FALSE,"비용";#N/A,#N/A,FALSE,"보증2";#N/A,#N/A,FALSE,"보증1";#N/A,#N/A,FALSE,"보증";#N/A,#N/A,FALSE,"손익1";#N/A,#N/A,FALSE,"손익";#N/A,#N/A,FALSE,"부서별매출";#N/A,#N/A,FALSE,"매출"}</definedName>
    <definedName name="_J200" hidden="1">{#N/A,#N/A,FALSE,"인원";#N/A,#N/A,FALSE,"비용2";#N/A,#N/A,FALSE,"비용1";#N/A,#N/A,FALSE,"비용";#N/A,#N/A,FALSE,"보증2";#N/A,#N/A,FALSE,"보증1";#N/A,#N/A,FALSE,"보증";#N/A,#N/A,FALSE,"손익1";#N/A,#N/A,FALSE,"손익";#N/A,#N/A,FALSE,"부서별매출";#N/A,#N/A,FALSE,"매출"}</definedName>
    <definedName name="_JAP97" localSheetId="4">#REF!</definedName>
    <definedName name="_JAP97" localSheetId="5">#REF!</definedName>
    <definedName name="_JAP97" localSheetId="11">#REF!</definedName>
    <definedName name="_JAP97">#REF!</definedName>
    <definedName name="_JAP98" localSheetId="4">#REF!</definedName>
    <definedName name="_JAP98" localSheetId="5">#REF!</definedName>
    <definedName name="_JAP98" localSheetId="11">#REF!</definedName>
    <definedName name="_JAP98">#REF!</definedName>
    <definedName name="_k1" localSheetId="4">#REF!</definedName>
    <definedName name="_k1" localSheetId="5">#REF!</definedName>
    <definedName name="_k1" localSheetId="11">#REF!</definedName>
    <definedName name="_k1">#REF!</definedName>
    <definedName name="_Key1" localSheetId="11" hidden="1">#REF!</definedName>
    <definedName name="_Key1" hidden="1">#REF!</definedName>
    <definedName name="_Key2" localSheetId="11" hidden="1">#REF!</definedName>
    <definedName name="_Key2" hidden="1">#REF!</definedName>
    <definedName name="_KOR97" localSheetId="11">#REF!</definedName>
    <definedName name="_KOR97">#REF!</definedName>
    <definedName name="_KOR98" localSheetId="11">#REF!</definedName>
    <definedName name="_KOR98">#REF!</definedName>
    <definedName name="_MatInverse_In" localSheetId="11" hidden="1">#REF!</definedName>
    <definedName name="_MatInverse_In" hidden="1">#REF!</definedName>
    <definedName name="_MatInverse_Out" localSheetId="11" hidden="1">#REF!</definedName>
    <definedName name="_MatInverse_Out" hidden="1">#REF!</definedName>
    <definedName name="_NEW2"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NEW2"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NEW2"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NEW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NFT1" localSheetId="4">#REF!,#REF!,#REF!,#REF!</definedName>
    <definedName name="_NFT1" localSheetId="5">#REF!,#REF!,#REF!,#REF!</definedName>
    <definedName name="_NFT1" localSheetId="11">#REF!,#REF!,#REF!,#REF!</definedName>
    <definedName name="_NFT1">#REF!,#REF!,#REF!,#REF!</definedName>
    <definedName name="_Order1" hidden="1">255</definedName>
    <definedName name="_Order2" hidden="1">0</definedName>
    <definedName name="_Parse_Out" localSheetId="4" hidden="1">#REF!</definedName>
    <definedName name="_Parse_Out" localSheetId="5" hidden="1">#REF!</definedName>
    <definedName name="_Parse_Out" localSheetId="11" hidden="1">#REF!</definedName>
    <definedName name="_Parse_Out" hidden="1">#REF!</definedName>
    <definedName name="_Per2" localSheetId="4">#REF!</definedName>
    <definedName name="_Per2" localSheetId="5">#REF!</definedName>
    <definedName name="_Per2" localSheetId="11">#REF!</definedName>
    <definedName name="_Per2">#REF!</definedName>
    <definedName name="_RR2" localSheetId="4" hidden="1">{#N/A,#N/A,FALSE,"단축1";#N/A,#N/A,FALSE,"단축2";#N/A,#N/A,FALSE,"단축3";#N/A,#N/A,FALSE,"장축";#N/A,#N/A,FALSE,"4WD"}</definedName>
    <definedName name="_RR2" localSheetId="5" hidden="1">{#N/A,#N/A,FALSE,"단축1";#N/A,#N/A,FALSE,"단축2";#N/A,#N/A,FALSE,"단축3";#N/A,#N/A,FALSE,"장축";#N/A,#N/A,FALSE,"4WD"}</definedName>
    <definedName name="_RR2" localSheetId="11" hidden="1">{#N/A,#N/A,FALSE,"단축1";#N/A,#N/A,FALSE,"단축2";#N/A,#N/A,FALSE,"단축3";#N/A,#N/A,FALSE,"장축";#N/A,#N/A,FALSE,"4WD"}</definedName>
    <definedName name="_RR2" hidden="1">{#N/A,#N/A,FALSE,"단축1";#N/A,#N/A,FALSE,"단축2";#N/A,#N/A,FALSE,"단축3";#N/A,#N/A,FALSE,"장축";#N/A,#N/A,FALSE,"4WD"}</definedName>
    <definedName name="_Sort" localSheetId="4" hidden="1">#REF!</definedName>
    <definedName name="_Sort" localSheetId="5" hidden="1">#REF!</definedName>
    <definedName name="_Sort" localSheetId="11" hidden="1">#REF!</definedName>
    <definedName name="_Sort" hidden="1">#REF!</definedName>
    <definedName name="_SPO1">#N/A</definedName>
    <definedName name="_SPO2">#N/A</definedName>
    <definedName name="_SS2"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SS2"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SS2"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200"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200"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200"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2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ir1" localSheetId="4" hidden="1">{#N/A,#N/A,TRUE,"일정"}</definedName>
    <definedName name="_Tir1" localSheetId="5" hidden="1">{#N/A,#N/A,TRUE,"일정"}</definedName>
    <definedName name="_Tir1" localSheetId="11" hidden="1">{#N/A,#N/A,TRUE,"일정"}</definedName>
    <definedName name="_Tir1" hidden="1">{#N/A,#N/A,TRUE,"일정"}</definedName>
    <definedName name="_Tit1" localSheetId="4">#REF!</definedName>
    <definedName name="_Tit1" localSheetId="5">#REF!</definedName>
    <definedName name="_Tit1" localSheetId="11">#REF!</definedName>
    <definedName name="_Tit1">#REF!</definedName>
    <definedName name="_Tit2" localSheetId="4">#REF!</definedName>
    <definedName name="_Tit2" localSheetId="5">#REF!</definedName>
    <definedName name="_Tit2" localSheetId="11">#REF!</definedName>
    <definedName name="_Tit2">#REF!</definedName>
    <definedName name="_Tit3" localSheetId="4">#REF!</definedName>
    <definedName name="_Tit3" localSheetId="5">#REF!</definedName>
    <definedName name="_Tit3" localSheetId="11">#REF!</definedName>
    <definedName name="_Tit3">#REF!</definedName>
    <definedName name="_Tit4" localSheetId="11">#REF!</definedName>
    <definedName name="_Tit4">#REF!</definedName>
    <definedName name="_top1" localSheetId="4">{30,140,350,160,"",""}</definedName>
    <definedName name="_top1" localSheetId="5">{30,140,350,160,"",""}</definedName>
    <definedName name="_top1" localSheetId="11">{30,140,350,160,"",""}</definedName>
    <definedName name="_top1">{30,140,350,160,"",""}</definedName>
    <definedName name="_top100"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op100"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op100"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t1" localSheetId="4" hidden="1">{#N/A,#N/A,TRUE,"일정"}</definedName>
    <definedName name="_tt1" localSheetId="5" hidden="1">{#N/A,#N/A,TRUE,"일정"}</definedName>
    <definedName name="_tt1" localSheetId="11" hidden="1">{#N/A,#N/A,TRUE,"일정"}</definedName>
    <definedName name="_tt1" hidden="1">{#N/A,#N/A,TRUE,"일정"}</definedName>
    <definedName name="_tt195" localSheetId="4">#REF!</definedName>
    <definedName name="_tt195" localSheetId="5">#REF!</definedName>
    <definedName name="_tt195" localSheetId="11">#REF!</definedName>
    <definedName name="_tt195">#REF!</definedName>
    <definedName name="_TTT1" localSheetId="4">#REF!</definedName>
    <definedName name="_TTT1" localSheetId="5">#REF!</definedName>
    <definedName name="_TTT1" localSheetId="11">#REF!</definedName>
    <definedName name="_TTT1">#REF!</definedName>
    <definedName name="_V210"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V210"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V210"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А2" localSheetId="4" hidden="1">#REF!</definedName>
    <definedName name="_А2" localSheetId="5" hidden="1">#REF!</definedName>
    <definedName name="_А2" localSheetId="11" hidden="1">#REF!</definedName>
    <definedName name="_А2" hidden="1">#REF!</definedName>
    <definedName name="_xlnm._FilterDatabase" localSheetId="4" hidden="1">#REF!</definedName>
    <definedName name="_xlnm._FilterDatabase" localSheetId="5" hidden="1">#REF!</definedName>
    <definedName name="_xlnm._FilterDatabase" localSheetId="11" hidden="1">#REF!</definedName>
    <definedName name="_xlnm._FilterDatabase" hidden="1">#REF!</definedName>
    <definedName name="a123456789" localSheetId="4">#REF!</definedName>
    <definedName name="a123456789" localSheetId="5">#REF!</definedName>
    <definedName name="a123456789" localSheetId="11">#REF!</definedName>
    <definedName name="a123456789">#REF!</definedName>
    <definedName name="a123457689" localSheetId="11">#REF!</definedName>
    <definedName name="a123457689">#REF!</definedName>
    <definedName name="A6000000" localSheetId="11">#REF!</definedName>
    <definedName name="A6000000">#REF!</definedName>
    <definedName name="aa" localSheetId="3">[0]!_a1Z,[0]!_a2Z</definedName>
    <definedName name="aa" localSheetId="4">[0]!_a1Z,[0]!_a2Z</definedName>
    <definedName name="aa" localSheetId="5">[0]!_a1Z,[0]!_a2Z</definedName>
    <definedName name="aa" localSheetId="11">[0]!_a1Z,[0]!_a2Z</definedName>
    <definedName name="aa">[0]!_a1Z,[0]!_a2Z</definedName>
    <definedName name="aaa" localSheetId="4">#REF!</definedName>
    <definedName name="aaa" localSheetId="5">#REF!</definedName>
    <definedName name="aaa" localSheetId="11">#REF!</definedName>
    <definedName name="aaa">#REF!</definedName>
    <definedName name="aaaa"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 localSheetId="4" hidden="1">{#VALUE!,#N/A,TRUE,0}</definedName>
    <definedName name="aaaaa" localSheetId="5" hidden="1">{#VALUE!,#N/A,TRUE,0}</definedName>
    <definedName name="aaaaa" localSheetId="11" hidden="1">{#VALUE!,#N/A,TRUE,0}</definedName>
    <definedName name="aaaaa" hidden="1">{#VALUE!,#N/A,TRUE,0}</definedName>
    <definedName name="AAAAAAA"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AAAAAA"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AAAAAA"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AAAAA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aaaaaaaaa" localSheetId="4" hidden="1">{#N/A,#N/A,TRUE,"이사님";#N/A,#N/A,TRUE,"이사님"}</definedName>
    <definedName name="aaaaaaaaaa" localSheetId="5" hidden="1">{#N/A,#N/A,TRUE,"이사님";#N/A,#N/A,TRUE,"이사님"}</definedName>
    <definedName name="aaaaaaaaaa" localSheetId="11" hidden="1">{#N/A,#N/A,TRUE,"이사님";#N/A,#N/A,TRUE,"이사님"}</definedName>
    <definedName name="aaaaaaaaaa" hidden="1">{#N/A,#N/A,TRUE,"이사님";#N/A,#N/A,TRUE,"이사님"}</definedName>
    <definedName name="AAAAAAAASS"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SS"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SS"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S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sasf"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sasf"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sasf"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sas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B" localSheetId="4">#REF!</definedName>
    <definedName name="AAB" localSheetId="5">#REF!</definedName>
    <definedName name="AAB" localSheetId="11">#REF!</definedName>
    <definedName name="AAB">#REF!</definedName>
    <definedName name="ABC" localSheetId="4">#REF!</definedName>
    <definedName name="ABC" localSheetId="5">#REF!</definedName>
    <definedName name="ABC" localSheetId="11">#REF!</definedName>
    <definedName name="ABC">#REF!</definedName>
    <definedName name="ACC" localSheetId="4">#REF!</definedName>
    <definedName name="ACC" localSheetId="5">#REF!</definedName>
    <definedName name="ACC" localSheetId="11">#REF!</definedName>
    <definedName name="ACC">#REF!</definedName>
    <definedName name="Access_Button" hidden="1">"Kaspl_5_ПЛАН_4_Таблица1"</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"C:\Documents and Settings\schoolfund1\Рабочий стол\жаха\прогноз доходов 2005 помесяц..mdb"</definedName>
    <definedName name="Account_Balance" localSheetId="4">#REF!</definedName>
    <definedName name="Account_Balance" localSheetId="5">#REF!</definedName>
    <definedName name="Account_Balance" localSheetId="11">#REF!</definedName>
    <definedName name="Account_Balance">#REF!</definedName>
    <definedName name="ACCTID">#N/A</definedName>
    <definedName name="ACNT">#N/A</definedName>
    <definedName name="ACON" localSheetId="4" hidden="1">{#N/A,#N/A,TRUE,"일정"}</definedName>
    <definedName name="ACON" localSheetId="5" hidden="1">{#N/A,#N/A,TRUE,"일정"}</definedName>
    <definedName name="ACON" localSheetId="11" hidden="1">{#N/A,#N/A,TRUE,"일정"}</definedName>
    <definedName name="ACON" hidden="1">{#N/A,#N/A,TRUE,"일정"}</definedName>
    <definedName name="ACR4차"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CR4차"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CR4차"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CR4차"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d" localSheetId="4">{30,140,350,160,"",""}</definedName>
    <definedName name="ad" localSheetId="5">{30,140,350,160,"",""}</definedName>
    <definedName name="ad" localSheetId="11">{30,140,350,160,"",""}</definedName>
    <definedName name="ad">{30,140,350,160,"",""}</definedName>
    <definedName name="AE1148677" localSheetId="4">#REF!</definedName>
    <definedName name="AE1148677" localSheetId="5">#REF!</definedName>
    <definedName name="AE1148677" localSheetId="11">#REF!</definedName>
    <definedName name="AE1148677">#REF!</definedName>
    <definedName name="af" localSheetId="4" hidden="1">{#N/A,#N/A,FALSE,"BODY"}</definedName>
    <definedName name="af" localSheetId="5" hidden="1">{#N/A,#N/A,FALSE,"BODY"}</definedName>
    <definedName name="af" localSheetId="11" hidden="1">{#N/A,#N/A,FALSE,"BODY"}</definedName>
    <definedName name="af" hidden="1">{#N/A,#N/A,FALSE,"BODY"}</definedName>
    <definedName name="ag" localSheetId="4">#REF!</definedName>
    <definedName name="ag" localSheetId="5">#REF!</definedName>
    <definedName name="ag" localSheetId="11">#REF!</definedName>
    <definedName name="ag">#REF!</definedName>
    <definedName name="ah" localSheetId="4">{30,140,350,160,"",""}</definedName>
    <definedName name="ah" localSheetId="5">{30,140,350,160,"",""}</definedName>
    <definedName name="ah" localSheetId="11">{30,140,350,160,"",""}</definedName>
    <definedName name="ah">{30,140,350,160,"",""}</definedName>
    <definedName name="aj" localSheetId="4">{30,140,350,160,"",""}</definedName>
    <definedName name="aj" localSheetId="5">{30,140,350,160,"",""}</definedName>
    <definedName name="aj" localSheetId="11">{30,140,350,160,"",""}</definedName>
    <definedName name="aj">{30,140,350,160,"",""}</definedName>
    <definedName name="ak" localSheetId="4">{30,140,350,160,"",""}</definedName>
    <definedName name="ak" localSheetId="5">{30,140,350,160,"",""}</definedName>
    <definedName name="ak" localSheetId="11">{30,140,350,160,"",""}</definedName>
    <definedName name="ak">{30,140,350,160,"",""}</definedName>
    <definedName name="AKNO">#N/A</definedName>
    <definedName name="ALL" localSheetId="4">#REF!</definedName>
    <definedName name="ALL" localSheetId="5">#REF!</definedName>
    <definedName name="ALL" localSheetId="11">#REF!</definedName>
    <definedName name="ALL">#REF!</definedName>
    <definedName name="allll" localSheetId="4">TRUNC((oy-1)/3+1)</definedName>
    <definedName name="allll" localSheetId="5">TRUNC((oy-1)/3+1)</definedName>
    <definedName name="allll" localSheetId="11">TRUNC((oy-1)/3+1)</definedName>
    <definedName name="allll">TRUNC((oy-1)/3+1)</definedName>
    <definedName name="APFJI"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FJI"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FJI"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FJI"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P"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P"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P"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PP"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PP"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PP"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P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PPP"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PPP"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PPP"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PP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q" localSheetId="4">{30,140,350,160,"",""}</definedName>
    <definedName name="aq" localSheetId="5">{30,140,350,160,"",""}</definedName>
    <definedName name="aq" localSheetId="11">{30,140,350,160,"",""}</definedName>
    <definedName name="aq">{30,140,350,160,"",""}</definedName>
    <definedName name="aqz"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qz"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qz"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qz"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rjksdfgjdko" localSheetId="4">#REF!</definedName>
    <definedName name="Arjksdfgjdko" localSheetId="5">#REF!</definedName>
    <definedName name="Arjksdfgjdko" localSheetId="11">#REF!</definedName>
    <definedName name="Arjksdfgjdko">#REF!</definedName>
    <definedName name="AS"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2DocOpenMode" hidden="1">"AS2DocumentEdit"</definedName>
    <definedName name="asd" localSheetId="4">{30,140,350,160,"",""}</definedName>
    <definedName name="asd" localSheetId="5">{30,140,350,160,"",""}</definedName>
    <definedName name="asd" localSheetId="11">{30,140,350,160,"",""}</definedName>
    <definedName name="asd">{30,140,350,160,"",""}</definedName>
    <definedName name="asdasdawedwqd" localSheetId="4">{30,140,350,160,"",""}</definedName>
    <definedName name="asdasdawedwqd" localSheetId="5">{30,140,350,160,"",""}</definedName>
    <definedName name="asdasdawedwqd" localSheetId="11">{30,140,350,160,"",""}</definedName>
    <definedName name="asdasdawedwqd">{30,140,350,160,"",""}</definedName>
    <definedName name="ASDF"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ASF"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ASF"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ASF"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AS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GASG"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GASG"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GASG"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GAS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saf" localSheetId="4"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assaf" localSheetId="5"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assaf" localSheetId="1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assaf"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ASSO"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SO"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SO"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S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생산량"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생산량"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생산량"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생산량"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T" localSheetId="4" hidden="1">{#N/A,#N/A,FALSE,"인원";#N/A,#N/A,FALSE,"비용2";#N/A,#N/A,FALSE,"비용1";#N/A,#N/A,FALSE,"비용";#N/A,#N/A,FALSE,"보증2";#N/A,#N/A,FALSE,"보증1";#N/A,#N/A,FALSE,"보증";#N/A,#N/A,FALSE,"손익1";#N/A,#N/A,FALSE,"손익";#N/A,#N/A,FALSE,"부서별매출";#N/A,#N/A,FALSE,"매출"}</definedName>
    <definedName name="AT" localSheetId="5" hidden="1">{#N/A,#N/A,FALSE,"인원";#N/A,#N/A,FALSE,"비용2";#N/A,#N/A,FALSE,"비용1";#N/A,#N/A,FALSE,"비용";#N/A,#N/A,FALSE,"보증2";#N/A,#N/A,FALSE,"보증1";#N/A,#N/A,FALSE,"보증";#N/A,#N/A,FALSE,"손익1";#N/A,#N/A,FALSE,"손익";#N/A,#N/A,FALSE,"부서별매출";#N/A,#N/A,FALSE,"매출"}</definedName>
    <definedName name="AT" localSheetId="11" hidden="1">{#N/A,#N/A,FALSE,"인원";#N/A,#N/A,FALSE,"비용2";#N/A,#N/A,FALSE,"비용1";#N/A,#N/A,FALSE,"비용";#N/A,#N/A,FALSE,"보증2";#N/A,#N/A,FALSE,"보증1";#N/A,#N/A,FALSE,"보증";#N/A,#N/A,FALSE,"손익1";#N/A,#N/A,FALSE,"손익";#N/A,#N/A,FALSE,"부서별매출";#N/A,#N/A,FALSE,"매출"}</definedName>
    <definedName name="AT" hidden="1">{#N/A,#N/A,FALSE,"인원";#N/A,#N/A,FALSE,"비용2";#N/A,#N/A,FALSE,"비용1";#N/A,#N/A,FALSE,"비용";#N/A,#N/A,FALSE,"보증2";#N/A,#N/A,FALSE,"보증1";#N/A,#N/A,FALSE,"보증";#N/A,#N/A,FALSE,"손익1";#N/A,#N/A,FALSE,"손익";#N/A,#N/A,FALSE,"부서별매출";#N/A,#N/A,FALSE,"매출"}</definedName>
    <definedName name="az" localSheetId="4">{30,140,350,160,"",""}</definedName>
    <definedName name="az" localSheetId="5">{30,140,350,160,"",""}</definedName>
    <definedName name="az" localSheetId="11">{30,140,350,160,"",""}</definedName>
    <definedName name="az">{30,140,350,160,"",""}</definedName>
    <definedName name="b" localSheetId="4" hidden="1">{#N/A,#N/A,FALSE,"BODY"}</definedName>
    <definedName name="b" localSheetId="5" hidden="1">{#N/A,#N/A,FALSE,"BODY"}</definedName>
    <definedName name="b" localSheetId="11" hidden="1">{#N/A,#N/A,FALSE,"BODY"}</definedName>
    <definedName name="b" hidden="1">{#N/A,#N/A,FALSE,"BODY"}</definedName>
    <definedName name="B6999999">#N/A</definedName>
    <definedName name="BAC" localSheetId="4">#REF!</definedName>
    <definedName name="BAC" localSheetId="5">#REF!</definedName>
    <definedName name="BAC" localSheetId="11">#REF!</definedName>
    <definedName name="BAC">#REF!</definedName>
    <definedName name="BACKUP"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ACKUP"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ACKUP"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ACKU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aht" localSheetId="4">#REF!</definedName>
    <definedName name="Baht" localSheetId="5">#REF!</definedName>
    <definedName name="Baht" localSheetId="11">#REF!</definedName>
    <definedName name="Baht">#REF!</definedName>
    <definedName name="BasePrice" localSheetId="4">#REF!</definedName>
    <definedName name="BasePrice" localSheetId="5">#REF!</definedName>
    <definedName name="BasePrice" localSheetId="11">#REF!</definedName>
    <definedName name="BasePrice">#REF!</definedName>
    <definedName name="BBB" localSheetId="4">#REF!</definedName>
    <definedName name="BBB" localSheetId="5">#REF!</definedName>
    <definedName name="BBB" localSheetId="11">#REF!</definedName>
    <definedName name="BBB">#REF!</definedName>
    <definedName name="bd"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d"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d"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eg_Bal" localSheetId="4">#REF!</definedName>
    <definedName name="Beg_Bal" localSheetId="5">#REF!</definedName>
    <definedName name="Beg_Bal" localSheetId="11">#REF!</definedName>
    <definedName name="Beg_Bal">#REF!</definedName>
    <definedName name="BIW"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IW"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IW"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I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LOCK" localSheetId="4">#REF!</definedName>
    <definedName name="BLOCK" localSheetId="5">#REF!</definedName>
    <definedName name="BLOCK" localSheetId="11">#REF!</definedName>
    <definedName name="BLOCK">#REF!</definedName>
    <definedName name="bn" localSheetId="4">{30,140,350,160,"",""}</definedName>
    <definedName name="bn" localSheetId="5">{30,140,350,160,"",""}</definedName>
    <definedName name="bn" localSheetId="11">{30,140,350,160,"",""}</definedName>
    <definedName name="bn">{30,140,350,160,"",""}</definedName>
    <definedName name="BODY"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ODY"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ODY"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OD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OPROD"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OPROD"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OPROD"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OPRO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PU" localSheetId="4">#REF!,#REF!</definedName>
    <definedName name="BPU" localSheetId="5">#REF!,#REF!</definedName>
    <definedName name="BPU" localSheetId="11">#REF!,#REF!</definedName>
    <definedName name="BPU">#REF!,#REF!</definedName>
    <definedName name="BudgetTab" localSheetId="4">#REF!</definedName>
    <definedName name="BudgetTab" localSheetId="5">#REF!</definedName>
    <definedName name="BudgetTab" localSheetId="11">#REF!</definedName>
    <definedName name="BudgetTab">#REF!</definedName>
    <definedName name="Button_4">"прогноз_доходов_2005_помесяц__уд_вес_помесячный_Таблица"</definedName>
    <definedName name="bvc" localSheetId="4">{30,140,350,160,"",""}</definedName>
    <definedName name="bvc" localSheetId="5">{30,140,350,160,"",""}</definedName>
    <definedName name="bvc" localSheetId="11">{30,140,350,160,"",""}</definedName>
    <definedName name="bvc">{30,140,350,160,"",""}</definedName>
    <definedName name="bvhk" localSheetId="4">#REF!,#REF!,#REF!</definedName>
    <definedName name="bvhk" localSheetId="5">#REF!,#REF!,#REF!</definedName>
    <definedName name="bvhk" localSheetId="11">#REF!,#REF!,#REF!</definedName>
    <definedName name="bvhk">#REF!,#REF!,#REF!</definedName>
    <definedName name="BVV"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VV"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VV"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VV"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с37" localSheetId="4">#REF!</definedName>
    <definedName name="Bс37" localSheetId="5">#REF!</definedName>
    <definedName name="Bс37" localSheetId="11">#REF!</definedName>
    <definedName name="Bс37">#REF!</definedName>
    <definedName name="can" localSheetId="4">#REF!</definedName>
    <definedName name="can" localSheetId="5">#REF!</definedName>
    <definedName name="can" localSheetId="11">#REF!</definedName>
    <definedName name="can">#REF!</definedName>
    <definedName name="CAPA" localSheetId="4" hidden="1">{#N/A,#N/A,FALSE,"인원";#N/A,#N/A,FALSE,"비용2";#N/A,#N/A,FALSE,"비용1";#N/A,#N/A,FALSE,"비용";#N/A,#N/A,FALSE,"보증2";#N/A,#N/A,FALSE,"보증1";#N/A,#N/A,FALSE,"보증";#N/A,#N/A,FALSE,"손익1";#N/A,#N/A,FALSE,"손익";#N/A,#N/A,FALSE,"부서별매출";#N/A,#N/A,FALSE,"매출"}</definedName>
    <definedName name="CAPA" localSheetId="5" hidden="1">{#N/A,#N/A,FALSE,"인원";#N/A,#N/A,FALSE,"비용2";#N/A,#N/A,FALSE,"비용1";#N/A,#N/A,FALSE,"비용";#N/A,#N/A,FALSE,"보증2";#N/A,#N/A,FALSE,"보증1";#N/A,#N/A,FALSE,"보증";#N/A,#N/A,FALSE,"손익1";#N/A,#N/A,FALSE,"손익";#N/A,#N/A,FALSE,"부서별매출";#N/A,#N/A,FALSE,"매출"}</definedName>
    <definedName name="CAPA" localSheetId="11" hidden="1">{#N/A,#N/A,FALSE,"인원";#N/A,#N/A,FALSE,"비용2";#N/A,#N/A,FALSE,"비용1";#N/A,#N/A,FALSE,"비용";#N/A,#N/A,FALSE,"보증2";#N/A,#N/A,FALSE,"보증1";#N/A,#N/A,FALSE,"보증";#N/A,#N/A,FALSE,"손익1";#N/A,#N/A,FALSE,"손익";#N/A,#N/A,FALSE,"부서별매출";#N/A,#N/A,FALSE,"매출"}</definedName>
    <definedName name="CAPA" hidden="1">{#N/A,#N/A,FALSE,"인원";#N/A,#N/A,FALSE,"비용2";#N/A,#N/A,FALSE,"비용1";#N/A,#N/A,FALSE,"비용";#N/A,#N/A,FALSE,"보증2";#N/A,#N/A,FALSE,"보증1";#N/A,#N/A,FALSE,"보증";#N/A,#N/A,FALSE,"손익1";#N/A,#N/A,FALSE,"손익";#N/A,#N/A,FALSE,"부서별매출";#N/A,#N/A,FALSE,"매출"}</definedName>
    <definedName name="CAPAX" localSheetId="4" hidden="1">{#N/A,#N/A,FALSE,"인원";#N/A,#N/A,FALSE,"비용2";#N/A,#N/A,FALSE,"비용1";#N/A,#N/A,FALSE,"비용";#N/A,#N/A,FALSE,"보증2";#N/A,#N/A,FALSE,"보증1";#N/A,#N/A,FALSE,"보증";#N/A,#N/A,FALSE,"손익1";#N/A,#N/A,FALSE,"손익";#N/A,#N/A,FALSE,"부서별매출";#N/A,#N/A,FALSE,"매출"}</definedName>
    <definedName name="CAPAX" localSheetId="5" hidden="1">{#N/A,#N/A,FALSE,"인원";#N/A,#N/A,FALSE,"비용2";#N/A,#N/A,FALSE,"비용1";#N/A,#N/A,FALSE,"비용";#N/A,#N/A,FALSE,"보증2";#N/A,#N/A,FALSE,"보증1";#N/A,#N/A,FALSE,"보증";#N/A,#N/A,FALSE,"손익1";#N/A,#N/A,FALSE,"손익";#N/A,#N/A,FALSE,"부서별매출";#N/A,#N/A,FALSE,"매출"}</definedName>
    <definedName name="CAPAX" localSheetId="11" hidden="1">{#N/A,#N/A,FALSE,"인원";#N/A,#N/A,FALSE,"비용2";#N/A,#N/A,FALSE,"비용1";#N/A,#N/A,FALSE,"비용";#N/A,#N/A,FALSE,"보증2";#N/A,#N/A,FALSE,"보증1";#N/A,#N/A,FALSE,"보증";#N/A,#N/A,FALSE,"손익1";#N/A,#N/A,FALSE,"손익";#N/A,#N/A,FALSE,"부서별매출";#N/A,#N/A,FALSE,"매출"}</definedName>
    <definedName name="CAPAX" hidden="1">{#N/A,#N/A,FALSE,"인원";#N/A,#N/A,FALSE,"비용2";#N/A,#N/A,FALSE,"비용1";#N/A,#N/A,FALSE,"비용";#N/A,#N/A,FALSE,"보증2";#N/A,#N/A,FALSE,"보증1";#N/A,#N/A,FALSE,"보증";#N/A,#N/A,FALSE,"손익1";#N/A,#N/A,FALSE,"손익";#N/A,#N/A,FALSE,"부서별매출";#N/A,#N/A,FALSE,"매출"}</definedName>
    <definedName name="CASE2"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ASE2"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ASE2"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ASE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bvx" localSheetId="4">#REF!</definedName>
    <definedName name="cbvx" localSheetId="5">#REF!</definedName>
    <definedName name="cbvx" localSheetId="11">#REF!</definedName>
    <definedName name="cbvx">#REF!</definedName>
    <definedName name="ccc" localSheetId="3">[0]!дел/1000</definedName>
    <definedName name="ccc" localSheetId="4">[0]!дел/1000</definedName>
    <definedName name="ccc" localSheetId="5">[0]!дел/1000</definedName>
    <definedName name="ccc" localSheetId="11">[0]!дел/1000</definedName>
    <definedName name="ccc">[0]!дел/1000</definedName>
    <definedName name="CDE" localSheetId="4" hidden="1">{#N/A,#N/A,TRUE,"일정"}</definedName>
    <definedName name="CDE" localSheetId="5" hidden="1">{#N/A,#N/A,TRUE,"일정"}</definedName>
    <definedName name="CDE" localSheetId="11" hidden="1">{#N/A,#N/A,TRUE,"일정"}</definedName>
    <definedName name="CDE" hidden="1">{#N/A,#N/A,TRUE,"일정"}</definedName>
    <definedName name="cdhbkjbkjnkjnlmmn" localSheetId="4" hidden="1">{#N/A,#N/A,TRUE,"일정"}</definedName>
    <definedName name="cdhbkjbkjnkjnlmmn" localSheetId="5" hidden="1">{#N/A,#N/A,TRUE,"일정"}</definedName>
    <definedName name="cdhbkjbkjnkjnlmmn" localSheetId="11" hidden="1">{#N/A,#N/A,TRUE,"일정"}</definedName>
    <definedName name="cdhbkjbkjnkjnlmmn" hidden="1">{#N/A,#N/A,TRUE,"일정"}</definedName>
    <definedName name="ch" localSheetId="4">TRUNC((oy-1)/3+1)</definedName>
    <definedName name="ch" localSheetId="5">TRUNC((oy-1)/3+1)</definedName>
    <definedName name="ch" localSheetId="11">TRUNC((oy-1)/3+1)</definedName>
    <definedName name="ch">TRUNC((oy-1)/3+1)</definedName>
    <definedName name="cho" localSheetId="4" hidden="1">{"'Monthly 1997'!$A$3:$S$89"}</definedName>
    <definedName name="cho" localSheetId="5" hidden="1">{"'Monthly 1997'!$A$3:$S$89"}</definedName>
    <definedName name="cho" localSheetId="11" hidden="1">{"'Monthly 1997'!$A$3:$S$89"}</definedName>
    <definedName name="cho" hidden="1">{"'Monthly 1997'!$A$3:$S$89"}</definedName>
    <definedName name="cmndBase" localSheetId="11">#REF!</definedName>
    <definedName name="cmndBase">#REF!</definedName>
    <definedName name="cmndDayMonthTo" localSheetId="11">#REF!</definedName>
    <definedName name="cmndDayMonthTo">#REF!</definedName>
    <definedName name="cmndDays" localSheetId="11">#REF!</definedName>
    <definedName name="cmndDays">#REF!</definedName>
    <definedName name="cmndDocNum" localSheetId="11">#REF!</definedName>
    <definedName name="cmndDocNum">#REF!</definedName>
    <definedName name="cmndDocSer" localSheetId="11">#REF!</definedName>
    <definedName name="cmndDocSer">#REF!</definedName>
    <definedName name="cmndFIO" localSheetId="11">#REF!</definedName>
    <definedName name="cmndFIO">#REF!</definedName>
    <definedName name="cmndOrdDay" localSheetId="11">#REF!</definedName>
    <definedName name="cmndOrdDay">#REF!</definedName>
    <definedName name="cmndOrdMonth" localSheetId="11">#REF!</definedName>
    <definedName name="cmndOrdMonth">#REF!</definedName>
    <definedName name="cmndOrdNum" localSheetId="11">#REF!</definedName>
    <definedName name="cmndOrdNum">#REF!</definedName>
    <definedName name="cmndOrdYear" localSheetId="11">#REF!</definedName>
    <definedName name="cmndOrdYear">#REF!</definedName>
    <definedName name="cmndPoint" localSheetId="11">#REF!</definedName>
    <definedName name="cmndPoint">#REF!</definedName>
    <definedName name="cmndPoint1" localSheetId="11">#REF!</definedName>
    <definedName name="cmndPoint1">#REF!</definedName>
    <definedName name="cmndPos" localSheetId="11">#REF!</definedName>
    <definedName name="cmndPos">#REF!</definedName>
    <definedName name="cmndYearTo" localSheetId="11">#REF!</definedName>
    <definedName name="cmndYearTo">#REF!</definedName>
    <definedName name="cntAddition" localSheetId="11">#REF!</definedName>
    <definedName name="cntAddition">#REF!</definedName>
    <definedName name="cntDay" localSheetId="11">#REF!</definedName>
    <definedName name="cntDay">#REF!</definedName>
    <definedName name="cntMonth" localSheetId="11">#REF!</definedName>
    <definedName name="cntMonth">#REF!</definedName>
    <definedName name="cntName" localSheetId="11">#REF!</definedName>
    <definedName name="cntName">#REF!</definedName>
    <definedName name="cntNumber" localSheetId="11">#REF!</definedName>
    <definedName name="cntNumber">#REF!</definedName>
    <definedName name="cntPayer" localSheetId="11">#REF!</definedName>
    <definedName name="cntPayer">#REF!</definedName>
    <definedName name="cntPayer1" localSheetId="11">#REF!</definedName>
    <definedName name="cntPayer1">#REF!</definedName>
    <definedName name="cntPayerAddr1" localSheetId="11">#REF!</definedName>
    <definedName name="cntPayerAddr1">#REF!</definedName>
    <definedName name="cntPayerAddr2" localSheetId="11">#REF!</definedName>
    <definedName name="cntPayerAddr2">#REF!</definedName>
    <definedName name="cntPayerBank1" localSheetId="11">#REF!</definedName>
    <definedName name="cntPayerBank1">#REF!</definedName>
    <definedName name="cntPayerBank2" localSheetId="11">#REF!</definedName>
    <definedName name="cntPayerBank2">#REF!</definedName>
    <definedName name="cntPayerBank3" localSheetId="11">#REF!</definedName>
    <definedName name="cntPayerBank3">#REF!</definedName>
    <definedName name="cntPayerCount" localSheetId="11">#REF!</definedName>
    <definedName name="cntPayerCount">#REF!</definedName>
    <definedName name="cntPayerCountCor" localSheetId="11">#REF!</definedName>
    <definedName name="cntPayerCountCor">#REF!</definedName>
    <definedName name="cntPriceC" localSheetId="11">#REF!</definedName>
    <definedName name="cntPriceC">#REF!</definedName>
    <definedName name="cntPriceR" localSheetId="11">#REF!</definedName>
    <definedName name="cntPriceR">#REF!</definedName>
    <definedName name="cntQnt" localSheetId="11">#REF!</definedName>
    <definedName name="cntQnt">#REF!</definedName>
    <definedName name="CNTR">#N/A</definedName>
    <definedName name="cntSumC" localSheetId="4">#REF!</definedName>
    <definedName name="cntSumC" localSheetId="5">#REF!</definedName>
    <definedName name="cntSumC" localSheetId="11">#REF!</definedName>
    <definedName name="cntSumC">#REF!</definedName>
    <definedName name="cntSumR" localSheetId="4">#REF!</definedName>
    <definedName name="cntSumR" localSheetId="5">#REF!</definedName>
    <definedName name="cntSumR" localSheetId="11">#REF!</definedName>
    <definedName name="cntSumR">#REF!</definedName>
    <definedName name="cntSuppAddr1" localSheetId="4">#REF!</definedName>
    <definedName name="cntSuppAddr1" localSheetId="5">#REF!</definedName>
    <definedName name="cntSuppAddr1" localSheetId="11">#REF!</definedName>
    <definedName name="cntSuppAddr1">#REF!</definedName>
    <definedName name="cntSuppAddr2" localSheetId="11">#REF!</definedName>
    <definedName name="cntSuppAddr2">#REF!</definedName>
    <definedName name="cntSuppBank" localSheetId="11">#REF!</definedName>
    <definedName name="cntSuppBank">#REF!</definedName>
    <definedName name="cntSuppCount" localSheetId="11">#REF!</definedName>
    <definedName name="cntSuppCount">#REF!</definedName>
    <definedName name="cntSuppCountCor" localSheetId="11">#REF!</definedName>
    <definedName name="cntSuppCountCor">#REF!</definedName>
    <definedName name="cntSupplier" localSheetId="11">#REF!</definedName>
    <definedName name="cntSupplier">#REF!</definedName>
    <definedName name="cntSuppMFO1" localSheetId="11">#REF!</definedName>
    <definedName name="cntSuppMFO1">#REF!</definedName>
    <definedName name="cntSuppMFO2" localSheetId="11">#REF!</definedName>
    <definedName name="cntSuppMFO2">#REF!</definedName>
    <definedName name="cntSuppTlf" localSheetId="11">#REF!</definedName>
    <definedName name="cntSuppTlf">#REF!</definedName>
    <definedName name="cntUnit" localSheetId="11">#REF!</definedName>
    <definedName name="cntUnit">#REF!</definedName>
    <definedName name="cntYear" localSheetId="11">#REF!</definedName>
    <definedName name="cntYear">#REF!</definedName>
    <definedName name="CODE" localSheetId="11">#REF!</definedName>
    <definedName name="CODE">#REF!</definedName>
    <definedName name="CONT"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ONT"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ONT"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ON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ONTENT"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ONTENT"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ONTENT"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ONTEN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ONV"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ONV"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ONV"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ONV"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OPROD"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OPROD"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OPROD"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OPRO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OSTCNTR">#N/A</definedName>
    <definedName name="Criteria_MI" localSheetId="4">#REF!</definedName>
    <definedName name="Criteria_MI" localSheetId="5">#REF!</definedName>
    <definedName name="Criteria_MI" localSheetId="11">#REF!</definedName>
    <definedName name="Criteria_MI">#REF!</definedName>
    <definedName name="curday">36934</definedName>
    <definedName name="CURR">#N/A</definedName>
    <definedName name="customs" localSheetId="4">#REF!</definedName>
    <definedName name="customs" localSheetId="5">#REF!</definedName>
    <definedName name="customs" localSheetId="11">#REF!</definedName>
    <definedName name="customs">#REF!</definedName>
    <definedName name="cvb" localSheetId="4">{30,140,350,160,"",""}</definedName>
    <definedName name="cvb" localSheetId="5">{30,140,350,160,"",""}</definedName>
    <definedName name="cvb" localSheetId="11">{30,140,350,160,"",""}</definedName>
    <definedName name="cvb">{30,140,350,160,"",""}</definedName>
    <definedName name="cw" localSheetId="4">#REF!</definedName>
    <definedName name="cw" localSheetId="5">#REF!</definedName>
    <definedName name="cw" localSheetId="11">#REF!</definedName>
    <definedName name="cw">#REF!</definedName>
    <definedName name="cxzczxcasdasd" localSheetId="4" hidden="1">{#N/A,#N/A,TRUE,"일정"}</definedName>
    <definedName name="cxzczxcasdasd" localSheetId="5" hidden="1">{#N/A,#N/A,TRUE,"일정"}</definedName>
    <definedName name="cxzczxcasdasd" localSheetId="11" hidden="1">{#N/A,#N/A,TRUE,"일정"}</definedName>
    <definedName name="cxzczxcasdasd" hidden="1">{#N/A,#N/A,TRUE,"일정"}</definedName>
    <definedName name="cy">2001</definedName>
    <definedName name="d">3</definedName>
    <definedName name="dac" localSheetId="3">[0]!_a1Z,[0]!_a2Z</definedName>
    <definedName name="dac" localSheetId="4">[0]!_a1Z,[0]!_a2Z</definedName>
    <definedName name="dac" localSheetId="5">[0]!_a1Z,[0]!_a2Z</definedName>
    <definedName name="dac" localSheetId="11">[0]!_a1Z,[0]!_a2Z</definedName>
    <definedName name="dac">[0]!_a1Z,[0]!_a2Z</definedName>
    <definedName name="Data" localSheetId="4">#REF!</definedName>
    <definedName name="Data" localSheetId="5">#REF!</definedName>
    <definedName name="Data" localSheetId="11">#REF!</definedName>
    <definedName name="Data">#REF!</definedName>
    <definedName name="Data_VDS" localSheetId="4">#REF!</definedName>
    <definedName name="Data_VDS" localSheetId="5">#REF!</definedName>
    <definedName name="Data_VDS" localSheetId="11">#REF!</definedName>
    <definedName name="Data_VDS">#REF!</definedName>
    <definedName name="DATA1">#N/A</definedName>
    <definedName name="DATA2">#N/A</definedName>
    <definedName name="DATA3" localSheetId="4">#REF!</definedName>
    <definedName name="DATA3" localSheetId="5">#REF!</definedName>
    <definedName name="DATA3" localSheetId="11">#REF!</definedName>
    <definedName name="DATA3">#REF!</definedName>
    <definedName name="DATA4" localSheetId="4">#REF!</definedName>
    <definedName name="DATA4" localSheetId="5">#REF!</definedName>
    <definedName name="DATA4" localSheetId="11">#REF!</definedName>
    <definedName name="DATA4">#REF!</definedName>
    <definedName name="Database_MI" localSheetId="4">#REF!</definedName>
    <definedName name="Database_MI" localSheetId="5">#REF!</definedName>
    <definedName name="Database_MI" localSheetId="11">#REF!</definedName>
    <definedName name="Database_MI">#REF!</definedName>
    <definedName name="DCID">#N/A</definedName>
    <definedName name="dd">#N/A</definedName>
    <definedName name="ddd" localSheetId="4" hidden="1">{#N/A,#N/A,TRUE,"일정"}</definedName>
    <definedName name="ddd" localSheetId="5" hidden="1">{#N/A,#N/A,TRUE,"일정"}</definedName>
    <definedName name="ddd" localSheetId="11" hidden="1">{#N/A,#N/A,TRUE,"일정"}</definedName>
    <definedName name="ddd" hidden="1">{#N/A,#N/A,TRUE,"일정"}</definedName>
    <definedName name="ddddd" localSheetId="4">#REF!</definedName>
    <definedName name="ddddd" localSheetId="5">#REF!</definedName>
    <definedName name="ddddd" localSheetId="11">#REF!</definedName>
    <definedName name="ddddd">#REF!</definedName>
    <definedName name="dddddd" localSheetId="4">TRUNC((oy-1)/3+1)</definedName>
    <definedName name="dddddd" localSheetId="5">TRUNC((oy-1)/3+1)</definedName>
    <definedName name="dddddd" localSheetId="11">TRUNC((oy-1)/3+1)</definedName>
    <definedName name="dddddd">TRUNC((oy-1)/3+1)</definedName>
    <definedName name="ddddddddd"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dddddd"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dddddd"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ddd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DOOO"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DDDOOO"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DDDOOO"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DDDOOO"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DE" localSheetId="4">#REF!</definedName>
    <definedName name="DDE" localSheetId="5">#REF!</definedName>
    <definedName name="DDE" localSheetId="11">#REF!</definedName>
    <definedName name="DDE">#REF!</definedName>
    <definedName name="ddff" localSheetId="4">#REF!</definedName>
    <definedName name="ddff" localSheetId="5">#REF!</definedName>
    <definedName name="ddff" localSheetId="11">#REF!</definedName>
    <definedName name="ddff">#REF!</definedName>
    <definedName name="ddfffff" localSheetId="4">#REF!</definedName>
    <definedName name="ddfffff" localSheetId="5">#REF!</definedName>
    <definedName name="ddfffff" localSheetId="11">#REF!</definedName>
    <definedName name="ddfffff">#REF!</definedName>
    <definedName name="DESCRIP">#N/A</definedName>
    <definedName name="df" localSheetId="4">#REF!</definedName>
    <definedName name="df" localSheetId="5">#REF!</definedName>
    <definedName name="df" localSheetId="11">#REF!</definedName>
    <definedName name="df">#REF!</definedName>
    <definedName name="dfgfghh"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fgfghh"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fgfghh"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fgfghh"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FSFDSFDSAF"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FSFDSFDSAF"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FSFDSFDSAF"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FSFDSFDSA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FT" localSheetId="4">#REF!,#REF!,#REF!,#REF!,#REF!,#REF!,#REF!</definedName>
    <definedName name="DFT" localSheetId="5">#REF!,#REF!,#REF!,#REF!,#REF!,#REF!,#REF!</definedName>
    <definedName name="DFT" localSheetId="11">#REF!,#REF!,#REF!,#REF!,#REF!,#REF!,#REF!</definedName>
    <definedName name="DFT">#REF!,#REF!,#REF!,#REF!,#REF!,#REF!,#REF!</definedName>
    <definedName name="dg" localSheetId="4">#REF!</definedName>
    <definedName name="dg" localSheetId="5">#REF!</definedName>
    <definedName name="dg" localSheetId="11">#REF!</definedName>
    <definedName name="dg">#REF!</definedName>
    <definedName name="Dialog1_Button2_Click">#N/A</definedName>
    <definedName name="diapas" localSheetId="4">#REF!</definedName>
    <definedName name="diapas" localSheetId="5">#REF!</definedName>
    <definedName name="diapas" localSheetId="11">#REF!</definedName>
    <definedName name="diapas">#REF!</definedName>
    <definedName name="Difference" localSheetId="4">#REF!</definedName>
    <definedName name="Difference" localSheetId="5">#REF!</definedName>
    <definedName name="Difference" localSheetId="11">#REF!</definedName>
    <definedName name="Difference">#REF!</definedName>
    <definedName name="Disaggregations" localSheetId="4">#REF!</definedName>
    <definedName name="Disaggregations" localSheetId="5">#REF!</definedName>
    <definedName name="Disaggregations" localSheetId="11">#REF!</definedName>
    <definedName name="Disaggregations">#REF!</definedName>
    <definedName name="DLF" localSheetId="4" hidden="1">{#N/A,#N/A,TRUE,"일정"}</definedName>
    <definedName name="DLF" localSheetId="5" hidden="1">{#N/A,#N/A,TRUE,"일정"}</definedName>
    <definedName name="DLF" localSheetId="11" hidden="1">{#N/A,#N/A,TRUE,"일정"}</definedName>
    <definedName name="DLF" hidden="1">{#N/A,#N/A,TRUE,"일정"}</definedName>
    <definedName name="DNFL"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NFL"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NFL"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NF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OCUNO">#N/A</definedName>
    <definedName name="Dollar" localSheetId="4">#REF!</definedName>
    <definedName name="Dollar" localSheetId="5">#REF!</definedName>
    <definedName name="Dollar" localSheetId="11">#REF!</definedName>
    <definedName name="Dollar">#REF!</definedName>
    <definedName name="DRIVEABILITY" localSheetId="4" hidden="1">{#N/A,#N/A,FALSE,"단축1";#N/A,#N/A,FALSE,"단축2";#N/A,#N/A,FALSE,"단축3";#N/A,#N/A,FALSE,"장축";#N/A,#N/A,FALSE,"4WD"}</definedName>
    <definedName name="DRIVEABILITY" localSheetId="5" hidden="1">{#N/A,#N/A,FALSE,"단축1";#N/A,#N/A,FALSE,"단축2";#N/A,#N/A,FALSE,"단축3";#N/A,#N/A,FALSE,"장축";#N/A,#N/A,FALSE,"4WD"}</definedName>
    <definedName name="DRIVEABILITY" localSheetId="11" hidden="1">{#N/A,#N/A,FALSE,"단축1";#N/A,#N/A,FALSE,"단축2";#N/A,#N/A,FALSE,"단축3";#N/A,#N/A,FALSE,"장축";#N/A,#N/A,FALSE,"4WD"}</definedName>
    <definedName name="DRIVEABILITY" hidden="1">{#N/A,#N/A,FALSE,"단축1";#N/A,#N/A,FALSE,"단축2";#N/A,#N/A,FALSE,"단축3";#N/A,#N/A,FALSE,"장축";#N/A,#N/A,FALSE,"4WD"}</definedName>
    <definedName name="dsc" localSheetId="4" hidden="1">{#N/A,#N/A,FALSE,"인원";#N/A,#N/A,FALSE,"비용2";#N/A,#N/A,FALSE,"비용1";#N/A,#N/A,FALSE,"비용";#N/A,#N/A,FALSE,"보증2";#N/A,#N/A,FALSE,"보증1";#N/A,#N/A,FALSE,"보증";#N/A,#N/A,FALSE,"손익1";#N/A,#N/A,FALSE,"손익";#N/A,#N/A,FALSE,"부서별매출";#N/A,#N/A,FALSE,"매출"}</definedName>
    <definedName name="dsc" localSheetId="5" hidden="1">{#N/A,#N/A,FALSE,"인원";#N/A,#N/A,FALSE,"비용2";#N/A,#N/A,FALSE,"비용1";#N/A,#N/A,FALSE,"비용";#N/A,#N/A,FALSE,"보증2";#N/A,#N/A,FALSE,"보증1";#N/A,#N/A,FALSE,"보증";#N/A,#N/A,FALSE,"손익1";#N/A,#N/A,FALSE,"손익";#N/A,#N/A,FALSE,"부서별매출";#N/A,#N/A,FALSE,"매출"}</definedName>
    <definedName name="dsc" localSheetId="11" hidden="1">{#N/A,#N/A,FALSE,"인원";#N/A,#N/A,FALSE,"비용2";#N/A,#N/A,FALSE,"비용1";#N/A,#N/A,FALSE,"비용";#N/A,#N/A,FALSE,"보증2";#N/A,#N/A,FALSE,"보증1";#N/A,#N/A,FALSE,"보증";#N/A,#N/A,FALSE,"손익1";#N/A,#N/A,FALSE,"손익";#N/A,#N/A,FALSE,"부서별매출";#N/A,#N/A,FALSE,"매출"}</definedName>
    <definedName name="dsc" hidden="1">{#N/A,#N/A,FALSE,"인원";#N/A,#N/A,FALSE,"비용2";#N/A,#N/A,FALSE,"비용1";#N/A,#N/A,FALSE,"비용";#N/A,#N/A,FALSE,"보증2";#N/A,#N/A,FALSE,"보증1";#N/A,#N/A,FALSE,"보증";#N/A,#N/A,FALSE,"손익1";#N/A,#N/A,FALSE,"손익";#N/A,#N/A,FALSE,"부서별매출";#N/A,#N/A,FALSE,"매출"}</definedName>
    <definedName name="dse" localSheetId="4">{30,140,350,160,"",""}</definedName>
    <definedName name="dse" localSheetId="5">{30,140,350,160,"",""}</definedName>
    <definedName name="dse" localSheetId="11">{30,140,350,160,"",""}</definedName>
    <definedName name="dse">{30,140,350,160,"",""}</definedName>
    <definedName name="DSFDFDSFADDDSFSAF"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SFDFDSFADDDSFSAF"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SFDFDSFADDDSFSAF"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SFDFDSFADDDSFSA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U7월Order_J" localSheetId="4">#REF!</definedName>
    <definedName name="DU7월Order_J" localSheetId="5">#REF!</definedName>
    <definedName name="DU7월Order_J" localSheetId="11">#REF!</definedName>
    <definedName name="DU7월Order_J">#REF!</definedName>
    <definedName name="DU7월Order_V" localSheetId="4">#REF!</definedName>
    <definedName name="DU7월Order_V" localSheetId="5">#REF!</definedName>
    <definedName name="DU7월Order_V" localSheetId="11">#REF!</definedName>
    <definedName name="DU7월Order_V">#REF!</definedName>
    <definedName name="DU8월Order_J" localSheetId="4">#REF!</definedName>
    <definedName name="DU8월Order_J" localSheetId="5">#REF!</definedName>
    <definedName name="DU8월Order_J" localSheetId="11">#REF!</definedName>
    <definedName name="DU8월Order_J">#REF!</definedName>
    <definedName name="DU8월Order_V" localSheetId="11">#REF!</definedName>
    <definedName name="DU8월Order_V">#REF!</definedName>
    <definedName name="dvrCustomer" localSheetId="11">#REF!</definedName>
    <definedName name="dvrCustomer">#REF!</definedName>
    <definedName name="dvrDay" localSheetId="11">#REF!</definedName>
    <definedName name="dvrDay">#REF!</definedName>
    <definedName name="dvrDocDay" localSheetId="11">#REF!</definedName>
    <definedName name="dvrDocDay">#REF!</definedName>
    <definedName name="dvrDocIss" localSheetId="11">#REF!</definedName>
    <definedName name="dvrDocIss">#REF!</definedName>
    <definedName name="dvrDocMonth" localSheetId="11">#REF!</definedName>
    <definedName name="dvrDocMonth">#REF!</definedName>
    <definedName name="dvrDocNum" localSheetId="11">#REF!</definedName>
    <definedName name="dvrDocNum">#REF!</definedName>
    <definedName name="dvrDocSer" localSheetId="11">#REF!</definedName>
    <definedName name="dvrDocSer">#REF!</definedName>
    <definedName name="dvrDocYear" localSheetId="11">#REF!</definedName>
    <definedName name="dvrDocYear">#REF!</definedName>
    <definedName name="dvrMonth" localSheetId="11">#REF!</definedName>
    <definedName name="dvrMonth">#REF!</definedName>
    <definedName name="dvrName" localSheetId="11">#REF!</definedName>
    <definedName name="dvrName">#REF!</definedName>
    <definedName name="dvrNo" localSheetId="11">#REF!</definedName>
    <definedName name="dvrNo">#REF!</definedName>
    <definedName name="dvrNumber" localSheetId="11">#REF!</definedName>
    <definedName name="dvrNumber">#REF!</definedName>
    <definedName name="dvrOrder" localSheetId="11">#REF!</definedName>
    <definedName name="dvrOrder">#REF!</definedName>
    <definedName name="dvrPayer" localSheetId="11">#REF!</definedName>
    <definedName name="dvrPayer">#REF!</definedName>
    <definedName name="dvrPayerBank1" localSheetId="11">#REF!</definedName>
    <definedName name="dvrPayerBank1">#REF!</definedName>
    <definedName name="dvrPayerBank2" localSheetId="11">#REF!</definedName>
    <definedName name="dvrPayerBank2">#REF!</definedName>
    <definedName name="dvrPayerCount" localSheetId="11">#REF!</definedName>
    <definedName name="dvrPayerCount">#REF!</definedName>
    <definedName name="dvrQnt" localSheetId="11">#REF!</definedName>
    <definedName name="dvrQnt">#REF!</definedName>
    <definedName name="dvrReceiver" localSheetId="11">#REF!</definedName>
    <definedName name="dvrReceiver">#REF!</definedName>
    <definedName name="dvrSupplier" localSheetId="11">#REF!</definedName>
    <definedName name="dvrSupplier">#REF!</definedName>
    <definedName name="dvrUnit" localSheetId="11">#REF!</definedName>
    <definedName name="dvrUnit">#REF!</definedName>
    <definedName name="dvrValidDay" localSheetId="11">#REF!</definedName>
    <definedName name="dvrValidDay">#REF!</definedName>
    <definedName name="dvrValidMonth" localSheetId="11">#REF!</definedName>
    <definedName name="dvrValidMonth">#REF!</definedName>
    <definedName name="dvrValidYear" localSheetId="11">#REF!</definedName>
    <definedName name="dvrValidYear">#REF!</definedName>
    <definedName name="dvrYear" localSheetId="11">#REF!</definedName>
    <definedName name="dvrYear">#REF!</definedName>
    <definedName name="e" localSheetId="11">#REF!</definedName>
    <definedName name="e">#REF!</definedName>
    <definedName name="EEE"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e"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e"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e"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KLLD" localSheetId="4" hidden="1">{#N/A,#N/A,FALSE,"단축1";#N/A,#N/A,FALSE,"단축2";#N/A,#N/A,FALSE,"단축3";#N/A,#N/A,FALSE,"장축";#N/A,#N/A,FALSE,"4WD"}</definedName>
    <definedName name="EKLLD" localSheetId="5" hidden="1">{#N/A,#N/A,FALSE,"단축1";#N/A,#N/A,FALSE,"단축2";#N/A,#N/A,FALSE,"단축3";#N/A,#N/A,FALSE,"장축";#N/A,#N/A,FALSE,"4WD"}</definedName>
    <definedName name="EKLLD" localSheetId="11" hidden="1">{#N/A,#N/A,FALSE,"단축1";#N/A,#N/A,FALSE,"단축2";#N/A,#N/A,FALSE,"단축3";#N/A,#N/A,FALSE,"장축";#N/A,#N/A,FALSE,"4WD"}</definedName>
    <definedName name="EKLLD" hidden="1">{#N/A,#N/A,FALSE,"단축1";#N/A,#N/A,FALSE,"단축2";#N/A,#N/A,FALSE,"단축3";#N/A,#N/A,FALSE,"장축";#N/A,#N/A,FALSE,"4WD"}</definedName>
    <definedName name="elkAddr1" localSheetId="4">#REF!</definedName>
    <definedName name="elkAddr1" localSheetId="5">#REF!</definedName>
    <definedName name="elkAddr1" localSheetId="11">#REF!</definedName>
    <definedName name="elkAddr1">#REF!</definedName>
    <definedName name="elkAddr2" localSheetId="4">#REF!</definedName>
    <definedName name="elkAddr2" localSheetId="5">#REF!</definedName>
    <definedName name="elkAddr2" localSheetId="11">#REF!</definedName>
    <definedName name="elkAddr2">#REF!</definedName>
    <definedName name="elkCount" localSheetId="4">#REF!</definedName>
    <definedName name="elkCount" localSheetId="5">#REF!</definedName>
    <definedName name="elkCount" localSheetId="11">#REF!</definedName>
    <definedName name="elkCount">#REF!</definedName>
    <definedName name="elkCountFrom" localSheetId="11">#REF!</definedName>
    <definedName name="elkCountFrom">#REF!</definedName>
    <definedName name="elkCountTo" localSheetId="11">#REF!</definedName>
    <definedName name="elkCountTo">#REF!</definedName>
    <definedName name="elkDateFrom" localSheetId="11">#REF!</definedName>
    <definedName name="elkDateFrom">#REF!</definedName>
    <definedName name="elkDateTo" localSheetId="11">#REF!</definedName>
    <definedName name="elkDateTo">#REF!</definedName>
    <definedName name="elkDiscount" localSheetId="11">#REF!</definedName>
    <definedName name="elkDiscount">#REF!</definedName>
    <definedName name="elkKAddr1" localSheetId="11">#REF!</definedName>
    <definedName name="elkKAddr1">#REF!</definedName>
    <definedName name="elkKAddr2" localSheetId="11">#REF!</definedName>
    <definedName name="elkKAddr2">#REF!</definedName>
    <definedName name="elkKCount" localSheetId="11">#REF!</definedName>
    <definedName name="elkKCount">#REF!</definedName>
    <definedName name="elkKCountFrom" localSheetId="11">#REF!</definedName>
    <definedName name="elkKCountFrom">#REF!</definedName>
    <definedName name="elkKCountTo" localSheetId="11">#REF!</definedName>
    <definedName name="elkKCountTo">#REF!</definedName>
    <definedName name="elkKDateFrom" localSheetId="11">#REF!</definedName>
    <definedName name="elkKDateFrom">#REF!</definedName>
    <definedName name="elkKDateTo" localSheetId="11">#REF!</definedName>
    <definedName name="elkKDateTo">#REF!</definedName>
    <definedName name="elkKDiscount" localSheetId="11">#REF!</definedName>
    <definedName name="elkKDiscount">#REF!</definedName>
    <definedName name="elkKNumber" localSheetId="11">#REF!</definedName>
    <definedName name="elkKNumber">#REF!</definedName>
    <definedName name="elkKSumC" localSheetId="11">#REF!</definedName>
    <definedName name="elkKSumC">#REF!</definedName>
    <definedName name="elkKSumR" localSheetId="11">#REF!</definedName>
    <definedName name="elkKSumR">#REF!</definedName>
    <definedName name="elkKTarif" localSheetId="11">#REF!</definedName>
    <definedName name="elkKTarif">#REF!</definedName>
    <definedName name="elkNumber" localSheetId="11">#REF!</definedName>
    <definedName name="elkNumber">#REF!</definedName>
    <definedName name="elkSumC" localSheetId="11">#REF!</definedName>
    <definedName name="elkSumC">#REF!</definedName>
    <definedName name="elkSumR" localSheetId="11">#REF!</definedName>
    <definedName name="elkSumR">#REF!</definedName>
    <definedName name="elkTarif" localSheetId="11">#REF!</definedName>
    <definedName name="elkTarif">#REF!</definedName>
    <definedName name="End_Bal" localSheetId="11">#REF!</definedName>
    <definedName name="End_Bal">#REF!</definedName>
    <definedName name="er" localSheetId="11">#REF!</definedName>
    <definedName name="er">#REF!</definedName>
    <definedName name="EURO97" localSheetId="11">#REF!</definedName>
    <definedName name="EURO97">#REF!</definedName>
    <definedName name="EURO98" localSheetId="11">#REF!</definedName>
    <definedName name="EURO98">#REF!</definedName>
    <definedName name="ew" localSheetId="4">{30,140,350,160,"",""}</definedName>
    <definedName name="ew" localSheetId="5">{30,140,350,160,"",""}</definedName>
    <definedName name="ew" localSheetId="11">{30,140,350,160,"",""}</definedName>
    <definedName name="ew">{30,140,350,160,"",""}</definedName>
    <definedName name="EXHRATE">#N/A</definedName>
    <definedName name="exit" localSheetId="4" hidden="1">{#N/A,#N/A,FALSE,"인원";#N/A,#N/A,FALSE,"비용2";#N/A,#N/A,FALSE,"비용1";#N/A,#N/A,FALSE,"비용";#N/A,#N/A,FALSE,"보증2";#N/A,#N/A,FALSE,"보증1";#N/A,#N/A,FALSE,"보증";#N/A,#N/A,FALSE,"손익1";#N/A,#N/A,FALSE,"손익";#N/A,#N/A,FALSE,"부서별매출";#N/A,#N/A,FALSE,"매출"}</definedName>
    <definedName name="exit" localSheetId="5" hidden="1">{#N/A,#N/A,FALSE,"인원";#N/A,#N/A,FALSE,"비용2";#N/A,#N/A,FALSE,"비용1";#N/A,#N/A,FALSE,"비용";#N/A,#N/A,FALSE,"보증2";#N/A,#N/A,FALSE,"보증1";#N/A,#N/A,FALSE,"보증";#N/A,#N/A,FALSE,"손익1";#N/A,#N/A,FALSE,"손익";#N/A,#N/A,FALSE,"부서별매출";#N/A,#N/A,FALSE,"매출"}</definedName>
    <definedName name="exit" localSheetId="11" hidden="1">{#N/A,#N/A,FALSE,"인원";#N/A,#N/A,FALSE,"비용2";#N/A,#N/A,FALSE,"비용1";#N/A,#N/A,FALSE,"비용";#N/A,#N/A,FALSE,"보증2";#N/A,#N/A,FALSE,"보증1";#N/A,#N/A,FALSE,"보증";#N/A,#N/A,FALSE,"손익1";#N/A,#N/A,FALSE,"손익";#N/A,#N/A,FALSE,"부서별매출";#N/A,#N/A,FALSE,"매출"}</definedName>
    <definedName name="exit" hidden="1">{#N/A,#N/A,FALSE,"인원";#N/A,#N/A,FALSE,"비용2";#N/A,#N/A,FALSE,"비용1";#N/A,#N/A,FALSE,"비용";#N/A,#N/A,FALSE,"보증2";#N/A,#N/A,FALSE,"보증1";#N/A,#N/A,FALSE,"보증";#N/A,#N/A,FALSE,"손익1";#N/A,#N/A,FALSE,"손익";#N/A,#N/A,FALSE,"부서별매출";#N/A,#N/A,FALSE,"매출"}</definedName>
    <definedName name="EXP" localSheetId="4">#REF!</definedName>
    <definedName name="EXP" localSheetId="5">#REF!</definedName>
    <definedName name="EXP" localSheetId="11">#REF!</definedName>
    <definedName name="EXP">#REF!</definedName>
    <definedName name="Expected_balance" localSheetId="4">#REF!</definedName>
    <definedName name="Expected_balance" localSheetId="5">#REF!</definedName>
    <definedName name="Expected_balance" localSheetId="11">#REF!</definedName>
    <definedName name="Expected_balance">#REF!</definedName>
    <definedName name="EXT" localSheetId="4" hidden="1">{#N/A,#N/A,TRUE,"일정"}</definedName>
    <definedName name="EXT" localSheetId="5" hidden="1">{#N/A,#N/A,TRUE,"일정"}</definedName>
    <definedName name="EXT" localSheetId="11" hidden="1">{#N/A,#N/A,TRUE,"일정"}</definedName>
    <definedName name="EXT" hidden="1">{#N/A,#N/A,TRUE,"일정"}</definedName>
    <definedName name="Extra_Pay" localSheetId="4">#REF!</definedName>
    <definedName name="Extra_Pay" localSheetId="5">#REF!</definedName>
    <definedName name="Extra_Pay" localSheetId="11">#REF!</definedName>
    <definedName name="Extra_Pay">#REF!</definedName>
    <definedName name="Extract_MI" localSheetId="4">#REF!</definedName>
    <definedName name="Extract_MI" localSheetId="5">#REF!</definedName>
    <definedName name="Extract_MI" localSheetId="11">#REF!</definedName>
    <definedName name="Extract_MI">#REF!</definedName>
    <definedName name="EXTT" localSheetId="4" hidden="1">{#N/A,#N/A,TRUE,"일정"}</definedName>
    <definedName name="EXTT" localSheetId="5" hidden="1">{#N/A,#N/A,TRUE,"일정"}</definedName>
    <definedName name="EXTT" localSheetId="11" hidden="1">{#N/A,#N/A,TRUE,"일정"}</definedName>
    <definedName name="EXTT" hidden="1">{#N/A,#N/A,TRUE,"일정"}</definedName>
    <definedName name="ey" localSheetId="4">{30,140,350,160,"",""}</definedName>
    <definedName name="ey" localSheetId="5">{30,140,350,160,"",""}</definedName>
    <definedName name="ey" localSheetId="11">{30,140,350,160,"",""}</definedName>
    <definedName name="ey">{30,140,350,160,"",""}</definedName>
    <definedName name="F">#N/A</definedName>
    <definedName name="fd" localSheetId="4">#REF!</definedName>
    <definedName name="fd" localSheetId="5">#REF!</definedName>
    <definedName name="fd" localSheetId="11">#REF!</definedName>
    <definedName name="fd">#REF!</definedName>
    <definedName name="fdghsssssrdy"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ghsssssrdy"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ghsssssrdy"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ghsssssrd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O"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O"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O"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s" localSheetId="4">#REF!</definedName>
    <definedName name="fds" localSheetId="5">#REF!</definedName>
    <definedName name="fds" localSheetId="11">#REF!</definedName>
    <definedName name="fds">#REF!</definedName>
    <definedName name="fdsdfsfdsfdsfds" localSheetId="4" hidden="1">{#N/A,#N/A,FALSE,"BODY"}</definedName>
    <definedName name="fdsdfsfdsfdsfds" localSheetId="5" hidden="1">{#N/A,#N/A,FALSE,"BODY"}</definedName>
    <definedName name="fdsdfsfdsfdsfds" localSheetId="11" hidden="1">{#N/A,#N/A,FALSE,"BODY"}</definedName>
    <definedName name="fdsdfsfdsfdsfds" hidden="1">{#N/A,#N/A,FALSE,"BODY"}</definedName>
    <definedName name="FFF" localSheetId="4">#REF!</definedName>
    <definedName name="FFF" localSheetId="5">#REF!</definedName>
    <definedName name="FFF" localSheetId="11">#REF!</definedName>
    <definedName name="FFF">#REF!</definedName>
    <definedName name="ffx" localSheetId="4" hidden="1">{#N/A,#N/A,FALSE,"BODY"}</definedName>
    <definedName name="ffx" localSheetId="5" hidden="1">{#N/A,#N/A,FALSE,"BODY"}</definedName>
    <definedName name="ffx" localSheetId="11" hidden="1">{#N/A,#N/A,FALSE,"BODY"}</definedName>
    <definedName name="ffx" hidden="1">{#N/A,#N/A,FALSE,"BODY"}</definedName>
    <definedName name="fg" localSheetId="4">#REF!</definedName>
    <definedName name="fg" localSheetId="5">#REF!</definedName>
    <definedName name="fg" localSheetId="11">#REF!</definedName>
    <definedName name="fg">#REF!</definedName>
    <definedName name="fgfh" localSheetId="4">#REF!</definedName>
    <definedName name="fgfh" localSheetId="5">#REF!</definedName>
    <definedName name="fgfh" localSheetId="11">#REF!</definedName>
    <definedName name="fgfh">#REF!</definedName>
    <definedName name="FINDATE" localSheetId="4">#REF!</definedName>
    <definedName name="FINDATE" localSheetId="5">#REF!</definedName>
    <definedName name="FINDATE" localSheetId="11">#REF!</definedName>
    <definedName name="FINDATE">#REF!</definedName>
    <definedName name="First_Year" localSheetId="11">#REF!</definedName>
    <definedName name="First_Year">#REF!</definedName>
    <definedName name="FixedChange" localSheetId="11">#REF!</definedName>
    <definedName name="FixedChange">#REF!</definedName>
    <definedName name="FL"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L"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L"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lk" localSheetId="4">#REF!</definedName>
    <definedName name="flk" localSheetId="5">#REF!</definedName>
    <definedName name="flk" localSheetId="11">#REF!</definedName>
    <definedName name="flk">#REF!</definedName>
    <definedName name="FloatChange" localSheetId="4">#REF!</definedName>
    <definedName name="FloatChange" localSheetId="5">#REF!</definedName>
    <definedName name="FloatChange" localSheetId="11">#REF!</definedName>
    <definedName name="FloatChange">#REF!</definedName>
    <definedName name="format" localSheetId="4" hidden="1">{#N/A,#N/A,FALSE,"Repair";#N/A,#N/A,FALSE,"Audit Room";#N/A,#N/A,FALSE,"Simulator"}</definedName>
    <definedName name="format" localSheetId="5" hidden="1">{#N/A,#N/A,FALSE,"Repair";#N/A,#N/A,FALSE,"Audit Room";#N/A,#N/A,FALSE,"Simulator"}</definedName>
    <definedName name="format" localSheetId="11" hidden="1">{#N/A,#N/A,FALSE,"Repair";#N/A,#N/A,FALSE,"Audit Room";#N/A,#N/A,FALSE,"Simulator"}</definedName>
    <definedName name="format" hidden="1">{#N/A,#N/A,FALSE,"Repair";#N/A,#N/A,FALSE,"Audit Room";#N/A,#N/A,FALSE,"Simulator"}</definedName>
    <definedName name="fr" localSheetId="4">#REF!</definedName>
    <definedName name="fr" localSheetId="5">#REF!</definedName>
    <definedName name="fr" localSheetId="11">#REF!</definedName>
    <definedName name="fr">#REF!</definedName>
    <definedName name="front_2" localSheetId="4" hidden="1">{#N/A,#N/A,FALSE,"BODY"}</definedName>
    <definedName name="front_2" localSheetId="5" hidden="1">{#N/A,#N/A,FALSE,"BODY"}</definedName>
    <definedName name="front_2" localSheetId="11" hidden="1">{#N/A,#N/A,FALSE,"BODY"}</definedName>
    <definedName name="front_2" hidden="1">{#N/A,#N/A,FALSE,"BODY"}</definedName>
    <definedName name="FULL"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ULL"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ULL"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U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ull_Print" localSheetId="4">#REF!</definedName>
    <definedName name="Full_Print" localSheetId="5">#REF!</definedName>
    <definedName name="Full_Print" localSheetId="11">#REF!</definedName>
    <definedName name="Full_Print">#REF!</definedName>
    <definedName name="FullDate" localSheetId="4">#REF!</definedName>
    <definedName name="FullDate" localSheetId="5">#REF!</definedName>
    <definedName name="FullDate" localSheetId="11">#REF!</definedName>
    <definedName name="FullDate">#REF!</definedName>
    <definedName name="g" localSheetId="4">#REF!</definedName>
    <definedName name="g" localSheetId="5">#REF!</definedName>
    <definedName name="g" localSheetId="11">#REF!</definedName>
    <definedName name="g">#REF!</definedName>
    <definedName name="GC금형"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C금형"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C금형"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C금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dmhgdmhg" localSheetId="4" hidden="1">{#N/A,#N/A,TRUE,"일정"}</definedName>
    <definedName name="gdmhgdmhg" localSheetId="5" hidden="1">{#N/A,#N/A,TRUE,"일정"}</definedName>
    <definedName name="gdmhgdmhg" localSheetId="11" hidden="1">{#N/A,#N/A,TRUE,"일정"}</definedName>
    <definedName name="gdmhgdmhg" hidden="1">{#N/A,#N/A,TRUE,"일정"}</definedName>
    <definedName name="gf" localSheetId="4">{30,140,350,160,"",""}</definedName>
    <definedName name="gf" localSheetId="5">{30,140,350,160,"",""}</definedName>
    <definedName name="gf" localSheetId="11">{30,140,350,160,"",""}</definedName>
    <definedName name="gf">{30,140,350,160,"",""}</definedName>
    <definedName name="GFAS">#N/A</definedName>
    <definedName name="GFD" localSheetId="4" hidden="1">{#N/A,#N/A,TRUE,"일정"}</definedName>
    <definedName name="GFD" localSheetId="5" hidden="1">{#N/A,#N/A,TRUE,"일정"}</definedName>
    <definedName name="GFD" localSheetId="11" hidden="1">{#N/A,#N/A,TRUE,"일정"}</definedName>
    <definedName name="GFD" hidden="1">{#N/A,#N/A,TRUE,"일정"}</definedName>
    <definedName name="gffgfggf" localSheetId="4">#REF!</definedName>
    <definedName name="gffgfggf" localSheetId="5">#REF!</definedName>
    <definedName name="gffgfggf" localSheetId="11">#REF!</definedName>
    <definedName name="gffgfggf">#REF!</definedName>
    <definedName name="gfgfgg" localSheetId="3">[0]!дел/1000</definedName>
    <definedName name="gfgfgg" localSheetId="4">[0]!дел/1000</definedName>
    <definedName name="gfgfgg" localSheetId="5">[0]!дел/1000</definedName>
    <definedName name="gfgfgg" localSheetId="11">[0]!дел/1000</definedName>
    <definedName name="gfgfgg">[0]!дел/1000</definedName>
    <definedName name="ggg">#N/A</definedName>
    <definedName name="gggggg">#N/A</definedName>
    <definedName name="gh">#N/A</definedName>
    <definedName name="GHGFH"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HGFH"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HGFH"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HGF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hj" localSheetId="4">#REF!</definedName>
    <definedName name="ghj" localSheetId="5">#REF!</definedName>
    <definedName name="ghj" localSheetId="11">#REF!</definedName>
    <definedName name="ghj">#REF!</definedName>
    <definedName name="ghjhb" localSheetId="3">[0]!дел/1000</definedName>
    <definedName name="ghjhb" localSheetId="4">[0]!дел/1000</definedName>
    <definedName name="ghjhb" localSheetId="5">[0]!дел/1000</definedName>
    <definedName name="ghjhb" localSheetId="11">[0]!дел/1000</definedName>
    <definedName name="ghjhb">[0]!дел/1000</definedName>
    <definedName name="GHKD"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HKD"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HKD"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HK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JTL"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JTL"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JTL"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JT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MI"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MI"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MI"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MI"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vdasskv" localSheetId="4" hidden="1">{#N/A,#N/A,TRUE,"일정"}</definedName>
    <definedName name="gvdasskv" localSheetId="5" hidden="1">{#N/A,#N/A,TRUE,"일정"}</definedName>
    <definedName name="gvdasskv" localSheetId="11" hidden="1">{#N/A,#N/A,TRUE,"일정"}</definedName>
    <definedName name="gvdasskv" hidden="1">{#N/A,#N/A,TRUE,"일정"}</definedName>
    <definedName name="h" localSheetId="4">{30,140,350,160,"",""}</definedName>
    <definedName name="h" localSheetId="5">{30,140,350,160,"",""}</definedName>
    <definedName name="h" localSheetId="11">{30,140,350,160,"",""}</definedName>
    <definedName name="h">{30,140,350,160,"",""}</definedName>
    <definedName name="Header_Row">ROW(#REF!)</definedName>
    <definedName name="HEAT" localSheetId="11">#REF!</definedName>
    <definedName name="HEAT">#REF!</definedName>
    <definedName name="hf" localSheetId="4">{30,140,350,160,"",""}</definedName>
    <definedName name="hf" localSheetId="5">{30,140,350,160,"",""}</definedName>
    <definedName name="hf" localSheetId="11">{30,140,350,160,"",""}</definedName>
    <definedName name="hf">{30,140,350,160,"",""}</definedName>
    <definedName name="hffg"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ffg"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ffg"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ff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gfshg" localSheetId="4" hidden="1">{#N/A,#N/A,TRUE,"일정"}</definedName>
    <definedName name="hgfshg" localSheetId="5" hidden="1">{#N/A,#N/A,TRUE,"일정"}</definedName>
    <definedName name="hgfshg" localSheetId="11" hidden="1">{#N/A,#N/A,TRUE,"일정"}</definedName>
    <definedName name="hgfshg" hidden="1">{#N/A,#N/A,TRUE,"일정"}</definedName>
    <definedName name="hgfxd" localSheetId="4" hidden="1">{#N/A,#N/A,TRUE,"일정"}</definedName>
    <definedName name="hgfxd" localSheetId="5" hidden="1">{#N/A,#N/A,TRUE,"일정"}</definedName>
    <definedName name="hgfxd" localSheetId="11" hidden="1">{#N/A,#N/A,TRUE,"일정"}</definedName>
    <definedName name="hgfxd" hidden="1">{#N/A,#N/A,TRUE,"일정"}</definedName>
    <definedName name="hgh" localSheetId="4">{30,140,350,160,"",""}</definedName>
    <definedName name="hgh" localSheetId="5">{30,140,350,160,"",""}</definedName>
    <definedName name="hgh" localSheetId="11">{30,140,350,160,"",""}</definedName>
    <definedName name="hgh">{30,140,350,160,"",""}</definedName>
    <definedName name="hhh" localSheetId="4">#REF!</definedName>
    <definedName name="hhh" localSheetId="5">#REF!</definedName>
    <definedName name="hhh" localSheetId="11">#REF!</definedName>
    <definedName name="hhh">#REF!</definedName>
    <definedName name="hhj" localSheetId="4">#REF!</definedName>
    <definedName name="hhj" localSheetId="5">#REF!</definedName>
    <definedName name="hhj" localSheetId="11">#REF!</definedName>
    <definedName name="hhj">#REF!</definedName>
    <definedName name="HINGE"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INGE"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INGE"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ING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j" localSheetId="4">#REF!</definedName>
    <definedName name="hj" localSheetId="5">#REF!</definedName>
    <definedName name="hj" localSheetId="11">#REF!</definedName>
    <definedName name="hj">#REF!</definedName>
    <definedName name="hkj" localSheetId="4">#REF!</definedName>
    <definedName name="hkj" localSheetId="5">#REF!</definedName>
    <definedName name="hkj" localSheetId="11">#REF!</definedName>
    <definedName name="hkj">#REF!</definedName>
    <definedName name="HTML_CodePage" hidden="1">874</definedName>
    <definedName name="HTML_Control" localSheetId="4" hidden="1">{"'Monthly 1997'!$A$3:$S$89"}</definedName>
    <definedName name="HTML_Control" localSheetId="5" hidden="1">{"'Monthly 1997'!$A$3:$S$89"}</definedName>
    <definedName name="HTML_Control" localSheetId="11" hidden="1">{"'Monthly 1997'!$A$3:$S$89"}</definedName>
    <definedName name="HTML_Control" hidden="1">{"'Monthly 1997'!$A$3:$S$89"}</definedName>
    <definedName name="HTML_Control1" localSheetId="4" hidden="1">{"'Monthly 1997'!$A$3:$S$89"}</definedName>
    <definedName name="HTML_Control1" localSheetId="5" hidden="1">{"'Monthly 1997'!$A$3:$S$89"}</definedName>
    <definedName name="HTML_Control1" localSheetId="11" hidden="1">{"'Monthly 1997'!$A$3:$S$89"}</definedName>
    <definedName name="HTML_Control1" hidden="1">{"'Monthly 1997'!$A$3:$S$89"}</definedName>
    <definedName name="HTML_Description" hidden="1">""</definedName>
    <definedName name="HTML_Email" hidden="1">""</definedName>
    <definedName name="HTML_Header" hidden="1">"7-2지역별"</definedName>
    <definedName name="HTML_LastUpdate" hidden="1">"98-11-28"</definedName>
    <definedName name="HTML_LineAfter" hidden="1">FALSE</definedName>
    <definedName name="HTML_LineBefore" hidden="1">FALSE</definedName>
    <definedName name="HTML_Name" hidden="1">"서준호"</definedName>
    <definedName name="HTML_OBDlg2" hidden="1">FALSE</definedName>
    <definedName name="HTML_OBDlg3" hidden="1">TRUE</definedName>
    <definedName name="HTML_OBDlg4" hidden="1">TRUE</definedName>
    <definedName name="HTML_OS" hidden="1">0</definedName>
    <definedName name="HTML_PathFile" hidden="1">"\\Der2\vol1\DATABANK\DOWNLOAD\tab4-17.htm"</definedName>
    <definedName name="HTML_PathTemplate" hidden="1">"\\Der2\vol1\DATABANK\DOWNLOAD\Head4-17.htm"</definedName>
    <definedName name="HTML_Title" hidden="1">"월보"</definedName>
    <definedName name="HTML1_1" hidden="1">"[CERTV4.XLS]CERTV2!$A$2:$AR$288"</definedName>
    <definedName name="HTML1_10" hidden="1">"french.roberts@epamail.epa.gov"</definedName>
    <definedName name="HTML1_11" hidden="1">1</definedName>
    <definedName name="HTML1_12" hidden="1">"C:\FRENCH\TP_STDS\MyHTML.htm"</definedName>
    <definedName name="HTML1_2" hidden="1">1</definedName>
    <definedName name="HTML1_3" hidden="1">"Federal and California Tailpipe Emission Standards"</definedName>
    <definedName name="HTML1_4" hidden="1">"Emission Standards"</definedName>
    <definedName name="HTML1_5" hidden="1">""</definedName>
    <definedName name="HTML1_6" hidden="1">-4146</definedName>
    <definedName name="HTML1_7" hidden="1">-4146</definedName>
    <definedName name="HTML1_8" hidden="1">"2/10/97"</definedName>
    <definedName name="HTML1_9" hidden="1">"Roberts French"</definedName>
    <definedName name="HTML2_1" hidden="1">"'[CERTV8.XLS]LDV &amp; LLDT FTP (2)'!$A$7:$Q$34"</definedName>
    <definedName name="HTML2_10" hidden="1">""</definedName>
    <definedName name="HTML2_11" hidden="1">-4146</definedName>
    <definedName name="HTML2_12" hidden="1">"C:\FRENCH\MyHTML.htm"</definedName>
    <definedName name="HTML2_2" hidden="1">1</definedName>
    <definedName name="HTML2_3" hidden="1">"Exhaust Emission Certification Standards"</definedName>
    <definedName name="HTML2_4" hidden="1">"Federal Test Procedure"</definedName>
    <definedName name="HTML2_5" hidden="1">"Federal and California ProgramsLight-Duty Vehicles (Passenger Cars) and Light-Duty Trucks 0 - 6000 lbs GVWR"</definedName>
    <definedName name="HTML2_6" hidden="1">-4146</definedName>
    <definedName name="HTML2_7" hidden="1">1</definedName>
    <definedName name="HTML2_8" hidden="1">"8/15/97"</definedName>
    <definedName name="HTML2_9" hidden="1">""</definedName>
    <definedName name="HTML3_1" hidden="1">"[CERTV8.XLS]Sheet1!$A$17:$C$45"</definedName>
    <definedName name="HTML3_10" hidden="1">""</definedName>
    <definedName name="HTML3_11" hidden="1">1</definedName>
    <definedName name="HTML3_12" hidden="1">"C:\FRENCH\TP_STDS\DEFS.HTM"</definedName>
    <definedName name="HTML3_2" hidden="1">1</definedName>
    <definedName name="HTML3_3" hidden="1">"CERTV8"</definedName>
    <definedName name="HTML3_4" hidden="1">"Sheet1"</definedName>
    <definedName name="HTML3_5" hidden="1">""</definedName>
    <definedName name="HTML3_6" hidden="1">-4146</definedName>
    <definedName name="HTML3_7" hidden="1">-4146</definedName>
    <definedName name="HTML3_8" hidden="1">"8/15/97"</definedName>
    <definedName name="HTML3_9" hidden="1">"NVFEL"</definedName>
    <definedName name="HTML4_1" hidden="1">"'[CERTV8.XLS]LDV &amp; LLDT FTP (3)'!$A$1:$Q$32"</definedName>
    <definedName name="HTML4_10" hidden="1">""</definedName>
    <definedName name="HTML4_11" hidden="1">1</definedName>
    <definedName name="HTML4_12" hidden="1">"C:\FRENCH\TP_STDS\WEB\LDVLDT.HTM"</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definedName>
    <definedName name="HTML4_9" hidden="1">""</definedName>
    <definedName name="HTML5_1" hidden="1">"'[CERTV8.XLS]HLDT &amp; MDV FTP (2)'!$A$1:$P$35"</definedName>
    <definedName name="HTML5_10" hidden="1">""</definedName>
    <definedName name="HTML5_11" hidden="1">1</definedName>
    <definedName name="HTML5_12" hidden="1">"C:\FRENCH\TP_STDS\WEB\hldt.htm"</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definedName>
    <definedName name="HTML5_9" hidden="1">""</definedName>
    <definedName name="HTML6_1" hidden="1">"'[CERTV8.XLS]SFTP (3)'!$A$1:$O$25"</definedName>
    <definedName name="HTML6_10" hidden="1">""</definedName>
    <definedName name="HTML6_11" hidden="1">1</definedName>
    <definedName name="HTML6_12" hidden="1">"C:\FRENCH\TP_STDS\WEB\sftp.htm"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"'[CERTV8.XLS]Implementation (2)'!$A$1:$S$42"</definedName>
    <definedName name="HTML7_10" hidden="1">""</definedName>
    <definedName name="HTML7_11" hidden="1">1</definedName>
    <definedName name="HTML7_12" hidden="1">"C:\FRENCH\TP_STDS\WEB\implment.htm"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Count" hidden="1">7</definedName>
    <definedName name="hvv" localSheetId="4">#REF!</definedName>
    <definedName name="hvv" localSheetId="5">#REF!</definedName>
    <definedName name="hvv" localSheetId="11">#REF!</definedName>
    <definedName name="hvv">#REF!</definedName>
    <definedName name="I" localSheetId="4">#REF!</definedName>
    <definedName name="I" localSheetId="5">#REF!</definedName>
    <definedName name="I" localSheetId="11">#REF!</definedName>
    <definedName name="I">#REF!</definedName>
    <definedName name="IDNO">#N/A</definedName>
    <definedName name="ilk" localSheetId="4">#REF!</definedName>
    <definedName name="ilk" localSheetId="5">#REF!</definedName>
    <definedName name="ilk" localSheetId="11">#REF!</definedName>
    <definedName name="ilk">#REF!</definedName>
    <definedName name="IMPORT" localSheetId="4">#REF!</definedName>
    <definedName name="IMPORT" localSheetId="5">#REF!</definedName>
    <definedName name="IMPORT" localSheetId="11">#REF!</definedName>
    <definedName name="IMPORT">#REF!</definedName>
    <definedName name="INSERT" localSheetId="4">#REF!</definedName>
    <definedName name="INSERT" localSheetId="5">#REF!</definedName>
    <definedName name="INSERT" localSheetId="11">#REF!</definedName>
    <definedName name="INSERT">#REF!</definedName>
    <definedName name="INT" localSheetId="4" hidden="1">{#N/A,#N/A,TRUE,"일정"}</definedName>
    <definedName name="INT" localSheetId="5" hidden="1">{#N/A,#N/A,TRUE,"일정"}</definedName>
    <definedName name="INT" localSheetId="11" hidden="1">{#N/A,#N/A,TRUE,"일정"}</definedName>
    <definedName name="INT" hidden="1">{#N/A,#N/A,TRUE,"일정"}</definedName>
    <definedName name="Interest_Rate" localSheetId="4">#REF!</definedName>
    <definedName name="Interest_Rate" localSheetId="5">#REF!</definedName>
    <definedName name="Interest_Rate" localSheetId="11">#REF!</definedName>
    <definedName name="Interest_Rate">#REF!</definedName>
    <definedName name="INTINC" localSheetId="4">#REF!</definedName>
    <definedName name="INTINC" localSheetId="5">#REF!</definedName>
    <definedName name="INTINC" localSheetId="11">#REF!</definedName>
    <definedName name="INTINC">#REF!</definedName>
    <definedName name="INTRISSNO">#N/A</definedName>
    <definedName name="INTRRATE">#N/A</definedName>
    <definedName name="INVESTMENT" localSheetId="3">[0]!_a1Z,[0]!_a2Z</definedName>
    <definedName name="INVESTMENT" localSheetId="4">[0]!_a1Z,[0]!_a2Z</definedName>
    <definedName name="INVESTMENT" localSheetId="5">[0]!_a1Z,[0]!_a2Z</definedName>
    <definedName name="INVESTMENT" localSheetId="11">[0]!_a1Z,[0]!_a2Z</definedName>
    <definedName name="INVESTMENT">[0]!_a1Z,[0]!_a2Z</definedName>
    <definedName name="io" localSheetId="4">{30,140,350,160,"",""}</definedName>
    <definedName name="io" localSheetId="5">{30,140,350,160,"",""}</definedName>
    <definedName name="io" localSheetId="11">{30,140,350,160,"",""}</definedName>
    <definedName name="io">{30,140,350,160,"",""}</definedName>
    <definedName name="IOJPO" localSheetId="4" hidden="1">{#N/A,#N/A,FALSE,"단축1";#N/A,#N/A,FALSE,"단축2";#N/A,#N/A,FALSE,"단축3";#N/A,#N/A,FALSE,"장축";#N/A,#N/A,FALSE,"4WD"}</definedName>
    <definedName name="IOJPO" localSheetId="5" hidden="1">{#N/A,#N/A,FALSE,"단축1";#N/A,#N/A,FALSE,"단축2";#N/A,#N/A,FALSE,"단축3";#N/A,#N/A,FALSE,"장축";#N/A,#N/A,FALSE,"4WD"}</definedName>
    <definedName name="IOJPO" localSheetId="11" hidden="1">{#N/A,#N/A,FALSE,"단축1";#N/A,#N/A,FALSE,"단축2";#N/A,#N/A,FALSE,"단축3";#N/A,#N/A,FALSE,"장축";#N/A,#N/A,FALSE,"4WD"}</definedName>
    <definedName name="IOJPO" hidden="1">{#N/A,#N/A,FALSE,"단축1";#N/A,#N/A,FALSE,"단축2";#N/A,#N/A,FALSE,"단축3";#N/A,#N/A,FALSE,"장축";#N/A,#N/A,FALSE,"4WD"}</definedName>
    <definedName name="iu" localSheetId="4">{30,140,350,160,"",""}</definedName>
    <definedName name="iu" localSheetId="5">{30,140,350,160,"",""}</definedName>
    <definedName name="iu" localSheetId="11">{30,140,350,160,"",""}</definedName>
    <definedName name="iu">{30,140,350,160,"",""}</definedName>
    <definedName name="iuy" localSheetId="4">{30,140,350,160,"",""}</definedName>
    <definedName name="iuy" localSheetId="5">{30,140,350,160,"",""}</definedName>
    <definedName name="iuy" localSheetId="11">{30,140,350,160,"",""}</definedName>
    <definedName name="iuy">{30,140,350,160,"",""}</definedName>
    <definedName name="j" localSheetId="4">{30,140,350,160,"",""}</definedName>
    <definedName name="j" localSheetId="5">{30,140,350,160,"",""}</definedName>
    <definedName name="j" localSheetId="11">{30,140,350,160,"",""}</definedName>
    <definedName name="j">{30,140,350,160,"",""}</definedName>
    <definedName name="jgfsjhgfsjhgfsdjhgfds" localSheetId="4" hidden="1">{#N/A,#N/A,TRUE,"일정"}</definedName>
    <definedName name="jgfsjhgfsjhgfsdjhgfds" localSheetId="5" hidden="1">{#N/A,#N/A,TRUE,"일정"}</definedName>
    <definedName name="jgfsjhgfsjhgfsdjhgfds" localSheetId="11" hidden="1">{#N/A,#N/A,TRUE,"일정"}</definedName>
    <definedName name="jgfsjhgfsjhgfsdjhgfds" hidden="1">{#N/A,#N/A,TRUE,"일정"}</definedName>
    <definedName name="jhjkfhkj" localSheetId="4">#REF!</definedName>
    <definedName name="jhjkfhkj" localSheetId="5">#REF!</definedName>
    <definedName name="jhjkfhkj" localSheetId="11">#REF!</definedName>
    <definedName name="jhjkfhkj">#REF!</definedName>
    <definedName name="JJ"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JJ"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JJ"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JJ"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JJJ"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JJJ"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JJJ"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JJJ"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jjkjkjkjkj" localSheetId="4">#REF!</definedName>
    <definedName name="jjkjkjkjkj" localSheetId="5">#REF!</definedName>
    <definedName name="jjkjkjkjkj" localSheetId="11">#REF!</definedName>
    <definedName name="jjkjkjkjkj">#REF!</definedName>
    <definedName name="jkkn" localSheetId="4">{30,140,350,160,"",""}</definedName>
    <definedName name="jkkn" localSheetId="5">{30,140,350,160,"",""}</definedName>
    <definedName name="jkkn" localSheetId="11">{30,140,350,160,"",""}</definedName>
    <definedName name="jkkn">{30,140,350,160,"",""}</definedName>
    <definedName name="jlk" localSheetId="4">#REF!</definedName>
    <definedName name="jlk" localSheetId="5">#REF!</definedName>
    <definedName name="jlk" localSheetId="11">#REF!</definedName>
    <definedName name="jlk">#REF!</definedName>
    <definedName name="JOB" localSheetId="4">#REF!</definedName>
    <definedName name="JOB" localSheetId="5">#REF!</definedName>
    <definedName name="JOB" localSheetId="11">#REF!</definedName>
    <definedName name="JOB">#REF!</definedName>
    <definedName name="jy" localSheetId="4">#REF!</definedName>
    <definedName name="jy" localSheetId="5">#REF!</definedName>
    <definedName name="jy" localSheetId="11">#REF!</definedName>
    <definedName name="jy">#REF!</definedName>
    <definedName name="k" localSheetId="11">#REF!</definedName>
    <definedName name="k">#REF!</definedName>
    <definedName name="Kbcn" localSheetId="4">{30,140,350,160,"",""}</definedName>
    <definedName name="Kbcn" localSheetId="5">{30,140,350,160,"",""}</definedName>
    <definedName name="Kbcn" localSheetId="11">{30,140,350,160,"",""}</definedName>
    <definedName name="Kbcn">{30,140,350,160,"",""}</definedName>
    <definedName name="kbcnjr" localSheetId="4" hidden="1">#REF!</definedName>
    <definedName name="kbcnjr" localSheetId="5" hidden="1">#REF!</definedName>
    <definedName name="kbcnjr" localSheetId="11" hidden="1">#REF!</definedName>
    <definedName name="kbcnjr" hidden="1">#REF!</definedName>
    <definedName name="KD" localSheetId="4" hidden="1">{#N/A,#N/A,FALSE,"인원";#N/A,#N/A,FALSE,"비용2";#N/A,#N/A,FALSE,"비용1";#N/A,#N/A,FALSE,"비용";#N/A,#N/A,FALSE,"보증2";#N/A,#N/A,FALSE,"보증1";#N/A,#N/A,FALSE,"보증";#N/A,#N/A,FALSE,"손익1";#N/A,#N/A,FALSE,"손익";#N/A,#N/A,FALSE,"부서별매출";#N/A,#N/A,FALSE,"매출"}</definedName>
    <definedName name="KD" localSheetId="5" hidden="1">{#N/A,#N/A,FALSE,"인원";#N/A,#N/A,FALSE,"비용2";#N/A,#N/A,FALSE,"비용1";#N/A,#N/A,FALSE,"비용";#N/A,#N/A,FALSE,"보증2";#N/A,#N/A,FALSE,"보증1";#N/A,#N/A,FALSE,"보증";#N/A,#N/A,FALSE,"손익1";#N/A,#N/A,FALSE,"손익";#N/A,#N/A,FALSE,"부서별매출";#N/A,#N/A,FALSE,"매출"}</definedName>
    <definedName name="KD" localSheetId="11" hidden="1">{#N/A,#N/A,FALSE,"인원";#N/A,#N/A,FALSE,"비용2";#N/A,#N/A,FALSE,"비용1";#N/A,#N/A,FALSE,"비용";#N/A,#N/A,FALSE,"보증2";#N/A,#N/A,FALSE,"보증1";#N/A,#N/A,FALSE,"보증";#N/A,#N/A,FALSE,"손익1";#N/A,#N/A,FALSE,"손익";#N/A,#N/A,FALSE,"부서별매출";#N/A,#N/A,FALSE,"매출"}</definedName>
    <definedName name="KD" hidden="1">{#N/A,#N/A,FALSE,"인원";#N/A,#N/A,FALSE,"비용2";#N/A,#N/A,FALSE,"비용1";#N/A,#N/A,FALSE,"비용";#N/A,#N/A,FALSE,"보증2";#N/A,#N/A,FALSE,"보증1";#N/A,#N/A,FALSE,"보증";#N/A,#N/A,FALSE,"손익1";#N/A,#N/A,FALSE,"손익";#N/A,#N/A,FALSE,"부서별매출";#N/A,#N/A,FALSE,"매출"}</definedName>
    <definedName name="KICKOFF"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CKOFF"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CKOFF"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CKOF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j" localSheetId="4">#REF!</definedName>
    <definedName name="kj" localSheetId="5">#REF!</definedName>
    <definedName name="kj" localSheetId="11">#REF!</definedName>
    <definedName name="kj">#REF!</definedName>
    <definedName name="kjl" localSheetId="4">#REF!,#REF!,#REF!</definedName>
    <definedName name="kjl" localSheetId="5">#REF!,#REF!,#REF!</definedName>
    <definedName name="kjl" localSheetId="11">#REF!,#REF!,#REF!</definedName>
    <definedName name="kjl">#REF!,#REF!,#REF!</definedName>
    <definedName name="KK"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IK"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IK"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IK"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I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JJHH"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JJHH"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JJHH"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JJH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LJLK" localSheetId="4" hidden="1">{#N/A,#N/A,FALSE,"BODY"}</definedName>
    <definedName name="KLJLK" localSheetId="5" hidden="1">{#N/A,#N/A,FALSE,"BODY"}</definedName>
    <definedName name="KLJLK" localSheetId="11" hidden="1">{#N/A,#N/A,FALSE,"BODY"}</definedName>
    <definedName name="KLJLK" hidden="1">{#N/A,#N/A,FALSE,"BODY"}</definedName>
    <definedName name="klk" localSheetId="4">#REF!</definedName>
    <definedName name="klk" localSheetId="5">#REF!</definedName>
    <definedName name="klk" localSheetId="11">#REF!</definedName>
    <definedName name="klk">#REF!</definedName>
    <definedName name="klo" localSheetId="4">#REF!</definedName>
    <definedName name="klo" localSheetId="5">#REF!</definedName>
    <definedName name="klo" localSheetId="11">#REF!</definedName>
    <definedName name="klo">#REF!</definedName>
    <definedName name="L" localSheetId="4">#REF!</definedName>
    <definedName name="L" localSheetId="5">#REF!</definedName>
    <definedName name="L" localSheetId="11">#REF!</definedName>
    <definedName name="L">#REF!</definedName>
    <definedName name="l.k" localSheetId="11">#REF!</definedName>
    <definedName name="l.k">#REF!</definedName>
    <definedName name="L5A" localSheetId="11">#REF!</definedName>
    <definedName name="L5A">#REF!</definedName>
    <definedName name="L5C" localSheetId="11">#REF!</definedName>
    <definedName name="L5C">#REF!</definedName>
    <definedName name="L5CT" localSheetId="11">#REF!</definedName>
    <definedName name="L5CT">#REF!</definedName>
    <definedName name="L5H" localSheetId="11">#REF!</definedName>
    <definedName name="L5H">#REF!</definedName>
    <definedName name="L5I" localSheetId="11">#REF!</definedName>
    <definedName name="L5I">#REF!</definedName>
    <definedName name="L5N" localSheetId="11">#REF!</definedName>
    <definedName name="L5N">#REF!</definedName>
    <definedName name="L5Q" localSheetId="11">#REF!</definedName>
    <definedName name="L5Q">#REF!</definedName>
    <definedName name="LANOS" localSheetId="11">#REF!</definedName>
    <definedName name="LANOS">#REF!</definedName>
    <definedName name="Last_Row">#N/A</definedName>
    <definedName name="lastday">37165</definedName>
    <definedName name="LAYOUT" localSheetId="4" hidden="1">{#N/A,#N/A,FALSE,"인원";#N/A,#N/A,FALSE,"비용2";#N/A,#N/A,FALSE,"비용1";#N/A,#N/A,FALSE,"비용";#N/A,#N/A,FALSE,"보증2";#N/A,#N/A,FALSE,"보증1";#N/A,#N/A,FALSE,"보증";#N/A,#N/A,FALSE,"손익1";#N/A,#N/A,FALSE,"손익";#N/A,#N/A,FALSE,"부서별매출";#N/A,#N/A,FALSE,"매출"}</definedName>
    <definedName name="LAYOUT" localSheetId="5" hidden="1">{#N/A,#N/A,FALSE,"인원";#N/A,#N/A,FALSE,"비용2";#N/A,#N/A,FALSE,"비용1";#N/A,#N/A,FALSE,"비용";#N/A,#N/A,FALSE,"보증2";#N/A,#N/A,FALSE,"보증1";#N/A,#N/A,FALSE,"보증";#N/A,#N/A,FALSE,"손익1";#N/A,#N/A,FALSE,"손익";#N/A,#N/A,FALSE,"부서별매출";#N/A,#N/A,FALSE,"매출"}</definedName>
    <definedName name="LAYOUT" localSheetId="11" hidden="1">{#N/A,#N/A,FALSE,"인원";#N/A,#N/A,FALSE,"비용2";#N/A,#N/A,FALSE,"비용1";#N/A,#N/A,FALSE,"비용";#N/A,#N/A,FALSE,"보증2";#N/A,#N/A,FALSE,"보증1";#N/A,#N/A,FALSE,"보증";#N/A,#N/A,FALSE,"손익1";#N/A,#N/A,FALSE,"손익";#N/A,#N/A,FALSE,"부서별매출";#N/A,#N/A,FALSE,"매출"}</definedName>
    <definedName name="LAYOUT" hidden="1">{#N/A,#N/A,FALSE,"인원";#N/A,#N/A,FALSE,"비용2";#N/A,#N/A,FALSE,"비용1";#N/A,#N/A,FALSE,"비용";#N/A,#N/A,FALSE,"보증2";#N/A,#N/A,FALSE,"보증1";#N/A,#N/A,FALSE,"보증";#N/A,#N/A,FALSE,"손익1";#N/A,#N/A,FALSE,"손익";#N/A,#N/A,FALSE,"부서별매출";#N/A,#N/A,FALSE,"매출"}</definedName>
    <definedName name="LBJ"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BJ"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BJ"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BJ"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EFT" localSheetId="4">#REF!</definedName>
    <definedName name="LEFT" localSheetId="5">#REF!</definedName>
    <definedName name="LEFT" localSheetId="11">#REF!</definedName>
    <definedName name="LEFT">#REF!</definedName>
    <definedName name="LGL" localSheetId="4">#REF!,#REF!</definedName>
    <definedName name="LGL" localSheetId="5">#REF!,#REF!</definedName>
    <definedName name="LGL" localSheetId="11">#REF!,#REF!</definedName>
    <definedName name="LGL">#REF!,#REF!</definedName>
    <definedName name="LGR" localSheetId="4">#REF!,#REF!</definedName>
    <definedName name="LGR" localSheetId="5">#REF!,#REF!</definedName>
    <definedName name="LGR" localSheetId="11">#REF!,#REF!</definedName>
    <definedName name="LGR">#REF!,#REF!</definedName>
    <definedName name="LHSDHSD" localSheetId="4" hidden="1">{#N/A,#N/A,TRUE,"일정"}</definedName>
    <definedName name="LHSDHSD" localSheetId="5" hidden="1">{#N/A,#N/A,TRUE,"일정"}</definedName>
    <definedName name="LHSDHSD" localSheetId="11" hidden="1">{#N/A,#N/A,TRUE,"일정"}</definedName>
    <definedName name="LHSDHSD" hidden="1">{#N/A,#N/A,TRUE,"일정"}</definedName>
    <definedName name="LIM" localSheetId="4">#REF!</definedName>
    <definedName name="LIM" localSheetId="5">#REF!</definedName>
    <definedName name="LIM" localSheetId="11">#REF!</definedName>
    <definedName name="LIM">#REF!</definedName>
    <definedName name="LK"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K"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K"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khfvc" localSheetId="3">Scheduled_Payment+Extra_Payment</definedName>
    <definedName name="lkhfvc" localSheetId="4">Scheduled_Payment+Extra_Payment</definedName>
    <definedName name="lkhfvc" localSheetId="5">Scheduled_Payment+Extra_Payment</definedName>
    <definedName name="lkhfvc" localSheetId="11">Scheduled_Payment+Extra_Payment</definedName>
    <definedName name="lkhfvc">Scheduled_Payment+Extra_Payment</definedName>
    <definedName name="LL"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oan_Amount" localSheetId="4">#REF!</definedName>
    <definedName name="Loan_Amount" localSheetId="5">#REF!</definedName>
    <definedName name="Loan_Amount" localSheetId="11">#REF!</definedName>
    <definedName name="Loan_Amount">#REF!</definedName>
    <definedName name="Loan_Start" localSheetId="4">#REF!</definedName>
    <definedName name="Loan_Start" localSheetId="5">#REF!</definedName>
    <definedName name="Loan_Start" localSheetId="11">#REF!</definedName>
    <definedName name="Loan_Start">#REF!</definedName>
    <definedName name="Loan_Years" localSheetId="4">#REF!</definedName>
    <definedName name="Loan_Years" localSheetId="5">#REF!</definedName>
    <definedName name="Loan_Years" localSheetId="11">#REF!</definedName>
    <definedName name="Loan_Years">#REF!</definedName>
    <definedName name="local" localSheetId="4" hidden="1">{#N/A,#N/A,FALSE,"인원";#N/A,#N/A,FALSE,"비용2";#N/A,#N/A,FALSE,"비용1";#N/A,#N/A,FALSE,"비용";#N/A,#N/A,FALSE,"보증2";#N/A,#N/A,FALSE,"보증1";#N/A,#N/A,FALSE,"보증";#N/A,#N/A,FALSE,"손익1";#N/A,#N/A,FALSE,"손익";#N/A,#N/A,FALSE,"부서별매출";#N/A,#N/A,FALSE,"매출"}</definedName>
    <definedName name="local" localSheetId="5" hidden="1">{#N/A,#N/A,FALSE,"인원";#N/A,#N/A,FALSE,"비용2";#N/A,#N/A,FALSE,"비용1";#N/A,#N/A,FALSE,"비용";#N/A,#N/A,FALSE,"보증2";#N/A,#N/A,FALSE,"보증1";#N/A,#N/A,FALSE,"보증";#N/A,#N/A,FALSE,"손익1";#N/A,#N/A,FALSE,"손익";#N/A,#N/A,FALSE,"부서별매출";#N/A,#N/A,FALSE,"매출"}</definedName>
    <definedName name="local" localSheetId="11" hidden="1">{#N/A,#N/A,FALSE,"인원";#N/A,#N/A,FALSE,"비용2";#N/A,#N/A,FALSE,"비용1";#N/A,#N/A,FALSE,"비용";#N/A,#N/A,FALSE,"보증2";#N/A,#N/A,FALSE,"보증1";#N/A,#N/A,FALSE,"보증";#N/A,#N/A,FALSE,"손익1";#N/A,#N/A,FALSE,"손익";#N/A,#N/A,FALSE,"부서별매출";#N/A,#N/A,FALSE,"매출"}</definedName>
    <definedName name="local" hidden="1">{#N/A,#N/A,FALSE,"인원";#N/A,#N/A,FALSE,"비용2";#N/A,#N/A,FALSE,"비용1";#N/A,#N/A,FALSE,"비용";#N/A,#N/A,FALSE,"보증2";#N/A,#N/A,FALSE,"보증1";#N/A,#N/A,FALSE,"보증";#N/A,#N/A,FALSE,"손익1";#N/A,#N/A,FALSE,"손익";#N/A,#N/A,FALSE,"부서별매출";#N/A,#N/A,FALSE,"매출"}</definedName>
    <definedName name="lora" localSheetId="4">TRUNC((oy-1)/3+1)</definedName>
    <definedName name="lora" localSheetId="5">TRUNC((oy-1)/3+1)</definedName>
    <definedName name="lora" localSheetId="11">TRUNC((oy-1)/3+1)</definedName>
    <definedName name="lora">TRUNC((oy-1)/3+1)</definedName>
    <definedName name="LOTNO">#N/A</definedName>
    <definedName name="lsdfkj" localSheetId="4" hidden="1">{#N/A,#N/A,FALSE,"인원";#N/A,#N/A,FALSE,"비용2";#N/A,#N/A,FALSE,"비용1";#N/A,#N/A,FALSE,"비용";#N/A,#N/A,FALSE,"보증2";#N/A,#N/A,FALSE,"보증1";#N/A,#N/A,FALSE,"보증";#N/A,#N/A,FALSE,"손익1";#N/A,#N/A,FALSE,"손익";#N/A,#N/A,FALSE,"부서별매출";#N/A,#N/A,FALSE,"매출"}</definedName>
    <definedName name="lsdfkj" localSheetId="5" hidden="1">{#N/A,#N/A,FALSE,"인원";#N/A,#N/A,FALSE,"비용2";#N/A,#N/A,FALSE,"비용1";#N/A,#N/A,FALSE,"비용";#N/A,#N/A,FALSE,"보증2";#N/A,#N/A,FALSE,"보증1";#N/A,#N/A,FALSE,"보증";#N/A,#N/A,FALSE,"손익1";#N/A,#N/A,FALSE,"손익";#N/A,#N/A,FALSE,"부서별매출";#N/A,#N/A,FALSE,"매출"}</definedName>
    <definedName name="lsdfkj" localSheetId="11" hidden="1">{#N/A,#N/A,FALSE,"인원";#N/A,#N/A,FALSE,"비용2";#N/A,#N/A,FALSE,"비용1";#N/A,#N/A,FALSE,"비용";#N/A,#N/A,FALSE,"보증2";#N/A,#N/A,FALSE,"보증1";#N/A,#N/A,FALSE,"보증";#N/A,#N/A,FALSE,"손익1";#N/A,#N/A,FALSE,"손익";#N/A,#N/A,FALSE,"부서별매출";#N/A,#N/A,FALSE,"매출"}</definedName>
    <definedName name="lsdfkj" hidden="1">{#N/A,#N/A,FALSE,"인원";#N/A,#N/A,FALSE,"비용2";#N/A,#N/A,FALSE,"비용1";#N/A,#N/A,FALSE,"비용";#N/A,#N/A,FALSE,"보증2";#N/A,#N/A,FALSE,"보증1";#N/A,#N/A,FALSE,"보증";#N/A,#N/A,FALSE,"손익1";#N/A,#N/A,FALSE,"손익";#N/A,#N/A,FALSE,"부서별매출";#N/A,#N/A,FALSE,"매출"}</definedName>
    <definedName name="m_AA" localSheetId="4">#REF!</definedName>
    <definedName name="m_AA" localSheetId="5">#REF!</definedName>
    <definedName name="m_AA" localSheetId="11">#REF!</definedName>
    <definedName name="m_AA">#REF!</definedName>
    <definedName name="MAIN"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AIN"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AIN"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AIN"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ANSUROV" localSheetId="4"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MANSUROV" localSheetId="5"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MANSUROV" localSheetId="11"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MANSUROV"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MARKET" localSheetId="4">#REF!</definedName>
    <definedName name="MARKET" localSheetId="5">#REF!</definedName>
    <definedName name="MARKET" localSheetId="11">#REF!</definedName>
    <definedName name="MARKET">#REF!</definedName>
    <definedName name="MARKET2" localSheetId="4">#REF!</definedName>
    <definedName name="MARKET2" localSheetId="5">#REF!</definedName>
    <definedName name="MARKET2" localSheetId="11">#REF!</definedName>
    <definedName name="MARKET2">#REF!</definedName>
    <definedName name="MARKET3" localSheetId="4">#REF!</definedName>
    <definedName name="MARKET3" localSheetId="5">#REF!</definedName>
    <definedName name="MARKET3" localSheetId="11">#REF!</definedName>
    <definedName name="MARKET3">#REF!</definedName>
    <definedName name="MARKET4" localSheetId="11">#REF!</definedName>
    <definedName name="MARKET4">#REF!</definedName>
    <definedName name="MASTER" localSheetId="4" hidden="1">{#N/A,#N/A,TRUE,"일정"}</definedName>
    <definedName name="MASTER" localSheetId="5" hidden="1">{#N/A,#N/A,TRUE,"일정"}</definedName>
    <definedName name="MASTER" localSheetId="11" hidden="1">{#N/A,#N/A,TRUE,"일정"}</definedName>
    <definedName name="MASTER" hidden="1">{#N/A,#N/A,TRUE,"일정"}</definedName>
    <definedName name="MEDIU"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MEDIU"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MEDIU"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MEDIU"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MFT" localSheetId="4">#REF!,#REF!,#REF!,#REF!</definedName>
    <definedName name="MFT" localSheetId="5">#REF!,#REF!,#REF!,#REF!</definedName>
    <definedName name="MFT" localSheetId="11">#REF!,#REF!,#REF!,#REF!</definedName>
    <definedName name="MFT">#REF!,#REF!,#REF!,#REF!</definedName>
    <definedName name="MFTU" localSheetId="4">#REF!,#REF!,#REF!,#REF!</definedName>
    <definedName name="MFTU" localSheetId="5">#REF!,#REF!,#REF!,#REF!</definedName>
    <definedName name="MFTU" localSheetId="11">#REF!,#REF!,#REF!,#REF!</definedName>
    <definedName name="MFTU">#REF!,#REF!,#REF!,#REF!</definedName>
    <definedName name="mn">"Август"</definedName>
    <definedName name="Monetary_Precision" localSheetId="4">#REF!</definedName>
    <definedName name="Monetary_Precision" localSheetId="5">#REF!</definedName>
    <definedName name="Monetary_Precision" localSheetId="11">#REF!</definedName>
    <definedName name="Monetary_Precision">#REF!</definedName>
    <definedName name="Money1" localSheetId="4">#REF!</definedName>
    <definedName name="Money1" localSheetId="5">#REF!</definedName>
    <definedName name="Money1" localSheetId="11">#REF!</definedName>
    <definedName name="Money1">#REF!</definedName>
    <definedName name="Money2" localSheetId="4">#REF!</definedName>
    <definedName name="Money2" localSheetId="5">#REF!</definedName>
    <definedName name="Money2" localSheetId="11">#REF!</definedName>
    <definedName name="Money2">#REF!</definedName>
    <definedName name="MONTH">#N/A</definedName>
    <definedName name="monthl" localSheetId="4" hidden="1">{"'Monthly 1997'!$A$3:$S$89"}</definedName>
    <definedName name="monthl" localSheetId="5" hidden="1">{"'Monthly 1997'!$A$3:$S$89"}</definedName>
    <definedName name="monthl" localSheetId="11" hidden="1">{"'Monthly 1997'!$A$3:$S$89"}</definedName>
    <definedName name="monthl" hidden="1">{"'Monthly 1997'!$A$3:$S$89"}</definedName>
    <definedName name="Monthly" localSheetId="4" hidden="1">{"'Monthly 1997'!$A$3:$S$89"}</definedName>
    <definedName name="Monthly" localSheetId="5" hidden="1">{"'Monthly 1997'!$A$3:$S$89"}</definedName>
    <definedName name="Monthly" localSheetId="11" hidden="1">{"'Monthly 1997'!$A$3:$S$89"}</definedName>
    <definedName name="Monthly" hidden="1">{"'Monthly 1997'!$A$3:$S$89"}</definedName>
    <definedName name="MSIX" localSheetId="11">#REF!</definedName>
    <definedName name="MSIX">#REF!</definedName>
    <definedName name="mtg" localSheetId="11">#REF!</definedName>
    <definedName name="mtg">#REF!</definedName>
    <definedName name="MTHREE" localSheetId="11">#REF!</definedName>
    <definedName name="MTHREE">#REF!</definedName>
    <definedName name="n" localSheetId="4">{30,140,350,160,"",""}</definedName>
    <definedName name="n" localSheetId="5">{30,140,350,160,"",""}</definedName>
    <definedName name="n" localSheetId="11">{30,140,350,160,"",""}</definedName>
    <definedName name="n">{30,140,350,160,"",""}</definedName>
    <definedName name="nakDay" localSheetId="4">#REF!</definedName>
    <definedName name="nakDay" localSheetId="5">#REF!</definedName>
    <definedName name="nakDay" localSheetId="11">#REF!</definedName>
    <definedName name="nakDay">#REF!</definedName>
    <definedName name="nakFrom" localSheetId="4">#REF!</definedName>
    <definedName name="nakFrom" localSheetId="5">#REF!</definedName>
    <definedName name="nakFrom" localSheetId="11">#REF!</definedName>
    <definedName name="nakFrom">#REF!</definedName>
    <definedName name="nakMonth" localSheetId="4">#REF!</definedName>
    <definedName name="nakMonth" localSheetId="5">#REF!</definedName>
    <definedName name="nakMonth" localSheetId="11">#REF!</definedName>
    <definedName name="nakMonth">#REF!</definedName>
    <definedName name="nakName" localSheetId="11">#REF!</definedName>
    <definedName name="nakName">#REF!</definedName>
    <definedName name="nakNo" localSheetId="11">#REF!</definedName>
    <definedName name="nakNo">#REF!</definedName>
    <definedName name="nakNumber" localSheetId="11">#REF!</definedName>
    <definedName name="nakNumber">#REF!</definedName>
    <definedName name="nakPriceC" localSheetId="11">#REF!</definedName>
    <definedName name="nakPriceC">#REF!</definedName>
    <definedName name="nakPriceR" localSheetId="11">#REF!</definedName>
    <definedName name="nakPriceR">#REF!</definedName>
    <definedName name="nakQnt" localSheetId="11">#REF!</definedName>
    <definedName name="nakQnt">#REF!</definedName>
    <definedName name="nakSumC" localSheetId="11">#REF!</definedName>
    <definedName name="nakSumC">#REF!</definedName>
    <definedName name="nakSumR" localSheetId="11">#REF!</definedName>
    <definedName name="nakSumR">#REF!</definedName>
    <definedName name="nakTo" localSheetId="11">#REF!</definedName>
    <definedName name="nakTo">#REF!</definedName>
    <definedName name="nakYear" localSheetId="11">#REF!</definedName>
    <definedName name="nakYear">#REF!</definedName>
    <definedName name="Natur" localSheetId="11">#REF!</definedName>
    <definedName name="Natur">#REF!</definedName>
    <definedName name="nb" localSheetId="4">{30,140,350,160,"",""}</definedName>
    <definedName name="nb" localSheetId="5">{30,140,350,160,"",""}</definedName>
    <definedName name="nb" localSheetId="11">{30,140,350,160,"",""}</definedName>
    <definedName name="nb">{30,140,350,160,"",""}</definedName>
    <definedName name="nbv" localSheetId="4">{30,140,350,160,"",""}</definedName>
    <definedName name="nbv" localSheetId="5">{30,140,350,160,"",""}</definedName>
    <definedName name="nbv" localSheetId="11">{30,140,350,160,"",""}</definedName>
    <definedName name="nbv">{30,140,350,160,"",""}</definedName>
    <definedName name="NDEDUINDC">#N/A</definedName>
    <definedName name="New" localSheetId="4" hidden="1">{#N/A,#N/A,TRUE,"일정"}</definedName>
    <definedName name="New" localSheetId="5" hidden="1">{#N/A,#N/A,TRUE,"일정"}</definedName>
    <definedName name="New" localSheetId="11" hidden="1">{#N/A,#N/A,TRUE,"일정"}</definedName>
    <definedName name="New" hidden="1">{#N/A,#N/A,TRUE,"일정"}</definedName>
    <definedName name="NFT" localSheetId="4">#REF!,#REF!,#REF!,#REF!</definedName>
    <definedName name="NFT" localSheetId="5">#REF!,#REF!,#REF!,#REF!</definedName>
    <definedName name="NFT" localSheetId="11">#REF!,#REF!,#REF!,#REF!</definedName>
    <definedName name="NFT">#REF!,#REF!,#REF!,#REF!</definedName>
    <definedName name="NG"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NG"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NG"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N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nhg" localSheetId="4">{30,140,350,160,"",""}</definedName>
    <definedName name="nhg" localSheetId="5">{30,140,350,160,"",""}</definedName>
    <definedName name="nhg" localSheetId="11">{30,140,350,160,"",""}</definedName>
    <definedName name="nhg">{30,140,350,160,"",""}</definedName>
    <definedName name="nj" localSheetId="4">#REF!</definedName>
    <definedName name="nj" localSheetId="5">#REF!</definedName>
    <definedName name="nj" localSheetId="11">#REF!</definedName>
    <definedName name="nj">#REF!</definedName>
    <definedName name="nn" localSheetId="4">{30,140,350,160,"",""}</definedName>
    <definedName name="nn" localSheetId="5">{30,140,350,160,"",""}</definedName>
    <definedName name="nn" localSheetId="11">{30,140,350,160,"",""}</definedName>
    <definedName name="nn">{30,140,350,160,"",""}</definedName>
    <definedName name="NNN" localSheetId="4">#REF!</definedName>
    <definedName name="NNN" localSheetId="5">#REF!</definedName>
    <definedName name="NNN" localSheetId="11">#REF!</definedName>
    <definedName name="NNN">#REF!</definedName>
    <definedName name="nonbaht" localSheetId="4">#REF!</definedName>
    <definedName name="nonbaht" localSheetId="5">#REF!</definedName>
    <definedName name="nonbaht" localSheetId="11">#REF!</definedName>
    <definedName name="nonbaht">#REF!</definedName>
    <definedName name="Num_Pmt_Per_Year" localSheetId="4">#REF!</definedName>
    <definedName name="Num_Pmt_Per_Year" localSheetId="5">#REF!</definedName>
    <definedName name="Num_Pmt_Per_Year" localSheetId="11">#REF!</definedName>
    <definedName name="Num_Pmt_Per_Year">#REF!</definedName>
    <definedName name="Number_of_Payments" localSheetId="4">MATCH(0.01,End_Bal,-1)+1</definedName>
    <definedName name="Number_of_Payments" localSheetId="5">MATCH(0.01,End_Bal,-1)+1</definedName>
    <definedName name="Number_of_Payments" localSheetId="11">MATCH(0.01,list12!End_Bal,-1)+1</definedName>
    <definedName name="Number_of_Payments">MATCH(0.01,End_Bal,-1)+1</definedName>
    <definedName name="nyny">#N/A</definedName>
    <definedName name="o" localSheetId="4">{30,140,350,160,"",""}</definedName>
    <definedName name="o" localSheetId="5">{30,140,350,160,"",""}</definedName>
    <definedName name="o" localSheetId="11">{30,140,350,160,"",""}</definedName>
    <definedName name="o">{30,140,350,160,"",""}</definedName>
    <definedName name="obshiyT" localSheetId="4">#REF!</definedName>
    <definedName name="obshiyT" localSheetId="5">#REF!</definedName>
    <definedName name="obshiyT" localSheetId="11">#REF!</definedName>
    <definedName name="obshiyT">#REF!</definedName>
    <definedName name="obsN" localSheetId="4">#REF!</definedName>
    <definedName name="obsN" localSheetId="5">#REF!</definedName>
    <definedName name="obsN" localSheetId="11">#REF!</definedName>
    <definedName name="obsN">#REF!</definedName>
    <definedName name="OFF_ROAD" localSheetId="4">#REF!,#REF!,#REF!,#REF!,#REF!,#REF!,#REF!,#REF!,#REF!,#REF!,#REF!,#REF!</definedName>
    <definedName name="OFF_ROAD" localSheetId="5">#REF!,#REF!,#REF!,#REF!,#REF!,#REF!,#REF!,#REF!,#REF!,#REF!,#REF!,#REF!</definedName>
    <definedName name="OFF_ROAD" localSheetId="11">#REF!,#REF!,#REF!,#REF!,#REF!,#REF!,#REF!,#REF!,#REF!,#REF!,#REF!,#REF!</definedName>
    <definedName name="OFF_ROAD">#REF!,#REF!,#REF!,#REF!,#REF!,#REF!,#REF!,#REF!,#REF!,#REF!,#REF!,#REF!</definedName>
    <definedName name="OID"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OID"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OID"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OID"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oiu" localSheetId="4">{30,140,350,160,"",""}</definedName>
    <definedName name="oiu" localSheetId="5">{30,140,350,160,"",""}</definedName>
    <definedName name="oiu" localSheetId="11">{30,140,350,160,"",""}</definedName>
    <definedName name="oiu">{30,140,350,160,"",""}</definedName>
    <definedName name="OLE_LINK11" localSheetId="6">list07!#REF!</definedName>
    <definedName name="OLE_LINK14" localSheetId="13">list14!$B$14</definedName>
    <definedName name="OO"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O"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O"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O"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OOOOO"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OOOOO"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OOOOO"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OOOO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P" localSheetId="4">#REF!</definedName>
    <definedName name="OP" localSheetId="5">#REF!</definedName>
    <definedName name="OP" localSheetId="11">#REF!</definedName>
    <definedName name="OP">#REF!</definedName>
    <definedName name="OPEN"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PEN"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PEN"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PEN"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uymbg">#N/A</definedName>
    <definedName name="oy">#N/A</definedName>
    <definedName name="p" localSheetId="4">{30,140,350,160,"",""}</definedName>
    <definedName name="p" localSheetId="5">{30,140,350,160,"",""}</definedName>
    <definedName name="p" localSheetId="11">{30,140,350,160,"",""}</definedName>
    <definedName name="p">{30,140,350,160,"",""}</definedName>
    <definedName name="PACK" localSheetId="4" hidden="1">{#N/A,#N/A,FALSE,"BODY"}</definedName>
    <definedName name="PACK" localSheetId="5" hidden="1">{#N/A,#N/A,FALSE,"BODY"}</definedName>
    <definedName name="PACK" localSheetId="11" hidden="1">{#N/A,#N/A,FALSE,"BODY"}</definedName>
    <definedName name="PACK" hidden="1">{#N/A,#N/A,FALSE,"BODY"}</definedName>
    <definedName name="PACKING" localSheetId="4" hidden="1">{#N/A,#N/A,FALSE,"BODY"}</definedName>
    <definedName name="PACKING" localSheetId="5" hidden="1">{#N/A,#N/A,FALSE,"BODY"}</definedName>
    <definedName name="PACKING" localSheetId="11" hidden="1">{#N/A,#N/A,FALSE,"BODY"}</definedName>
    <definedName name="PACKING" hidden="1">{#N/A,#N/A,FALSE,"BODY"}</definedName>
    <definedName name="PACKINGLIST" localSheetId="4" hidden="1">{#N/A,#N/A,FALSE,"BODY"}</definedName>
    <definedName name="PACKINGLIST" localSheetId="5" hidden="1">{#N/A,#N/A,FALSE,"BODY"}</definedName>
    <definedName name="PACKINGLIST" localSheetId="11" hidden="1">{#N/A,#N/A,FALSE,"BODY"}</definedName>
    <definedName name="PACKINGLIST" hidden="1">{#N/A,#N/A,FALSE,"BODY"}</definedName>
    <definedName name="pani" localSheetId="4" hidden="1">{#N/A,#N/A,FALSE,"SimInp1";#N/A,#N/A,FALSE,"SimInp2";#N/A,#N/A,FALSE,"SimOut1";#N/A,#N/A,FALSE,"SimOut2";#N/A,#N/A,FALSE,"SimOut3";#N/A,#N/A,FALSE,"SimOut4";#N/A,#N/A,FALSE,"SimOut5"}</definedName>
    <definedName name="pani" localSheetId="5" hidden="1">{#N/A,#N/A,FALSE,"SimInp1";#N/A,#N/A,FALSE,"SimInp2";#N/A,#N/A,FALSE,"SimOut1";#N/A,#N/A,FALSE,"SimOut2";#N/A,#N/A,FALSE,"SimOut3";#N/A,#N/A,FALSE,"SimOut4";#N/A,#N/A,FALSE,"SimOut5"}</definedName>
    <definedName name="pani" localSheetId="11" hidden="1">{#N/A,#N/A,FALSE,"SimInp1";#N/A,#N/A,FALSE,"SimInp2";#N/A,#N/A,FALSE,"SimOut1";#N/A,#N/A,FALSE,"SimOut2";#N/A,#N/A,FALSE,"SimOut3";#N/A,#N/A,FALSE,"SimOut4";#N/A,#N/A,FALSE,"SimOut5"}</definedName>
    <definedName name="pani" hidden="1">{#N/A,#N/A,FALSE,"SimInp1";#N/A,#N/A,FALSE,"SimInp2";#N/A,#N/A,FALSE,"SimOut1";#N/A,#N/A,FALSE,"SimOut2";#N/A,#N/A,FALSE,"SimOut3";#N/A,#N/A,FALSE,"SimOut4";#N/A,#N/A,FALSE,"SimOut5"}</definedName>
    <definedName name="PARTNO">#N/A</definedName>
    <definedName name="PARTS"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S"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S"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S"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y_Date" localSheetId="4">#REF!</definedName>
    <definedName name="Pay_Date" localSheetId="5">#REF!</definedName>
    <definedName name="Pay_Date" localSheetId="11">#REF!</definedName>
    <definedName name="Pay_Date">#REF!</definedName>
    <definedName name="Pay_Num" localSheetId="4">#REF!</definedName>
    <definedName name="Pay_Num" localSheetId="5">#REF!</definedName>
    <definedName name="Pay_Num" localSheetId="11">#REF!</definedName>
    <definedName name="Pay_Num">#REF!</definedName>
    <definedName name="Payment_Date">#N/A</definedName>
    <definedName name="pds" localSheetId="4">#REF!</definedName>
    <definedName name="pds" localSheetId="5">#REF!</definedName>
    <definedName name="pds" localSheetId="11">#REF!</definedName>
    <definedName name="pds">#REF!</definedName>
    <definedName name="Per_Nam" localSheetId="4">#REF!</definedName>
    <definedName name="Per_Nam" localSheetId="5">#REF!</definedName>
    <definedName name="Per_Nam" localSheetId="11">#REF!</definedName>
    <definedName name="Per_Nam">#REF!</definedName>
    <definedName name="Person" localSheetId="4">#REF!</definedName>
    <definedName name="Person" localSheetId="5">#REF!</definedName>
    <definedName name="Person" localSheetId="11">#REF!</definedName>
    <definedName name="Person">#REF!</definedName>
    <definedName name="PH단계별" localSheetId="4" hidden="1">{#N/A,#N/A,TRUE,"일정"}</definedName>
    <definedName name="PH단계별" localSheetId="5" hidden="1">{#N/A,#N/A,TRUE,"일정"}</definedName>
    <definedName name="PH단계별" localSheetId="11" hidden="1">{#N/A,#N/A,TRUE,"일정"}</definedName>
    <definedName name="PH단계별" hidden="1">{#N/A,#N/A,TRUE,"일정"}</definedName>
    <definedName name="PJT" localSheetId="4" hidden="1">{#N/A,#N/A,FALSE,"인원";#N/A,#N/A,FALSE,"비용2";#N/A,#N/A,FALSE,"비용1";#N/A,#N/A,FALSE,"비용";#N/A,#N/A,FALSE,"보증2";#N/A,#N/A,FALSE,"보증1";#N/A,#N/A,FALSE,"보증";#N/A,#N/A,FALSE,"손익1";#N/A,#N/A,FALSE,"손익";#N/A,#N/A,FALSE,"부서별매출";#N/A,#N/A,FALSE,"매출"}</definedName>
    <definedName name="PJT" localSheetId="5" hidden="1">{#N/A,#N/A,FALSE,"인원";#N/A,#N/A,FALSE,"비용2";#N/A,#N/A,FALSE,"비용1";#N/A,#N/A,FALSE,"비용";#N/A,#N/A,FALSE,"보증2";#N/A,#N/A,FALSE,"보증1";#N/A,#N/A,FALSE,"보증";#N/A,#N/A,FALSE,"손익1";#N/A,#N/A,FALSE,"손익";#N/A,#N/A,FALSE,"부서별매출";#N/A,#N/A,FALSE,"매출"}</definedName>
    <definedName name="PJT" localSheetId="11" hidden="1">{#N/A,#N/A,FALSE,"인원";#N/A,#N/A,FALSE,"비용2";#N/A,#N/A,FALSE,"비용1";#N/A,#N/A,FALSE,"비용";#N/A,#N/A,FALSE,"보증2";#N/A,#N/A,FALSE,"보증1";#N/A,#N/A,FALSE,"보증";#N/A,#N/A,FALSE,"손익1";#N/A,#N/A,FALSE,"손익";#N/A,#N/A,FALSE,"부서별매출";#N/A,#N/A,FALSE,"매출"}</definedName>
    <definedName name="PJT" hidden="1">{#N/A,#N/A,FALSE,"인원";#N/A,#N/A,FALSE,"비용2";#N/A,#N/A,FALSE,"비용1";#N/A,#N/A,FALSE,"비용";#N/A,#N/A,FALSE,"보증2";#N/A,#N/A,FALSE,"보증1";#N/A,#N/A,FALSE,"보증";#N/A,#N/A,FALSE,"손익1";#N/A,#N/A,FALSE,"손익";#N/A,#N/A,FALSE,"부서별매출";#N/A,#N/A,FALSE,"매출"}</definedName>
    <definedName name="pjv" localSheetId="4">#REF!</definedName>
    <definedName name="pjv" localSheetId="5">#REF!</definedName>
    <definedName name="pjv" localSheetId="11">#REF!</definedName>
    <definedName name="pjv">#REF!</definedName>
    <definedName name="PL" localSheetId="4" hidden="1">{#N/A,#N/A,FALSE,"BODY"}</definedName>
    <definedName name="PL" localSheetId="5" hidden="1">{#N/A,#N/A,FALSE,"BODY"}</definedName>
    <definedName name="PL" localSheetId="11" hidden="1">{#N/A,#N/A,FALSE,"BODY"}</definedName>
    <definedName name="PL" hidden="1">{#N/A,#N/A,FALSE,"BODY"}</definedName>
    <definedName name="pmnCCode1" localSheetId="4">#REF!</definedName>
    <definedName name="pmnCCode1" localSheetId="5">#REF!</definedName>
    <definedName name="pmnCCode1" localSheetId="11">#REF!</definedName>
    <definedName name="pmnCCode1">#REF!</definedName>
    <definedName name="pmnCCode2" localSheetId="4">#REF!</definedName>
    <definedName name="pmnCCode2" localSheetId="5">#REF!</definedName>
    <definedName name="pmnCCode2" localSheetId="11">#REF!</definedName>
    <definedName name="pmnCCode2">#REF!</definedName>
    <definedName name="pmnDay" localSheetId="4">#REF!</definedName>
    <definedName name="pmnDay" localSheetId="5">#REF!</definedName>
    <definedName name="pmnDay" localSheetId="11">#REF!</definedName>
    <definedName name="pmnDay">#REF!</definedName>
    <definedName name="pmnDCode1" localSheetId="11">#REF!</definedName>
    <definedName name="pmnDCode1">#REF!</definedName>
    <definedName name="pmnDCode2" localSheetId="11">#REF!</definedName>
    <definedName name="pmnDCode2">#REF!</definedName>
    <definedName name="pmnDirection" localSheetId="11">#REF!</definedName>
    <definedName name="pmnDirection">#REF!</definedName>
    <definedName name="pmnMonth" localSheetId="11">#REF!</definedName>
    <definedName name="pmnMonth">#REF!</definedName>
    <definedName name="pmnNumber" localSheetId="11">#REF!</definedName>
    <definedName name="pmnNumber">#REF!</definedName>
    <definedName name="pmnOper" localSheetId="11">#REF!</definedName>
    <definedName name="pmnOper">#REF!</definedName>
    <definedName name="pmnPayer" localSheetId="11">#REF!</definedName>
    <definedName name="pmnPayer">#REF!</definedName>
    <definedName name="pmnPayer1" localSheetId="11">#REF!</definedName>
    <definedName name="pmnPayer1">#REF!</definedName>
    <definedName name="pmnPayerBank1" localSheetId="11">#REF!</definedName>
    <definedName name="pmnPayerBank1">#REF!</definedName>
    <definedName name="pmnPayerBank2" localSheetId="11">#REF!</definedName>
    <definedName name="pmnPayerBank2">#REF!</definedName>
    <definedName name="pmnPayerBank3" localSheetId="11">#REF!</definedName>
    <definedName name="pmnPayerBank3">#REF!</definedName>
    <definedName name="pmnPayerCode" localSheetId="11">#REF!</definedName>
    <definedName name="pmnPayerCode">#REF!</definedName>
    <definedName name="pmnPayerCount1" localSheetId="11">#REF!</definedName>
    <definedName name="pmnPayerCount1">#REF!</definedName>
    <definedName name="pmnPayerCount2" localSheetId="11">#REF!</definedName>
    <definedName name="pmnPayerCount2">#REF!</definedName>
    <definedName name="pmnPayerCount3" localSheetId="11">#REF!</definedName>
    <definedName name="pmnPayerCount3">#REF!</definedName>
    <definedName name="pmnRecBank1" localSheetId="11">#REF!</definedName>
    <definedName name="pmnRecBank1">#REF!</definedName>
    <definedName name="pmnRecBank2" localSheetId="11">#REF!</definedName>
    <definedName name="pmnRecBank2">#REF!</definedName>
    <definedName name="pmnRecBank3" localSheetId="11">#REF!</definedName>
    <definedName name="pmnRecBank3">#REF!</definedName>
    <definedName name="pmnRecCode" localSheetId="11">#REF!</definedName>
    <definedName name="pmnRecCode">#REF!</definedName>
    <definedName name="pmnRecCount1" localSheetId="11">#REF!</definedName>
    <definedName name="pmnRecCount1">#REF!</definedName>
    <definedName name="pmnRecCount2" localSheetId="11">#REF!</definedName>
    <definedName name="pmnRecCount2">#REF!</definedName>
    <definedName name="pmnRecCount3" localSheetId="11">#REF!</definedName>
    <definedName name="pmnRecCount3">#REF!</definedName>
    <definedName name="pmnReceiver" localSheetId="11">#REF!</definedName>
    <definedName name="pmnReceiver">#REF!</definedName>
    <definedName name="pmnReceiver1" localSheetId="11">#REF!</definedName>
    <definedName name="pmnReceiver1">#REF!</definedName>
    <definedName name="pmnSum1" localSheetId="11">#REF!</definedName>
    <definedName name="pmnSum1">#REF!</definedName>
    <definedName name="pmnSum2" localSheetId="11">#REF!</definedName>
    <definedName name="pmnSum2">#REF!</definedName>
    <definedName name="pmnWNalog" localSheetId="11">#REF!</definedName>
    <definedName name="pmnWNalog">#REF!</definedName>
    <definedName name="pmnWSum1" localSheetId="11">#REF!</definedName>
    <definedName name="pmnWSum1">#REF!</definedName>
    <definedName name="pmnWSum2" localSheetId="11">#REF!</definedName>
    <definedName name="pmnWSum2">#REF!</definedName>
    <definedName name="pmnWSum3" localSheetId="11">#REF!</definedName>
    <definedName name="pmnWSum3">#REF!</definedName>
    <definedName name="pmnYear" localSheetId="11">#REF!</definedName>
    <definedName name="pmnYear">#REF!</definedName>
    <definedName name="PMon2" localSheetId="11">#REF!</definedName>
    <definedName name="PMon2">#REF!</definedName>
    <definedName name="PNOTENO">#N/A</definedName>
    <definedName name="PNumMon" localSheetId="4">#REF!</definedName>
    <definedName name="PNumMon" localSheetId="5">#REF!</definedName>
    <definedName name="PNumMon" localSheetId="11">#REF!</definedName>
    <definedName name="PNumMon">#REF!</definedName>
    <definedName name="po" localSheetId="4">{30,140,350,160,"",""}</definedName>
    <definedName name="po" localSheetId="5">{30,140,350,160,"",""}</definedName>
    <definedName name="po" localSheetId="11">{30,140,350,160,"",""}</definedName>
    <definedName name="po">{30,140,350,160,"",""}</definedName>
    <definedName name="POI"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OI"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OI"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OI"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p" localSheetId="4">#REF!</definedName>
    <definedName name="pp" localSheetId="5">#REF!</definedName>
    <definedName name="pp" localSheetId="11">#REF!</definedName>
    <definedName name="pp">#REF!</definedName>
    <definedName name="PPPPPP"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PPPPP"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PPPPP"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PPPP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R" localSheetId="4" hidden="1">{#N/A,#N/A,FALSE,"인원";#N/A,#N/A,FALSE,"비용2";#N/A,#N/A,FALSE,"비용1";#N/A,#N/A,FALSE,"비용";#N/A,#N/A,FALSE,"보증2";#N/A,#N/A,FALSE,"보증1";#N/A,#N/A,FALSE,"보증";#N/A,#N/A,FALSE,"손익1";#N/A,#N/A,FALSE,"손익";#N/A,#N/A,FALSE,"부서별매출";#N/A,#N/A,FALSE,"매출"}</definedName>
    <definedName name="PR" localSheetId="5" hidden="1">{#N/A,#N/A,FALSE,"인원";#N/A,#N/A,FALSE,"비용2";#N/A,#N/A,FALSE,"비용1";#N/A,#N/A,FALSE,"비용";#N/A,#N/A,FALSE,"보증2";#N/A,#N/A,FALSE,"보증1";#N/A,#N/A,FALSE,"보증";#N/A,#N/A,FALSE,"손익1";#N/A,#N/A,FALSE,"손익";#N/A,#N/A,FALSE,"부서별매출";#N/A,#N/A,FALSE,"매출"}</definedName>
    <definedName name="PR" localSheetId="11" hidden="1">{#N/A,#N/A,FALSE,"인원";#N/A,#N/A,FALSE,"비용2";#N/A,#N/A,FALSE,"비용1";#N/A,#N/A,FALSE,"비용";#N/A,#N/A,FALSE,"보증2";#N/A,#N/A,FALSE,"보증1";#N/A,#N/A,FALSE,"보증";#N/A,#N/A,FALSE,"손익1";#N/A,#N/A,FALSE,"손익";#N/A,#N/A,FALSE,"부서별매출";#N/A,#N/A,FALSE,"매출"}</definedName>
    <definedName name="PR" hidden="1">{#N/A,#N/A,FALSE,"인원";#N/A,#N/A,FALSE,"비용2";#N/A,#N/A,FALSE,"비용1";#N/A,#N/A,FALSE,"비용";#N/A,#N/A,FALSE,"보증2";#N/A,#N/A,FALSE,"보증1";#N/A,#N/A,FALSE,"보증";#N/A,#N/A,FALSE,"손익1";#N/A,#N/A,FALSE,"손익";#N/A,#N/A,FALSE,"부서별매출";#N/A,#N/A,FALSE,"매출"}</definedName>
    <definedName name="PRESS"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RESS"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RESS"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RES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riApplication1" localSheetId="4">#REF!</definedName>
    <definedName name="priApplication1" localSheetId="5">#REF!</definedName>
    <definedName name="priApplication1" localSheetId="11">#REF!</definedName>
    <definedName name="priApplication1">#REF!</definedName>
    <definedName name="priApplication2" localSheetId="4">#REF!</definedName>
    <definedName name="priApplication2" localSheetId="5">#REF!</definedName>
    <definedName name="priApplication2" localSheetId="11">#REF!</definedName>
    <definedName name="priApplication2">#REF!</definedName>
    <definedName name="priDate1" localSheetId="4">#REF!</definedName>
    <definedName name="priDate1" localSheetId="5">#REF!</definedName>
    <definedName name="priDate1" localSheetId="11">#REF!</definedName>
    <definedName name="priDate1">#REF!</definedName>
    <definedName name="priDate2" localSheetId="11">#REF!</definedName>
    <definedName name="priDate2">#REF!</definedName>
    <definedName name="priKDay" localSheetId="11">#REF!</definedName>
    <definedName name="priKDay">#REF!</definedName>
    <definedName name="priKMonth" localSheetId="11">#REF!</definedName>
    <definedName name="priKMonth">#REF!</definedName>
    <definedName name="priKNumber" localSheetId="11">#REF!</definedName>
    <definedName name="priKNumber">#REF!</definedName>
    <definedName name="priKOrgn" localSheetId="11">#REF!</definedName>
    <definedName name="priKOrgn">#REF!</definedName>
    <definedName name="priKPayer1" localSheetId="11">#REF!</definedName>
    <definedName name="priKPayer1">#REF!</definedName>
    <definedName name="priKPayer2" localSheetId="11">#REF!</definedName>
    <definedName name="priKPayer2">#REF!</definedName>
    <definedName name="priKPayer3" localSheetId="11">#REF!</definedName>
    <definedName name="priKPayer3">#REF!</definedName>
    <definedName name="priKSubject1" localSheetId="11">#REF!</definedName>
    <definedName name="priKSubject1">#REF!</definedName>
    <definedName name="priKSubject2" localSheetId="11">#REF!</definedName>
    <definedName name="priKSubject2">#REF!</definedName>
    <definedName name="priKSubject3" localSheetId="11">#REF!</definedName>
    <definedName name="priKSubject3">#REF!</definedName>
    <definedName name="priKWSum1" localSheetId="11">#REF!</definedName>
    <definedName name="priKWSum1">#REF!</definedName>
    <definedName name="priKWSum2" localSheetId="11">#REF!</definedName>
    <definedName name="priKWSum2">#REF!</definedName>
    <definedName name="priKWSum3" localSheetId="11">#REF!</definedName>
    <definedName name="priKWSum3">#REF!</definedName>
    <definedName name="priKWSum4" localSheetId="11">#REF!</definedName>
    <definedName name="priKWSum4">#REF!</definedName>
    <definedName name="priKWSum5" localSheetId="11">#REF!</definedName>
    <definedName name="priKWSum5">#REF!</definedName>
    <definedName name="priKWSumC" localSheetId="11">#REF!</definedName>
    <definedName name="priKWSumC">#REF!</definedName>
    <definedName name="priKYear" localSheetId="11">#REF!</definedName>
    <definedName name="priKYear">#REF!</definedName>
    <definedName name="Prim1" localSheetId="11">#REF!</definedName>
    <definedName name="Prim1">#REF!</definedName>
    <definedName name="Prim2" localSheetId="11">#REF!</definedName>
    <definedName name="Prim2">#REF!</definedName>
    <definedName name="Prim3" localSheetId="11">#REF!</definedName>
    <definedName name="Prim3">#REF!</definedName>
    <definedName name="Prim4" localSheetId="11">#REF!</definedName>
    <definedName name="Prim4">#REF!</definedName>
    <definedName name="PRIMAMT">#N/A</definedName>
    <definedName name="Princ" localSheetId="4">#REF!</definedName>
    <definedName name="Princ" localSheetId="5">#REF!</definedName>
    <definedName name="Princ" localSheetId="11">#REF!</definedName>
    <definedName name="Princ">#REF!</definedName>
    <definedName name="Print_3_pages" localSheetId="4">#REF!,#REF!,#REF!</definedName>
    <definedName name="Print_3_pages" localSheetId="5">#REF!,#REF!,#REF!</definedName>
    <definedName name="Print_3_pages" localSheetId="11">#REF!,#REF!,#REF!</definedName>
    <definedName name="Print_3_pages">#REF!,#REF!,#REF!</definedName>
    <definedName name="Print_Area_Reset" localSheetId="4">OFFSET(list05!Full_Print,0,0,Last_Row)</definedName>
    <definedName name="Print_Area_Reset" localSheetId="5">OFFSET(list06!Full_Print,0,0,Last_Row)</definedName>
    <definedName name="Print_Area_Reset" localSheetId="11">OFFSET(list12!Full_Print,0,0,Last_Row)</definedName>
    <definedName name="Print_Area_Reset">OFFSET(Full_Print,0,0,Last_Row)</definedName>
    <definedName name="print3pages" localSheetId="4">#REF!,#REF!,#REF!</definedName>
    <definedName name="print3pages" localSheetId="5">#REF!,#REF!,#REF!</definedName>
    <definedName name="print3pages" localSheetId="11">#REF!,#REF!,#REF!</definedName>
    <definedName name="print3pages">#REF!,#REF!,#REF!</definedName>
    <definedName name="PRINT객ITLES" localSheetId="4">#REF!</definedName>
    <definedName name="PRINT객ITLES" localSheetId="5">#REF!</definedName>
    <definedName name="PRINT객ITLES" localSheetId="11">#REF!</definedName>
    <definedName name="PRINT객ITLES">#REF!</definedName>
    <definedName name="PRINT객ITLES강I" localSheetId="4">#REF!</definedName>
    <definedName name="PRINT객ITLES강I" localSheetId="5">#REF!</definedName>
    <definedName name="PRINT객ITLES강I" localSheetId="11">#REF!</definedName>
    <definedName name="PRINT객ITLES강I">#REF!</definedName>
    <definedName name="PRINTㅣREA" localSheetId="4">#REF!</definedName>
    <definedName name="PRINTㅣREA" localSheetId="5">#REF!</definedName>
    <definedName name="PRINTㅣREA" localSheetId="11">#REF!</definedName>
    <definedName name="PRINTㅣREA">#REF!</definedName>
    <definedName name="PRINTㅣREA강I" localSheetId="11">#REF!</definedName>
    <definedName name="PRINTㅣREA강I">#REF!</definedName>
    <definedName name="priNumber" localSheetId="11">#REF!</definedName>
    <definedName name="priNumber">#REF!</definedName>
    <definedName name="priOrgn" localSheetId="11">#REF!</definedName>
    <definedName name="priOrgn">#REF!</definedName>
    <definedName name="priPayer" localSheetId="11">#REF!</definedName>
    <definedName name="priPayer">#REF!</definedName>
    <definedName name="priSubject1" localSheetId="11">#REF!</definedName>
    <definedName name="priSubject1">#REF!</definedName>
    <definedName name="priSubject2" localSheetId="11">#REF!</definedName>
    <definedName name="priSubject2">#REF!</definedName>
    <definedName name="priSum" localSheetId="11">#REF!</definedName>
    <definedName name="priSum">#REF!</definedName>
    <definedName name="priWSum1" localSheetId="11">#REF!</definedName>
    <definedName name="priWSum1">#REF!</definedName>
    <definedName name="priWSum2" localSheetId="11">#REF!</definedName>
    <definedName name="priWSum2">#REF!</definedName>
    <definedName name="priWSumC" localSheetId="11">#REF!</definedName>
    <definedName name="priWSumC">#REF!</definedName>
    <definedName name="PRO" localSheetId="4" hidden="1">{#N/A,#N/A,TRUE,"일정"}</definedName>
    <definedName name="PRO" localSheetId="5" hidden="1">{#N/A,#N/A,TRUE,"일정"}</definedName>
    <definedName name="PRO" localSheetId="11" hidden="1">{#N/A,#N/A,TRUE,"일정"}</definedName>
    <definedName name="PRO" hidden="1">{#N/A,#N/A,TRUE,"일정"}</definedName>
    <definedName name="ProcDiscount" localSheetId="4">#REF!</definedName>
    <definedName name="ProcDiscount" localSheetId="5">#REF!</definedName>
    <definedName name="ProcDiscount" localSheetId="11">#REF!</definedName>
    <definedName name="ProcDiscount">#REF!</definedName>
    <definedName name="PROJECT"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ROJECT"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ROJECT"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ROJEC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ROJNO">#N/A</definedName>
    <definedName name="PYear2" localSheetId="4">#REF!</definedName>
    <definedName name="PYear2" localSheetId="5">#REF!</definedName>
    <definedName name="PYear2" localSheetId="11">#REF!</definedName>
    <definedName name="PYear2">#REF!</definedName>
    <definedName name="q" localSheetId="4">{30,140,350,160,"",""}</definedName>
    <definedName name="q" localSheetId="5">{30,140,350,160,"",""}</definedName>
    <definedName name="q" localSheetId="11">{30,140,350,160,"",""}</definedName>
    <definedName name="q">{30,140,350,160,"",""}</definedName>
    <definedName name="QQ"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 localSheetId="4" hidden="1">{#N/A,#N/A,FALSE,"삼진정공";#N/A,#N/A,FALSE,"영신금속";#N/A,#N/A,FALSE,"태양금속";#N/A,#N/A,FALSE,"진합정공";#N/A,#N/A,FALSE,"코리아";#N/A,#N/A,FALSE,"풍강금속";#N/A,#N/A,FALSE,"선일기계"}</definedName>
    <definedName name="QQQ" localSheetId="5" hidden="1">{#N/A,#N/A,FALSE,"삼진정공";#N/A,#N/A,FALSE,"영신금속";#N/A,#N/A,FALSE,"태양금속";#N/A,#N/A,FALSE,"진합정공";#N/A,#N/A,FALSE,"코리아";#N/A,#N/A,FALSE,"풍강금속";#N/A,#N/A,FALSE,"선일기계"}</definedName>
    <definedName name="QQQ" localSheetId="11" hidden="1">{#N/A,#N/A,FALSE,"삼진정공";#N/A,#N/A,FALSE,"영신금속";#N/A,#N/A,FALSE,"태양금속";#N/A,#N/A,FALSE,"진합정공";#N/A,#N/A,FALSE,"코리아";#N/A,#N/A,FALSE,"풍강금속";#N/A,#N/A,FALSE,"선일기계"}</definedName>
    <definedName name="QQQ" hidden="1">{#N/A,#N/A,FALSE,"삼진정공";#N/A,#N/A,FALSE,"영신금속";#N/A,#N/A,FALSE,"태양금속";#N/A,#N/A,FALSE,"진합정공";#N/A,#N/A,FALSE,"코리아";#N/A,#N/A,FALSE,"풍강금속";#N/A,#N/A,FALSE,"선일기계"}</definedName>
    <definedName name="qqqq"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q"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q"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qqq"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qqqqqq"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qqqqqq"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qqqqqq"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qqqqqqqq" localSheetId="4" hidden="1">{#N/A,#N/A,FALSE,"인원";#N/A,#N/A,FALSE,"비용2";#N/A,#N/A,FALSE,"비용1";#N/A,#N/A,FALSE,"비용";#N/A,#N/A,FALSE,"보증2";#N/A,#N/A,FALSE,"보증1";#N/A,#N/A,FALSE,"보증";#N/A,#N/A,FALSE,"손익1";#N/A,#N/A,FALSE,"손익";#N/A,#N/A,FALSE,"부서별매출";#N/A,#N/A,FALSE,"매출"}</definedName>
    <definedName name="qqqqqqqq" localSheetId="5" hidden="1">{#N/A,#N/A,FALSE,"인원";#N/A,#N/A,FALSE,"비용2";#N/A,#N/A,FALSE,"비용1";#N/A,#N/A,FALSE,"비용";#N/A,#N/A,FALSE,"보증2";#N/A,#N/A,FALSE,"보증1";#N/A,#N/A,FALSE,"보증";#N/A,#N/A,FALSE,"손익1";#N/A,#N/A,FALSE,"손익";#N/A,#N/A,FALSE,"부서별매출";#N/A,#N/A,FALSE,"매출"}</definedName>
    <definedName name="qqqqqqqq" localSheetId="11" hidden="1">{#N/A,#N/A,FALSE,"인원";#N/A,#N/A,FALSE,"비용2";#N/A,#N/A,FALSE,"비용1";#N/A,#N/A,FALSE,"비용";#N/A,#N/A,FALSE,"보증2";#N/A,#N/A,FALSE,"보증1";#N/A,#N/A,FALSE,"보증";#N/A,#N/A,FALSE,"손익1";#N/A,#N/A,FALSE,"손익";#N/A,#N/A,FALSE,"부서별매출";#N/A,#N/A,FALSE,"매출"}</definedName>
    <definedName name="qqqqqqqq" hidden="1">{#N/A,#N/A,FALSE,"인원";#N/A,#N/A,FALSE,"비용2";#N/A,#N/A,FALSE,"비용1";#N/A,#N/A,FALSE,"비용";#N/A,#N/A,FALSE,"보증2";#N/A,#N/A,FALSE,"보증1";#N/A,#N/A,FALSE,"보증";#N/A,#N/A,FALSE,"손익1";#N/A,#N/A,FALSE,"손익";#N/A,#N/A,FALSE,"부서별매출";#N/A,#N/A,FALSE,"매출"}</definedName>
    <definedName name="qqqqqqqqq" localSheetId="4" hidden="1">{#N/A,#N/A,FALSE,"인원";#N/A,#N/A,FALSE,"비용2";#N/A,#N/A,FALSE,"비용1";#N/A,#N/A,FALSE,"비용";#N/A,#N/A,FALSE,"보증2";#N/A,#N/A,FALSE,"보증1";#N/A,#N/A,FALSE,"보증";#N/A,#N/A,FALSE,"손익1";#N/A,#N/A,FALSE,"손익";#N/A,#N/A,FALSE,"부서별매출";#N/A,#N/A,FALSE,"매출"}</definedName>
    <definedName name="qqqqqqqqq" localSheetId="5" hidden="1">{#N/A,#N/A,FALSE,"인원";#N/A,#N/A,FALSE,"비용2";#N/A,#N/A,FALSE,"비용1";#N/A,#N/A,FALSE,"비용";#N/A,#N/A,FALSE,"보증2";#N/A,#N/A,FALSE,"보증1";#N/A,#N/A,FALSE,"보증";#N/A,#N/A,FALSE,"손익1";#N/A,#N/A,FALSE,"손익";#N/A,#N/A,FALSE,"부서별매출";#N/A,#N/A,FALSE,"매출"}</definedName>
    <definedName name="qqqqqqqqq" localSheetId="11" hidden="1">{#N/A,#N/A,FALSE,"인원";#N/A,#N/A,FALSE,"비용2";#N/A,#N/A,FALSE,"비용1";#N/A,#N/A,FALSE,"비용";#N/A,#N/A,FALSE,"보증2";#N/A,#N/A,FALSE,"보증1";#N/A,#N/A,FALSE,"보증";#N/A,#N/A,FALSE,"손익1";#N/A,#N/A,FALSE,"손익";#N/A,#N/A,FALSE,"부서별매출";#N/A,#N/A,FALSE,"매출"}</definedName>
    <definedName name="qqqqqqqqq" hidden="1">{#N/A,#N/A,FALSE,"인원";#N/A,#N/A,FALSE,"비용2";#N/A,#N/A,FALSE,"비용1";#N/A,#N/A,FALSE,"비용";#N/A,#N/A,FALSE,"보증2";#N/A,#N/A,FALSE,"보증1";#N/A,#N/A,FALSE,"보증";#N/A,#N/A,FALSE,"손익1";#N/A,#N/A,FALSE,"손익";#N/A,#N/A,FALSE,"부서별매출";#N/A,#N/A,FALSE,"매출"}</definedName>
    <definedName name="qqqqqqqqqqq" localSheetId="4" hidden="1">{#N/A,#N/A,FALSE,"인원";#N/A,#N/A,FALSE,"비용2";#N/A,#N/A,FALSE,"비용1";#N/A,#N/A,FALSE,"비용";#N/A,#N/A,FALSE,"보증2";#N/A,#N/A,FALSE,"보증1";#N/A,#N/A,FALSE,"보증";#N/A,#N/A,FALSE,"손익1";#N/A,#N/A,FALSE,"손익";#N/A,#N/A,FALSE,"부서별매출";#N/A,#N/A,FALSE,"매출"}</definedName>
    <definedName name="qqqqqqqqqqq" localSheetId="5" hidden="1">{#N/A,#N/A,FALSE,"인원";#N/A,#N/A,FALSE,"비용2";#N/A,#N/A,FALSE,"비용1";#N/A,#N/A,FALSE,"비용";#N/A,#N/A,FALSE,"보증2";#N/A,#N/A,FALSE,"보증1";#N/A,#N/A,FALSE,"보증";#N/A,#N/A,FALSE,"손익1";#N/A,#N/A,FALSE,"손익";#N/A,#N/A,FALSE,"부서별매출";#N/A,#N/A,FALSE,"매출"}</definedName>
    <definedName name="qqqqqqqqqqq" localSheetId="11" hidden="1">{#N/A,#N/A,FALSE,"인원";#N/A,#N/A,FALSE,"비용2";#N/A,#N/A,FALSE,"비용1";#N/A,#N/A,FALSE,"비용";#N/A,#N/A,FALSE,"보증2";#N/A,#N/A,FALSE,"보증1";#N/A,#N/A,FALSE,"보증";#N/A,#N/A,FALSE,"손익1";#N/A,#N/A,FALSE,"손익";#N/A,#N/A,FALSE,"부서별매출";#N/A,#N/A,FALSE,"매출"}</definedName>
    <definedName name="qqqqqqqqqqq" hidden="1">{#N/A,#N/A,FALSE,"인원";#N/A,#N/A,FALSE,"비용2";#N/A,#N/A,FALSE,"비용1";#N/A,#N/A,FALSE,"비용";#N/A,#N/A,FALSE,"보증2";#N/A,#N/A,FALSE,"보증1";#N/A,#N/A,FALSE,"보증";#N/A,#N/A,FALSE,"손익1";#N/A,#N/A,FALSE,"손익";#N/A,#N/A,FALSE,"부서별매출";#N/A,#N/A,FALSE,"매출"}</definedName>
    <definedName name="QTY">#N/A</definedName>
    <definedName name="QULITY"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ULITY"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ULITY"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ULIT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w" localSheetId="4">#REF!</definedName>
    <definedName name="qw" localSheetId="5">#REF!</definedName>
    <definedName name="qw" localSheetId="11">#REF!</definedName>
    <definedName name="qw">#REF!</definedName>
    <definedName name="qwe" localSheetId="4">#REF!</definedName>
    <definedName name="qwe" localSheetId="5">#REF!</definedName>
    <definedName name="qwe" localSheetId="11">#REF!</definedName>
    <definedName name="qwe">#REF!</definedName>
    <definedName name="qwerty" localSheetId="4">OFFSET(list05!Full_Print,0,0,Last_Row)</definedName>
    <definedName name="qwerty" localSheetId="5">OFFSET(list06!Full_Print,0,0,Last_Row)</definedName>
    <definedName name="qwerty" localSheetId="11">OFFSET(list12!Full_Print,0,0,Last_Row)</definedName>
    <definedName name="qwerty">OFFSET(Full_Print,0,0,Last_Row)</definedName>
    <definedName name="R_COVER" localSheetId="4" hidden="1">{#N/A,#N/A,FALSE,"단축1";#N/A,#N/A,FALSE,"단축2";#N/A,#N/A,FALSE,"단축3";#N/A,#N/A,FALSE,"장축";#N/A,#N/A,FALSE,"4WD"}</definedName>
    <definedName name="R_COVER" localSheetId="5" hidden="1">{#N/A,#N/A,FALSE,"단축1";#N/A,#N/A,FALSE,"단축2";#N/A,#N/A,FALSE,"단축3";#N/A,#N/A,FALSE,"장축";#N/A,#N/A,FALSE,"4WD"}</definedName>
    <definedName name="R_COVER" localSheetId="11" hidden="1">{#N/A,#N/A,FALSE,"단축1";#N/A,#N/A,FALSE,"단축2";#N/A,#N/A,FALSE,"단축3";#N/A,#N/A,FALSE,"장축";#N/A,#N/A,FALSE,"4WD"}</definedName>
    <definedName name="R_COVER" hidden="1">{#N/A,#N/A,FALSE,"단축1";#N/A,#N/A,FALSE,"단축2";#N/A,#N/A,FALSE,"단축3";#N/A,#N/A,FALSE,"장축";#N/A,#N/A,FALSE,"4WD"}</definedName>
    <definedName name="R_Factor" localSheetId="4">#REF!</definedName>
    <definedName name="R_Factor" localSheetId="5">#REF!</definedName>
    <definedName name="R_Factor" localSheetId="11">#REF!</definedName>
    <definedName name="R_Factor">#REF!</definedName>
    <definedName name="rasApplication1" localSheetId="4">#REF!</definedName>
    <definedName name="rasApplication1" localSheetId="5">#REF!</definedName>
    <definedName name="rasApplication1" localSheetId="11">#REF!</definedName>
    <definedName name="rasApplication1">#REF!</definedName>
    <definedName name="rasApplication2" localSheetId="4">#REF!</definedName>
    <definedName name="rasApplication2" localSheetId="5">#REF!</definedName>
    <definedName name="rasApplication2" localSheetId="11">#REF!</definedName>
    <definedName name="rasApplication2">#REF!</definedName>
    <definedName name="rasDate1" localSheetId="11">#REF!</definedName>
    <definedName name="rasDate1">#REF!</definedName>
    <definedName name="rasDate2" localSheetId="11">#REF!</definedName>
    <definedName name="rasDate2">#REF!</definedName>
    <definedName name="rasDoc1" localSheetId="11">#REF!</definedName>
    <definedName name="rasDoc1">#REF!</definedName>
    <definedName name="rasDoc2" localSheetId="11">#REF!</definedName>
    <definedName name="rasDoc2">#REF!</definedName>
    <definedName name="Rasmot" localSheetId="11">#REF!</definedName>
    <definedName name="Rasmot">#REF!</definedName>
    <definedName name="rasNumber" localSheetId="11">#REF!</definedName>
    <definedName name="rasNumber">#REF!</definedName>
    <definedName name="rasOrgn" localSheetId="11">#REF!</definedName>
    <definedName name="rasOrgn">#REF!</definedName>
    <definedName name="rasRecDay" localSheetId="11">#REF!</definedName>
    <definedName name="rasRecDay">#REF!</definedName>
    <definedName name="rasReceiver" localSheetId="11">#REF!</definedName>
    <definedName name="rasReceiver">#REF!</definedName>
    <definedName name="rasRecMonth" localSheetId="11">#REF!</definedName>
    <definedName name="rasRecMonth">#REF!</definedName>
    <definedName name="rasRecYear" localSheetId="11">#REF!</definedName>
    <definedName name="rasRecYear">#REF!</definedName>
    <definedName name="rasSubject1" localSheetId="11">#REF!</definedName>
    <definedName name="rasSubject1">#REF!</definedName>
    <definedName name="rasSubject2" localSheetId="11">#REF!</definedName>
    <definedName name="rasSubject2">#REF!</definedName>
    <definedName name="rasSum" localSheetId="11">#REF!</definedName>
    <definedName name="rasSum">#REF!</definedName>
    <definedName name="rasWRecSum1" localSheetId="11">#REF!</definedName>
    <definedName name="rasWRecSum1">#REF!</definedName>
    <definedName name="rasWRecSum2" localSheetId="11">#REF!</definedName>
    <definedName name="rasWRecSum2">#REF!</definedName>
    <definedName name="rasWRecSumC" localSheetId="11">#REF!</definedName>
    <definedName name="rasWRecSumC">#REF!</definedName>
    <definedName name="rasWSum1" localSheetId="11">#REF!</definedName>
    <definedName name="rasWSum1">#REF!</definedName>
    <definedName name="rasWSum2" localSheetId="11">#REF!</definedName>
    <definedName name="rasWSum2">#REF!</definedName>
    <definedName name="rasWSumC" localSheetId="11">#REF!</definedName>
    <definedName name="rasWSumC">#REF!</definedName>
    <definedName name="Rate" localSheetId="11">#REF!</definedName>
    <definedName name="Rate">#REF!</definedName>
    <definedName name="RateS" localSheetId="11">#REF!</definedName>
    <definedName name="RateS">#REF!</definedName>
    <definedName name="RCPTNO">#N/A</definedName>
    <definedName name="re" localSheetId="4" hidden="1">{#N/A,#N/A,FALSE,"인원";#N/A,#N/A,FALSE,"비용2";#N/A,#N/A,FALSE,"비용1";#N/A,#N/A,FALSE,"비용";#N/A,#N/A,FALSE,"보증2";#N/A,#N/A,FALSE,"보증1";#N/A,#N/A,FALSE,"보증";#N/A,#N/A,FALSE,"손익1";#N/A,#N/A,FALSE,"손익";#N/A,#N/A,FALSE,"부서별매출";#N/A,#N/A,FALSE,"매출"}</definedName>
    <definedName name="re" localSheetId="5" hidden="1">{#N/A,#N/A,FALSE,"인원";#N/A,#N/A,FALSE,"비용2";#N/A,#N/A,FALSE,"비용1";#N/A,#N/A,FALSE,"비용";#N/A,#N/A,FALSE,"보증2";#N/A,#N/A,FALSE,"보증1";#N/A,#N/A,FALSE,"보증";#N/A,#N/A,FALSE,"손익1";#N/A,#N/A,FALSE,"손익";#N/A,#N/A,FALSE,"부서별매출";#N/A,#N/A,FALSE,"매출"}</definedName>
    <definedName name="re" localSheetId="11" hidden="1">{#N/A,#N/A,FALSE,"인원";#N/A,#N/A,FALSE,"비용2";#N/A,#N/A,FALSE,"비용1";#N/A,#N/A,FALSE,"비용";#N/A,#N/A,FALSE,"보증2";#N/A,#N/A,FALSE,"보증1";#N/A,#N/A,FALSE,"보증";#N/A,#N/A,FALSE,"손익1";#N/A,#N/A,FALSE,"손익";#N/A,#N/A,FALSE,"부서별매출";#N/A,#N/A,FALSE,"매출"}</definedName>
    <definedName name="re" hidden="1">{#N/A,#N/A,FALSE,"인원";#N/A,#N/A,FALSE,"비용2";#N/A,#N/A,FALSE,"비용1";#N/A,#N/A,FALSE,"비용";#N/A,#N/A,FALSE,"보증2";#N/A,#N/A,FALSE,"보증1";#N/A,#N/A,FALSE,"보증";#N/A,#N/A,FALSE,"손익1";#N/A,#N/A,FALSE,"손익";#N/A,#N/A,FALSE,"부서별매출";#N/A,#N/A,FALSE,"매출"}</definedName>
    <definedName name="REFNO" localSheetId="4">#REF!</definedName>
    <definedName name="REFNO" localSheetId="5">#REF!</definedName>
    <definedName name="REFNO" localSheetId="11">#REF!</definedName>
    <definedName name="REFNO">#REF!</definedName>
    <definedName name="REMARK">#N/A</definedName>
    <definedName name="Residual_difference" localSheetId="4">#REF!</definedName>
    <definedName name="Residual_difference" localSheetId="5">#REF!</definedName>
    <definedName name="Residual_difference" localSheetId="11">#REF!</definedName>
    <definedName name="Residual_difference">#REF!</definedName>
    <definedName name="RESPOT"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ESPOT"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ESPOT"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ESPO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esults" localSheetId="4">#REF!</definedName>
    <definedName name="Results" localSheetId="5">#REF!</definedName>
    <definedName name="Results" localSheetId="11">#REF!</definedName>
    <definedName name="Results">#REF!</definedName>
    <definedName name="RETE54" localSheetId="4" hidden="1">{#N/A,#N/A,FALSE,"신규dep";#N/A,#N/A,FALSE,"신규dep-금형상각후";#N/A,#N/A,FALSE,"신규dep-연구비상각후";#N/A,#N/A,FALSE,"신규dep-기계,공구상각후"}</definedName>
    <definedName name="RETE54" localSheetId="5" hidden="1">{#N/A,#N/A,FALSE,"신규dep";#N/A,#N/A,FALSE,"신규dep-금형상각후";#N/A,#N/A,FALSE,"신규dep-연구비상각후";#N/A,#N/A,FALSE,"신규dep-기계,공구상각후"}</definedName>
    <definedName name="RETE54" localSheetId="11" hidden="1">{#N/A,#N/A,FALSE,"신규dep";#N/A,#N/A,FALSE,"신규dep-금형상각후";#N/A,#N/A,FALSE,"신규dep-연구비상각후";#N/A,#N/A,FALSE,"신규dep-기계,공구상각후"}</definedName>
    <definedName name="RETE54" hidden="1">{#N/A,#N/A,FALSE,"신규dep";#N/A,#N/A,FALSE,"신규dep-금형상각후";#N/A,#N/A,FALSE,"신규dep-연구비상각후";#N/A,#N/A,FALSE,"신규dep-기계,공구상각후"}</definedName>
    <definedName name="rew" localSheetId="4">{30,140,350,160,"",""}</definedName>
    <definedName name="rew" localSheetId="5">{30,140,350,160,"",""}</definedName>
    <definedName name="rew" localSheetId="11">{30,140,350,160,"",""}</definedName>
    <definedName name="rew">{30,140,350,160,"",""}</definedName>
    <definedName name="rfkmr"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fkmr"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fkmr"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fkm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HD">#N/A</definedName>
    <definedName name="RJARN"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JARN"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JARN"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JARN"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M" localSheetId="4">#REF!</definedName>
    <definedName name="RM" localSheetId="5">#REF!</definedName>
    <definedName name="RM" localSheetId="11">#REF!</definedName>
    <definedName name="RM">#REF!</definedName>
    <definedName name="RNCLTYPE">#N/A</definedName>
    <definedName name="RO" localSheetId="4">#REF!</definedName>
    <definedName name="RO" localSheetId="5">#REF!</definedName>
    <definedName name="RO" localSheetId="11">#REF!</definedName>
    <definedName name="RO">#REF!</definedName>
    <definedName name="Robot"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bot"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bot"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bo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m" localSheetId="4">#REF!</definedName>
    <definedName name="rom" localSheetId="5">#REF!</definedName>
    <definedName name="rom" localSheetId="11">#REF!</definedName>
    <definedName name="rom">#REF!</definedName>
    <definedName name="ROOF" localSheetId="4" hidden="1">{#N/A,#N/A,TRUE,"일정"}</definedName>
    <definedName name="ROOF" localSheetId="5" hidden="1">{#N/A,#N/A,TRUE,"일정"}</definedName>
    <definedName name="ROOF" localSheetId="11" hidden="1">{#N/A,#N/A,TRUE,"일정"}</definedName>
    <definedName name="ROOF" hidden="1">{#N/A,#N/A,TRUE,"일정"}</definedName>
    <definedName name="ROOF투자명세"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OF투자명세"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OF투자명세"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OF투자명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W" localSheetId="4">#REF!</definedName>
    <definedName name="ROW" localSheetId="5">#REF!</definedName>
    <definedName name="ROW" localSheetId="11">#REF!</definedName>
    <definedName name="ROW">#REF!</definedName>
    <definedName name="RPT"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PT"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PT"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P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RRRR"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RRRR"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RRRR"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RRR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RRRRRR"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RRRRRRR"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RRRRRRR"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RRRRRRR"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rs" localSheetId="4" hidden="1">{"BOP_TAB",#N/A,FALSE,"N";"MIDTERM_TAB",#N/A,FALSE,"O";"FUND_CRED",#N/A,FALSE,"P";"DEBT_TAB1",#N/A,FALSE,"Q";"DEBT_TAB2",#N/A,FALSE,"Q";"FORFIN_TAB1",#N/A,FALSE,"R";"FORFIN_TAB2",#N/A,FALSE,"R";"BOP_ANALY",#N/A,FALSE,"U"}</definedName>
    <definedName name="rs" localSheetId="5" hidden="1">{"BOP_TAB",#N/A,FALSE,"N";"MIDTERM_TAB",#N/A,FALSE,"O";"FUND_CRED",#N/A,FALSE,"P";"DEBT_TAB1",#N/A,FALSE,"Q";"DEBT_TAB2",#N/A,FALSE,"Q";"FORFIN_TAB1",#N/A,FALSE,"R";"FORFIN_TAB2",#N/A,FALSE,"R";"BOP_ANALY",#N/A,FALSE,"U"}</definedName>
    <definedName name="rs" localSheetId="11" hidden="1">{"BOP_TAB",#N/A,FALSE,"N";"MIDTERM_TAB",#N/A,FALSE,"O";"FUND_CRED",#N/A,FALSE,"P";"DEBT_TAB1",#N/A,FALSE,"Q";"DEBT_TAB2",#N/A,FALSE,"Q";"FORFIN_TAB1",#N/A,FALSE,"R";"FORFIN_TAB2",#N/A,FALSE,"R";"BOP_ANALY",#N/A,FALSE,"U"}</definedName>
    <definedName name="rs" hidden="1">{"BOP_TAB",#N/A,FALSE,"N";"MIDTERM_TAB",#N/A,FALSE,"O";"FUND_CRED",#N/A,FALSE,"P";"DEBT_TAB1",#N/A,FALSE,"Q";"DEBT_TAB2",#N/A,FALSE,"Q";"FORFIN_TAB1",#N/A,FALSE,"R";"FORFIN_TAB2",#N/A,FALSE,"R";"BOP_ANALY",#N/A,FALSE,"U"}</definedName>
    <definedName name="rt" localSheetId="4">#REF!</definedName>
    <definedName name="rt" localSheetId="5">#REF!</definedName>
    <definedName name="rt" localSheetId="11">#REF!</definedName>
    <definedName name="rt">#REF!</definedName>
    <definedName name="rtew" localSheetId="4">{30,140,350,160,"",""}</definedName>
    <definedName name="rtew" localSheetId="5">{30,140,350,160,"",""}</definedName>
    <definedName name="rtew" localSheetId="11">{30,140,350,160,"",""}</definedName>
    <definedName name="rtew">{30,140,350,160,"",""}</definedName>
    <definedName name="RY" localSheetId="4">#REF!</definedName>
    <definedName name="RY" localSheetId="5">#REF!</definedName>
    <definedName name="RY" localSheetId="11">#REF!</definedName>
    <definedName name="RY">#REF!</definedName>
    <definedName name="RZVD">#N/A</definedName>
    <definedName name="S" localSheetId="4">#REF!</definedName>
    <definedName name="S" localSheetId="5">#REF!</definedName>
    <definedName name="S" localSheetId="11">#REF!</definedName>
    <definedName name="S">#REF!</definedName>
    <definedName name="sa" localSheetId="4">{30,140,350,160,"",""}</definedName>
    <definedName name="sa" localSheetId="5">{30,140,350,160,"",""}</definedName>
    <definedName name="sa" localSheetId="11">{30,140,350,160,"",""}</definedName>
    <definedName name="sa">{30,140,350,160,"",""}</definedName>
    <definedName name="SAD"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AD"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AD"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A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ana" localSheetId="4">DATE(yil,oy,1)</definedName>
    <definedName name="sana" localSheetId="5">DATE(yil,oy,1)</definedName>
    <definedName name="sana" localSheetId="11">DATE(yil,oy,1)</definedName>
    <definedName name="sana">DATE(yil,oy,1)</definedName>
    <definedName name="SC" localSheetId="4" hidden="1">{#N/A,#N/A,TRUE,"일정"}</definedName>
    <definedName name="SC" localSheetId="5" hidden="1">{#N/A,#N/A,TRUE,"일정"}</definedName>
    <definedName name="SC" localSheetId="11" hidden="1">{#N/A,#N/A,TRUE,"일정"}</definedName>
    <definedName name="SC" hidden="1">{#N/A,#N/A,TRUE,"일정"}</definedName>
    <definedName name="Sched_Pay" localSheetId="4">#REF!</definedName>
    <definedName name="Sched_Pay" localSheetId="5">#REF!</definedName>
    <definedName name="Sched_Pay" localSheetId="11">#REF!</definedName>
    <definedName name="Sched_Pay">#REF!</definedName>
    <definedName name="Scheduled_Extra_Payments" localSheetId="4">#REF!</definedName>
    <definedName name="Scheduled_Extra_Payments" localSheetId="5">#REF!</definedName>
    <definedName name="Scheduled_Extra_Payments" localSheetId="11">#REF!</definedName>
    <definedName name="Scheduled_Extra_Payments">#REF!</definedName>
    <definedName name="Scheduled_Interest_Rate" localSheetId="4">#REF!</definedName>
    <definedName name="Scheduled_Interest_Rate" localSheetId="5">#REF!</definedName>
    <definedName name="Scheduled_Interest_Rate" localSheetId="11">#REF!</definedName>
    <definedName name="Scheduled_Interest_Rate">#REF!</definedName>
    <definedName name="Scheduled_Monthly_Payment" localSheetId="11">#REF!</definedName>
    <definedName name="Scheduled_Monthly_Payment">#REF!</definedName>
    <definedName name="SC금형"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C금형"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C금형"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C금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 localSheetId="4">{30,140,350,160,"",""}</definedName>
    <definedName name="sd" localSheetId="5">{30,140,350,160,"",""}</definedName>
    <definedName name="sd" localSheetId="11">{30,140,350,160,"",""}</definedName>
    <definedName name="sd">{30,140,350,160,"",""}</definedName>
    <definedName name="SDA"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A"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A"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AS"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AS"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AS"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A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d" localSheetId="4" hidden="1">{#N/A,#N/A,TRUE,"일정"}</definedName>
    <definedName name="sdd" localSheetId="5" hidden="1">{#N/A,#N/A,TRUE,"일정"}</definedName>
    <definedName name="sdd" localSheetId="11" hidden="1">{#N/A,#N/A,TRUE,"일정"}</definedName>
    <definedName name="sdd" hidden="1">{#N/A,#N/A,TRUE,"일정"}</definedName>
    <definedName name="sdfg" localSheetId="4">#REF!</definedName>
    <definedName name="sdfg" localSheetId="5">#REF!</definedName>
    <definedName name="sdfg" localSheetId="11">#REF!</definedName>
    <definedName name="sdfg">#REF!</definedName>
    <definedName name="sdfsdfsd" localSheetId="4">TRUNC((oy-1)/3+1)</definedName>
    <definedName name="sdfsdfsd" localSheetId="5">TRUNC((oy-1)/3+1)</definedName>
    <definedName name="sdfsdfsd" localSheetId="11">TRUNC((oy-1)/3+1)</definedName>
    <definedName name="sdfsdfsd">TRUNC((oy-1)/3+1)</definedName>
    <definedName name="se" localSheetId="4">{30,140,350,160,"",""}</definedName>
    <definedName name="se" localSheetId="5">{30,140,350,160,"",""}</definedName>
    <definedName name="se" localSheetId="11">{30,140,350,160,"",""}</definedName>
    <definedName name="se">{30,140,350,160,"",""}</definedName>
    <definedName name="SEL" localSheetId="4" hidden="1">{#N/A,#N/A,TRUE,"일정"}</definedName>
    <definedName name="SEL" localSheetId="5" hidden="1">{#N/A,#N/A,TRUE,"일정"}</definedName>
    <definedName name="SEL" localSheetId="11" hidden="1">{#N/A,#N/A,TRUE,"일정"}</definedName>
    <definedName name="SEL" hidden="1">{#N/A,#N/A,TRUE,"일정"}</definedName>
    <definedName name="SELECTOR" localSheetId="4" hidden="1">{#N/A,#N/A,TRUE,"일정"}</definedName>
    <definedName name="SELECTOR" localSheetId="5" hidden="1">{#N/A,#N/A,TRUE,"일정"}</definedName>
    <definedName name="SELECTOR" localSheetId="11" hidden="1">{#N/A,#N/A,TRUE,"일정"}</definedName>
    <definedName name="SELECTOR" hidden="1">{#N/A,#N/A,TRUE,"일정"}</definedName>
    <definedName name="sel개발"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el개발"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el개발"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el개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encount" hidden="1">2</definedName>
    <definedName name="SERNO">#N/A</definedName>
    <definedName name="SetBanks" localSheetId="4">#REF!,#REF!</definedName>
    <definedName name="SetBanks" localSheetId="5">#REF!,#REF!</definedName>
    <definedName name="SetBanks" localSheetId="11">#REF!,#REF!</definedName>
    <definedName name="SetBanks">#REF!,#REF!</definedName>
    <definedName name="SetDay" localSheetId="4">#REF!</definedName>
    <definedName name="SetDay" localSheetId="5">#REF!</definedName>
    <definedName name="SetDay" localSheetId="11">#REF!</definedName>
    <definedName name="SetDay">#REF!</definedName>
    <definedName name="sf" localSheetId="4">{30,140,350,160,"",""}</definedName>
    <definedName name="sf" localSheetId="5">{30,140,350,160,"",""}</definedName>
    <definedName name="sf" localSheetId="11">{30,140,350,160,"",""}</definedName>
    <definedName name="sf">{30,140,350,160,"",""}</definedName>
    <definedName name="SFDG"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FDG"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FDG"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FD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field" localSheetId="4">#REF!</definedName>
    <definedName name="Sfield" localSheetId="5">#REF!</definedName>
    <definedName name="Sfield" localSheetId="11">#REF!</definedName>
    <definedName name="Sfield">#REF!</definedName>
    <definedName name="sheet"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heet"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heet"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hee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hsssreywwetw"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hsssreywwetw"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hsssreywwetw"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hsssreywwet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LL" localSheetId="4" hidden="1">{#N/A,#N/A,FALSE,"단축1";#N/A,#N/A,FALSE,"단축2";#N/A,#N/A,FALSE,"단축3";#N/A,#N/A,FALSE,"장축";#N/A,#N/A,FALSE,"4WD"}</definedName>
    <definedName name="SLL" localSheetId="5" hidden="1">{#N/A,#N/A,FALSE,"단축1";#N/A,#N/A,FALSE,"단축2";#N/A,#N/A,FALSE,"단축3";#N/A,#N/A,FALSE,"장축";#N/A,#N/A,FALSE,"4WD"}</definedName>
    <definedName name="SLL" localSheetId="11" hidden="1">{#N/A,#N/A,FALSE,"단축1";#N/A,#N/A,FALSE,"단축2";#N/A,#N/A,FALSE,"단축3";#N/A,#N/A,FALSE,"장축";#N/A,#N/A,FALSE,"4WD"}</definedName>
    <definedName name="SLL" hidden="1">{#N/A,#N/A,FALSE,"단축1";#N/A,#N/A,FALSE,"단축2";#N/A,#N/A,FALSE,"단축3";#N/A,#N/A,FALSE,"장축";#N/A,#N/A,FALSE,"4WD"}</definedName>
    <definedName name="SLRCPTNO">#N/A</definedName>
    <definedName name="SLSERNO">#N/A</definedName>
    <definedName name="SOP일정3"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OP일정3"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OP일정3"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OP일정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pisokVvoda" localSheetId="4">#REF!</definedName>
    <definedName name="SpisokVvoda" localSheetId="5">#REF!</definedName>
    <definedName name="SpisokVvoda" localSheetId="11">#REF!</definedName>
    <definedName name="SpisokVvoda">#REF!</definedName>
    <definedName name="SPOT"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POT"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POT"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PO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 localSheetId="4">{30,140,350,160,"",""}</definedName>
    <definedName name="ss" localSheetId="5">{30,140,350,160,"",""}</definedName>
    <definedName name="ss" localSheetId="11">{30,140,350,160,"",""}</definedName>
    <definedName name="ss">{30,140,350,160,"",""}</definedName>
    <definedName name="SSS"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dddd" localSheetId="4">#REF!</definedName>
    <definedName name="sssdddd" localSheetId="5">#REF!</definedName>
    <definedName name="sssdddd" localSheetId="11">#REF!</definedName>
    <definedName name="sssdddd">#REF!</definedName>
    <definedName name="SSSEE"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#N/A</definedName>
    <definedName name="sssss"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s"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s"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tartDate" localSheetId="4">#REF!</definedName>
    <definedName name="StartDate" localSheetId="5">#REF!</definedName>
    <definedName name="StartDate" localSheetId="11">#REF!</definedName>
    <definedName name="StartDate">#REF!</definedName>
    <definedName name="STDATE" localSheetId="4">#REF!</definedName>
    <definedName name="STDATE" localSheetId="5">#REF!</definedName>
    <definedName name="STDATE" localSheetId="11">#REF!</definedName>
    <definedName name="STDATE">#REF!</definedName>
    <definedName name="STEP"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TEP"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TEP"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TE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UMMARY" localSheetId="4">#REF!</definedName>
    <definedName name="SUMMARY" localSheetId="5">#REF!</definedName>
    <definedName name="SUMMARY" localSheetId="11">#REF!</definedName>
    <definedName name="SUMMARY">#REF!</definedName>
    <definedName name="sung" localSheetId="4" hidden="1">{"'Monthly 1997'!$A$3:$S$89"}</definedName>
    <definedName name="sung" localSheetId="5" hidden="1">{"'Monthly 1997'!$A$3:$S$89"}</definedName>
    <definedName name="sung" localSheetId="11" hidden="1">{"'Monthly 1997'!$A$3:$S$89"}</definedName>
    <definedName name="sung" hidden="1">{"'Monthly 1997'!$A$3:$S$89"}</definedName>
    <definedName name="sung2" localSheetId="4" hidden="1">{"'Monthly 1997'!$A$3:$S$89"}</definedName>
    <definedName name="sung2" localSheetId="5" hidden="1">{"'Monthly 1997'!$A$3:$S$89"}</definedName>
    <definedName name="sung2" localSheetId="11" hidden="1">{"'Monthly 1997'!$A$3:$S$89"}</definedName>
    <definedName name="sung2" hidden="1">{"'Monthly 1997'!$A$3:$S$89"}</definedName>
    <definedName name="SVOD">#N/A</definedName>
    <definedName name="svod1">#N/A</definedName>
    <definedName name="t" localSheetId="4">{30,140,350,160,"",""}</definedName>
    <definedName name="t" localSheetId="5">{30,140,350,160,"",""}</definedName>
    <definedName name="t" localSheetId="11">{30,140,350,160,"",""}</definedName>
    <definedName name="t">{30,140,350,160,"",""}</definedName>
    <definedName name="T2004HP16" localSheetId="4" hidden="1">{#N/A,#N/A,TRUE,"일정"}</definedName>
    <definedName name="T2004HP16" localSheetId="5" hidden="1">{#N/A,#N/A,TRUE,"일정"}</definedName>
    <definedName name="T2004HP16" localSheetId="11" hidden="1">{#N/A,#N/A,TRUE,"일정"}</definedName>
    <definedName name="T2004HP16" hidden="1">{#N/A,#N/A,TRUE,"일정"}</definedName>
    <definedName name="T200SEL금형"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200SEL금형"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200SEL금형"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200SEL금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200개발계획B" localSheetId="4" hidden="1">{#N/A,#N/A,FALSE,"단축1";#N/A,#N/A,FALSE,"단축2";#N/A,#N/A,FALSE,"단축3";#N/A,#N/A,FALSE,"장축";#N/A,#N/A,FALSE,"4WD"}</definedName>
    <definedName name="T200개발계획B" localSheetId="5" hidden="1">{#N/A,#N/A,FALSE,"단축1";#N/A,#N/A,FALSE,"단축2";#N/A,#N/A,FALSE,"단축3";#N/A,#N/A,FALSE,"장축";#N/A,#N/A,FALSE,"4WD"}</definedName>
    <definedName name="T200개발계획B" localSheetId="11" hidden="1">{#N/A,#N/A,FALSE,"단축1";#N/A,#N/A,FALSE,"단축2";#N/A,#N/A,FALSE,"단축3";#N/A,#N/A,FALSE,"장축";#N/A,#N/A,FALSE,"4WD"}</definedName>
    <definedName name="T200개발계획B" hidden="1">{#N/A,#N/A,FALSE,"단축1";#N/A,#N/A,FALSE,"단축2";#N/A,#N/A,FALSE,"단축3";#N/A,#N/A,FALSE,"장축";#N/A,#N/A,FALSE,"4WD"}</definedName>
    <definedName name="T200팀별투자비" localSheetId="4" hidden="1">{#N/A,#N/A,TRUE,"일정"}</definedName>
    <definedName name="T200팀별투자비" localSheetId="5" hidden="1">{#N/A,#N/A,TRUE,"일정"}</definedName>
    <definedName name="T200팀별투자비" localSheetId="11" hidden="1">{#N/A,#N/A,TRUE,"일정"}</definedName>
    <definedName name="T200팀별투자비" hidden="1">{#N/A,#N/A,TRUE,"일정"}</definedName>
    <definedName name="TABLE" localSheetId="4">#REF!</definedName>
    <definedName name="TABLE" localSheetId="5">#REF!</definedName>
    <definedName name="TABLE" localSheetId="11">#REF!</definedName>
    <definedName name="TABLE">#REF!</definedName>
    <definedName name="TABLE_10" localSheetId="4">#REF!</definedName>
    <definedName name="TABLE_10" localSheetId="5">#REF!</definedName>
    <definedName name="TABLE_10" localSheetId="11">#REF!</definedName>
    <definedName name="TABLE_10">#REF!</definedName>
    <definedName name="TABLE_2" localSheetId="4">#REF!</definedName>
    <definedName name="TABLE_2" localSheetId="5">#REF!</definedName>
    <definedName name="TABLE_2" localSheetId="11">#REF!</definedName>
    <definedName name="TABLE_2">#REF!</definedName>
    <definedName name="TABLE_3" localSheetId="11">#REF!</definedName>
    <definedName name="TABLE_3">#REF!</definedName>
    <definedName name="TABLE_4" localSheetId="11">#REF!</definedName>
    <definedName name="TABLE_4">#REF!</definedName>
    <definedName name="TABLE_5" localSheetId="11">#REF!</definedName>
    <definedName name="TABLE_5">#REF!</definedName>
    <definedName name="TABLE_6" localSheetId="11">#REF!</definedName>
    <definedName name="TABLE_6">#REF!</definedName>
    <definedName name="TABLE_7" localSheetId="11">#REF!</definedName>
    <definedName name="TABLE_7">#REF!</definedName>
    <definedName name="TABLE_8" localSheetId="11">#REF!</definedName>
    <definedName name="TABLE_8">#REF!</definedName>
    <definedName name="TABLE_9" localSheetId="11">#REF!</definedName>
    <definedName name="TABLE_9">#REF!</definedName>
    <definedName name="Tablica1Структура_рабочих_мест_по_формам_собственности_и_по_видам_деятельности_созданных" localSheetId="11">#REF!</definedName>
    <definedName name="Tablica1Структура_рабочих_мест_по_формам_собственности_и_по_видам_деятельности_созданных">#REF!</definedName>
    <definedName name="TANK_BAFFLE" localSheetId="11">#REF!</definedName>
    <definedName name="TANK_BAFFLE">#REF!</definedName>
    <definedName name="TEMPQTY">#N/A</definedName>
    <definedName name="teset" localSheetId="4" hidden="1">{#N/A,#N/A,FALSE,"SimInp1";#N/A,#N/A,FALSE,"SimInp2";#N/A,#N/A,FALSE,"SimOut1";#N/A,#N/A,FALSE,"SimOut2";#N/A,#N/A,FALSE,"SimOut3";#N/A,#N/A,FALSE,"SimOut4";#N/A,#N/A,FALSE,"SimOut5"}</definedName>
    <definedName name="teset" localSheetId="5" hidden="1">{#N/A,#N/A,FALSE,"SimInp1";#N/A,#N/A,FALSE,"SimInp2";#N/A,#N/A,FALSE,"SimOut1";#N/A,#N/A,FALSE,"SimOut2";#N/A,#N/A,FALSE,"SimOut3";#N/A,#N/A,FALSE,"SimOut4";#N/A,#N/A,FALSE,"SimOut5"}</definedName>
    <definedName name="teset" localSheetId="11" hidden="1">{#N/A,#N/A,FALSE,"SimInp1";#N/A,#N/A,FALSE,"SimInp2";#N/A,#N/A,FALSE,"SimOut1";#N/A,#N/A,FALSE,"SimOut2";#N/A,#N/A,FALSE,"SimOut3";#N/A,#N/A,FALSE,"SimOut4";#N/A,#N/A,FALSE,"SimOut5"}</definedName>
    <definedName name="teset" hidden="1">{#N/A,#N/A,FALSE,"SimInp1";#N/A,#N/A,FALSE,"SimInp2";#N/A,#N/A,FALSE,"SimOut1";#N/A,#N/A,FALSE,"SimOut2";#N/A,#N/A,FALSE,"SimOut3";#N/A,#N/A,FALSE,"SimOut4";#N/A,#N/A,FALSE,"SimOut5"}</definedName>
    <definedName name="TEST" localSheetId="4">#REF!</definedName>
    <definedName name="TEST" localSheetId="5">#REF!</definedName>
    <definedName name="TEST" localSheetId="11">#REF!</definedName>
    <definedName name="TEST">#REF!</definedName>
    <definedName name="test1" localSheetId="4">#REF!</definedName>
    <definedName name="test1" localSheetId="5">#REF!</definedName>
    <definedName name="test1" localSheetId="11">#REF!</definedName>
    <definedName name="test1">#REF!</definedName>
    <definedName name="test2" localSheetId="4">#REF!</definedName>
    <definedName name="test2" localSheetId="5">#REF!</definedName>
    <definedName name="test2" localSheetId="11">#REF!</definedName>
    <definedName name="test2">#REF!</definedName>
    <definedName name="TFT" localSheetId="4">#REF!,#REF!,#REF!,#REF!</definedName>
    <definedName name="TFT" localSheetId="5">#REF!,#REF!,#REF!,#REF!</definedName>
    <definedName name="TFT" localSheetId="11">#REF!,#REF!,#REF!,#REF!</definedName>
    <definedName name="TFT">#REF!,#REF!,#REF!,#REF!</definedName>
    <definedName name="th" localSheetId="4">#REF!</definedName>
    <definedName name="th" localSheetId="5">#REF!</definedName>
    <definedName name="th" localSheetId="11">#REF!</definedName>
    <definedName name="th">#REF!</definedName>
    <definedName name="Threshold" localSheetId="4">#REF!</definedName>
    <definedName name="Threshold" localSheetId="5">#REF!</definedName>
    <definedName name="Threshold" localSheetId="11">#REF!</definedName>
    <definedName name="Threshold">#REF!</definedName>
    <definedName name="TIR"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R"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R"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J"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J"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J"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J"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K" localSheetId="4" hidden="1">{#N/A,#N/A,FALSE,"인원";#N/A,#N/A,FALSE,"비용2";#N/A,#N/A,FALSE,"비용1";#N/A,#N/A,FALSE,"비용";#N/A,#N/A,FALSE,"보증2";#N/A,#N/A,FALSE,"보증1";#N/A,#N/A,FALSE,"보증";#N/A,#N/A,FALSE,"손익1";#N/A,#N/A,FALSE,"손익";#N/A,#N/A,FALSE,"부서별매출";#N/A,#N/A,FALSE,"매출"}</definedName>
    <definedName name="TK" localSheetId="5" hidden="1">{#N/A,#N/A,FALSE,"인원";#N/A,#N/A,FALSE,"비용2";#N/A,#N/A,FALSE,"비용1";#N/A,#N/A,FALSE,"비용";#N/A,#N/A,FALSE,"보증2";#N/A,#N/A,FALSE,"보증1";#N/A,#N/A,FALSE,"보증";#N/A,#N/A,FALSE,"손익1";#N/A,#N/A,FALSE,"손익";#N/A,#N/A,FALSE,"부서별매출";#N/A,#N/A,FALSE,"매출"}</definedName>
    <definedName name="TK" localSheetId="11" hidden="1">{#N/A,#N/A,FALSE,"인원";#N/A,#N/A,FALSE,"비용2";#N/A,#N/A,FALSE,"비용1";#N/A,#N/A,FALSE,"비용";#N/A,#N/A,FALSE,"보증2";#N/A,#N/A,FALSE,"보증1";#N/A,#N/A,FALSE,"보증";#N/A,#N/A,FALSE,"손익1";#N/A,#N/A,FALSE,"손익";#N/A,#N/A,FALSE,"부서별매출";#N/A,#N/A,FALSE,"매출"}</definedName>
    <definedName name="TK" hidden="1">{#N/A,#N/A,FALSE,"인원";#N/A,#N/A,FALSE,"비용2";#N/A,#N/A,FALSE,"비용1";#N/A,#N/A,FALSE,"비용";#N/A,#N/A,FALSE,"보증2";#N/A,#N/A,FALSE,"보증1";#N/A,#N/A,FALSE,"보증";#N/A,#N/A,FALSE,"손익1";#N/A,#N/A,FALSE,"손익";#N/A,#N/A,FALSE,"부서별매출";#N/A,#N/A,FALSE,"매출"}</definedName>
    <definedName name="tlfAprt" localSheetId="4">#REF!</definedName>
    <definedName name="tlfAprt" localSheetId="5">#REF!</definedName>
    <definedName name="tlfAprt" localSheetId="11">#REF!</definedName>
    <definedName name="tlfAprt">#REF!</definedName>
    <definedName name="tlfBank" localSheetId="4">#REF!</definedName>
    <definedName name="tlfBank" localSheetId="5">#REF!</definedName>
    <definedName name="tlfBank" localSheetId="11">#REF!</definedName>
    <definedName name="tlfBank">#REF!</definedName>
    <definedName name="tlfCorp" localSheetId="4">#REF!</definedName>
    <definedName name="tlfCorp" localSheetId="5">#REF!</definedName>
    <definedName name="tlfCorp" localSheetId="11">#REF!</definedName>
    <definedName name="tlfCorp">#REF!</definedName>
    <definedName name="tlfCount" localSheetId="11">#REF!</definedName>
    <definedName name="tlfCount">#REF!</definedName>
    <definedName name="tlfFIO" localSheetId="11">#REF!</definedName>
    <definedName name="tlfFIO">#REF!</definedName>
    <definedName name="tlfHouse" localSheetId="11">#REF!</definedName>
    <definedName name="tlfHouse">#REF!</definedName>
    <definedName name="tlfKAprt" localSheetId="11">#REF!</definedName>
    <definedName name="tlfKAprt">#REF!</definedName>
    <definedName name="tlfKBank" localSheetId="11">#REF!</definedName>
    <definedName name="tlfKBank">#REF!</definedName>
    <definedName name="tlfKCorp" localSheetId="11">#REF!</definedName>
    <definedName name="tlfKCorp">#REF!</definedName>
    <definedName name="tlfKCount" localSheetId="11">#REF!</definedName>
    <definedName name="tlfKCount">#REF!</definedName>
    <definedName name="tlfKFio" localSheetId="11">#REF!</definedName>
    <definedName name="tlfKFio">#REF!</definedName>
    <definedName name="tlfKHouse" localSheetId="11">#REF!</definedName>
    <definedName name="tlfKHouse">#REF!</definedName>
    <definedName name="tlfKMonth" localSheetId="11">#REF!</definedName>
    <definedName name="tlfKMonth">#REF!</definedName>
    <definedName name="tlfKStreet" localSheetId="11">#REF!</definedName>
    <definedName name="tlfKStreet">#REF!</definedName>
    <definedName name="tlfKSum" localSheetId="11">#REF!</definedName>
    <definedName name="tlfKSum">#REF!</definedName>
    <definedName name="tlfKTarif" localSheetId="11">#REF!</definedName>
    <definedName name="tlfKTarif">#REF!</definedName>
    <definedName name="tlfKTlfNum" localSheetId="11">#REF!</definedName>
    <definedName name="tlfKTlfNum">#REF!</definedName>
    <definedName name="tlfKTotal" localSheetId="11">#REF!</definedName>
    <definedName name="tlfKTotal">#REF!</definedName>
    <definedName name="tlfKYear" localSheetId="11">#REF!</definedName>
    <definedName name="tlfKYear">#REF!</definedName>
    <definedName name="tlfMonth" localSheetId="11">#REF!</definedName>
    <definedName name="tlfMonth">#REF!</definedName>
    <definedName name="tlfStreet" localSheetId="11">#REF!</definedName>
    <definedName name="tlfStreet">#REF!</definedName>
    <definedName name="tlfSum" localSheetId="11">#REF!</definedName>
    <definedName name="tlfSum">#REF!</definedName>
    <definedName name="tlfTarif" localSheetId="11">#REF!</definedName>
    <definedName name="tlfTarif">#REF!</definedName>
    <definedName name="tlfTlfNum" localSheetId="11">#REF!</definedName>
    <definedName name="tlfTlfNum">#REF!</definedName>
    <definedName name="tlfTotal" localSheetId="11">#REF!</definedName>
    <definedName name="tlfTotal">#REF!</definedName>
    <definedName name="tlfYear" localSheetId="11">#REF!</definedName>
    <definedName name="tlfYear">#REF!</definedName>
    <definedName name="Top"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p"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p"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tal" localSheetId="3">[0]!дел/1000</definedName>
    <definedName name="total" localSheetId="4">[0]!дел/1000</definedName>
    <definedName name="total" localSheetId="5">[0]!дел/1000</definedName>
    <definedName name="total" localSheetId="11">[0]!дел/1000</definedName>
    <definedName name="total">[0]!дел/1000</definedName>
    <definedName name="Total_Interest" localSheetId="4">#REF!</definedName>
    <definedName name="Total_Interest" localSheetId="5">#REF!</definedName>
    <definedName name="Total_Interest" localSheetId="11">#REF!</definedName>
    <definedName name="Total_Interest">#REF!</definedName>
    <definedName name="Total_Pay" localSheetId="4">#REF!</definedName>
    <definedName name="Total_Pay" localSheetId="5">#REF!</definedName>
    <definedName name="Total_Pay" localSheetId="11">#REF!</definedName>
    <definedName name="Total_Pay">#REF!</definedName>
    <definedName name="Total_Payment" localSheetId="3">Scheduled_Payment+Extra_Payment</definedName>
    <definedName name="Total_Payment" localSheetId="4">Scheduled_Payment+Extra_Payment</definedName>
    <definedName name="Total_Payment" localSheetId="5">Scheduled_Payment+Extra_Payment</definedName>
    <definedName name="Total_Payment" localSheetId="11">Scheduled_Payment+Extra_Payment</definedName>
    <definedName name="Total_Payment">Scheduled_Payment+Extra_Payment</definedName>
    <definedName name="tr" localSheetId="4">#REF!</definedName>
    <definedName name="tr" localSheetId="5">#REF!</definedName>
    <definedName name="tr" localSheetId="11">#REF!</definedName>
    <definedName name="tr">#REF!</definedName>
    <definedName name="tre" localSheetId="4">{30,140,350,160,"",""}</definedName>
    <definedName name="tre" localSheetId="5">{30,140,350,160,"",""}</definedName>
    <definedName name="tre" localSheetId="11">{30,140,350,160,"",""}</definedName>
    <definedName name="tre">{30,140,350,160,"",""}</definedName>
    <definedName name="trt"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rt"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rt"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r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RUNK_TAILGATE_HANDLE" localSheetId="4">#REF!</definedName>
    <definedName name="TRUNK_TAILGATE_HANDLE" localSheetId="5">#REF!</definedName>
    <definedName name="TRUNK_TAILGATE_HANDLE" localSheetId="11">#REF!</definedName>
    <definedName name="TRUNK_TAILGATE_HANDLE">#REF!</definedName>
    <definedName name="TRXNAMT" localSheetId="4">#REF!</definedName>
    <definedName name="TRXNAMT" localSheetId="5">#REF!</definedName>
    <definedName name="TRXNAMT" localSheetId="11">#REF!</definedName>
    <definedName name="TRXNAMT">#REF!</definedName>
    <definedName name="TRXNDESC">#N/A</definedName>
    <definedName name="TRXNFAMT">#N/A</definedName>
    <definedName name="TRXNQTY">#N/A</definedName>
    <definedName name="tt" localSheetId="4" hidden="1">{#N/A,#N/A,TRUE,"일정"}</definedName>
    <definedName name="tt" localSheetId="5" hidden="1">{#N/A,#N/A,TRUE,"일정"}</definedName>
    <definedName name="tt" localSheetId="11" hidden="1">{#N/A,#N/A,TRUE,"일정"}</definedName>
    <definedName name="tt" hidden="1">{#N/A,#N/A,TRUE,"일정"}</definedName>
    <definedName name="TTN"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TN"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TN"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TN"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TP"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TP"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TP"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T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TT" localSheetId="4">#REF!</definedName>
    <definedName name="TTT" localSheetId="5">#REF!</definedName>
    <definedName name="TTT" localSheetId="11">#REF!</definedName>
    <definedName name="TTT">#REF!</definedName>
    <definedName name="TTTTT"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TTTT"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TTTT"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TTT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y" localSheetId="4">#REF!</definedName>
    <definedName name="ty" localSheetId="5">#REF!</definedName>
    <definedName name="ty" localSheetId="11">#REF!</definedName>
    <definedName name="ty">#REF!</definedName>
    <definedName name="TYR"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TYR"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TYR"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TYR"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tyu" localSheetId="4">{30,140,350,160,"",""}</definedName>
    <definedName name="tyu" localSheetId="5">{30,140,350,160,"",""}</definedName>
    <definedName name="tyu" localSheetId="11">{30,140,350,160,"",""}</definedName>
    <definedName name="tyu">{30,140,350,160,"",""}</definedName>
    <definedName name="u" localSheetId="4">{30,140,350,160,"",""}</definedName>
    <definedName name="u" localSheetId="5">{30,140,350,160,"",""}</definedName>
    <definedName name="u" localSheetId="11">{30,140,350,160,"",""}</definedName>
    <definedName name="u">{30,140,350,160,"",""}</definedName>
    <definedName name="u100tir"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ir"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ir"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iy" localSheetId="4">{30,140,350,160,"",""}</definedName>
    <definedName name="uiy" localSheetId="5">{30,140,350,160,"",""}</definedName>
    <definedName name="uiy" localSheetId="11">{30,140,350,160,"",""}</definedName>
    <definedName name="uiy">{30,140,350,160,"",""}</definedName>
    <definedName name="UNIT">#N/A</definedName>
    <definedName name="UOM">#N/A</definedName>
    <definedName name="ure" localSheetId="4">#REF!</definedName>
    <definedName name="ure" localSheetId="5">#REF!</definedName>
    <definedName name="ure" localSheetId="11">#REF!</definedName>
    <definedName name="ure">#REF!</definedName>
    <definedName name="UUUUUU" localSheetId="4" hidden="1">{#N/A,#N/A,FALSE,"인원";#N/A,#N/A,FALSE,"비용2";#N/A,#N/A,FALSE,"비용1";#N/A,#N/A,FALSE,"비용";#N/A,#N/A,FALSE,"보증2";#N/A,#N/A,FALSE,"보증1";#N/A,#N/A,FALSE,"보증";#N/A,#N/A,FALSE,"손익1";#N/A,#N/A,FALSE,"손익";#N/A,#N/A,FALSE,"부서별매출";#N/A,#N/A,FALSE,"매출"}</definedName>
    <definedName name="UUUUUU" localSheetId="5" hidden="1">{#N/A,#N/A,FALSE,"인원";#N/A,#N/A,FALSE,"비용2";#N/A,#N/A,FALSE,"비용1";#N/A,#N/A,FALSE,"비용";#N/A,#N/A,FALSE,"보증2";#N/A,#N/A,FALSE,"보증1";#N/A,#N/A,FALSE,"보증";#N/A,#N/A,FALSE,"손익1";#N/A,#N/A,FALSE,"손익";#N/A,#N/A,FALSE,"부서별매출";#N/A,#N/A,FALSE,"매출"}</definedName>
    <definedName name="UUUUUU" localSheetId="11" hidden="1">{#N/A,#N/A,FALSE,"인원";#N/A,#N/A,FALSE,"비용2";#N/A,#N/A,FALSE,"비용1";#N/A,#N/A,FALSE,"비용";#N/A,#N/A,FALSE,"보증2";#N/A,#N/A,FALSE,"보증1";#N/A,#N/A,FALSE,"보증";#N/A,#N/A,FALSE,"손익1";#N/A,#N/A,FALSE,"손익";#N/A,#N/A,FALSE,"부서별매출";#N/A,#N/A,FALSE,"매출"}</definedName>
    <definedName name="UUUUUU" hidden="1">{#N/A,#N/A,FALSE,"인원";#N/A,#N/A,FALSE,"비용2";#N/A,#N/A,FALSE,"비용1";#N/A,#N/A,FALSE,"비용";#N/A,#N/A,FALSE,"보증2";#N/A,#N/A,FALSE,"보증1";#N/A,#N/A,FALSE,"보증";#N/A,#N/A,FALSE,"손익1";#N/A,#N/A,FALSE,"손익";#N/A,#N/A,FALSE,"부서별매출";#N/A,#N/A,FALSE,"매출"}</definedName>
    <definedName name="uy" localSheetId="4">{30,140,350,160,"",""}</definedName>
    <definedName name="uy" localSheetId="5">{30,140,350,160,"",""}</definedName>
    <definedName name="uy" localSheetId="11">{30,140,350,160,"",""}</definedName>
    <definedName name="uy">{30,140,350,160,"",""}</definedName>
    <definedName name="uyjh" localSheetId="4">{30,140,350,160,"",""}</definedName>
    <definedName name="uyjh" localSheetId="5">{30,140,350,160,"",""}</definedName>
    <definedName name="uyjh" localSheetId="11">{30,140,350,160,"",""}</definedName>
    <definedName name="uyjh">{30,140,350,160,"",""}</definedName>
    <definedName name="uyt" localSheetId="4">{30,140,350,160,"",""}</definedName>
    <definedName name="uyt" localSheetId="5">{30,140,350,160,"",""}</definedName>
    <definedName name="uyt" localSheetId="11">{30,140,350,160,"",""}</definedName>
    <definedName name="uyt">{30,140,350,160,"",""}</definedName>
    <definedName name="uyui" localSheetId="4">#REF!</definedName>
    <definedName name="uyui" localSheetId="5">#REF!</definedName>
    <definedName name="uyui" localSheetId="11">#REF!</definedName>
    <definedName name="uyui">#REF!</definedName>
    <definedName name="v" localSheetId="4">{30,140,350,160,"",""}</definedName>
    <definedName name="v" localSheetId="5">{30,140,350,160,"",""}</definedName>
    <definedName name="v" localSheetId="11">{30,140,350,160,"",""}</definedName>
    <definedName name="v">{30,140,350,160,"",""}</definedName>
    <definedName name="V222SEL종합"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222SEL종합"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222SEL종합"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222SEL종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alues_Entered" localSheetId="4">IF(list05!Loan_Amount*list05!Interest_Rate*list05!Loan_Years*list05!Loan_Start&gt;0,1,0)</definedName>
    <definedName name="Values_Entered" localSheetId="5">IF(list06!Loan_Amount*list06!Interest_Rate*list06!Loan_Years*list06!Loan_Start&gt;0,1,0)</definedName>
    <definedName name="Values_Entered" localSheetId="11">IF(list12!Loan_Amount*list12!Interest_Rate*list12!Loan_Years*list12!Loan_Start&gt;0,1,0)</definedName>
    <definedName name="Values_Entered">IF(Loan_Amount*Interest_Rate*Loan_Years*Loan_Start&gt;0,1,0)</definedName>
    <definedName name="vb" localSheetId="4">#REF!</definedName>
    <definedName name="vb" localSheetId="5">#REF!</definedName>
    <definedName name="vb" localSheetId="11">#REF!</definedName>
    <definedName name="vb">#REF!</definedName>
    <definedName name="vbc" localSheetId="4">#REF!</definedName>
    <definedName name="vbc" localSheetId="5">#REF!</definedName>
    <definedName name="vbc" localSheetId="11">#REF!</definedName>
    <definedName name="vbc">#REF!</definedName>
    <definedName name="vbghh" localSheetId="4">#REF!</definedName>
    <definedName name="vbghh" localSheetId="5">#REF!</definedName>
    <definedName name="vbghh" localSheetId="11">#REF!</definedName>
    <definedName name="vbghh">#REF!</definedName>
    <definedName name="vcx" localSheetId="4">{30,140,350,160,"",""}</definedName>
    <definedName name="vcx" localSheetId="5">{30,140,350,160,"",""}</definedName>
    <definedName name="vcx" localSheetId="11">{30,140,350,160,"",""}</definedName>
    <definedName name="vcx">{30,140,350,160,"",""}</definedName>
    <definedName name="VDSAG" localSheetId="4" hidden="1">{#N/A,#N/A,TRUE,"일정"}</definedName>
    <definedName name="VDSAG" localSheetId="5" hidden="1">{#N/A,#N/A,TRUE,"일정"}</definedName>
    <definedName name="VDSAG" localSheetId="11" hidden="1">{#N/A,#N/A,TRUE,"일정"}</definedName>
    <definedName name="VDSAG" hidden="1">{#N/A,#N/A,TRUE,"일정"}</definedName>
    <definedName name="VENDOR">#N/A</definedName>
    <definedName name="VII.LAYOUT"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II.LAYOUT"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II.LAYOUT"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II.LAYOU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NPNO">#N/A</definedName>
    <definedName name="vx" localSheetId="4">#REF!</definedName>
    <definedName name="vx" localSheetId="5">#REF!</definedName>
    <definedName name="vx" localSheetId="11">#REF!</definedName>
    <definedName name="vx">#REF!</definedName>
    <definedName name="w" localSheetId="4" hidden="1">{#N/A,#N/A,FALSE,"인원";#N/A,#N/A,FALSE,"비용2";#N/A,#N/A,FALSE,"비용1";#N/A,#N/A,FALSE,"비용";#N/A,#N/A,FALSE,"보증2";#N/A,#N/A,FALSE,"보증1";#N/A,#N/A,FALSE,"보증";#N/A,#N/A,FALSE,"손익1";#N/A,#N/A,FALSE,"손익";#N/A,#N/A,FALSE,"부서별매출";#N/A,#N/A,FALSE,"매출"}</definedName>
    <definedName name="w" localSheetId="5" hidden="1">{#N/A,#N/A,FALSE,"인원";#N/A,#N/A,FALSE,"비용2";#N/A,#N/A,FALSE,"비용1";#N/A,#N/A,FALSE,"비용";#N/A,#N/A,FALSE,"보증2";#N/A,#N/A,FALSE,"보증1";#N/A,#N/A,FALSE,"보증";#N/A,#N/A,FALSE,"손익1";#N/A,#N/A,FALSE,"손익";#N/A,#N/A,FALSE,"부서별매출";#N/A,#N/A,FALSE,"매출"}</definedName>
    <definedName name="w" localSheetId="11" hidden="1">{#N/A,#N/A,FALSE,"인원";#N/A,#N/A,FALSE,"비용2";#N/A,#N/A,FALSE,"비용1";#N/A,#N/A,FALSE,"비용";#N/A,#N/A,FALSE,"보증2";#N/A,#N/A,FALSE,"보증1";#N/A,#N/A,FALSE,"보증";#N/A,#N/A,FALSE,"손익1";#N/A,#N/A,FALSE,"손익";#N/A,#N/A,FALSE,"부서별매출";#N/A,#N/A,FALSE,"매출"}</definedName>
    <definedName name="w" hidden="1">{#N/A,#N/A,FALSE,"인원";#N/A,#N/A,FALSE,"비용2";#N/A,#N/A,FALSE,"비용1";#N/A,#N/A,FALSE,"비용";#N/A,#N/A,FALSE,"보증2";#N/A,#N/A,FALSE,"보증1";#N/A,#N/A,FALSE,"보증";#N/A,#N/A,FALSE,"손익1";#N/A,#N/A,FALSE,"손익";#N/A,#N/A,FALSE,"부서별매출";#N/A,#N/A,FALSE,"매출"}</definedName>
    <definedName name="W.SHOP">#N/A</definedName>
    <definedName name="wa" localSheetId="4">#REF!</definedName>
    <definedName name="wa" localSheetId="5">#REF!</definedName>
    <definedName name="wa" localSheetId="11">#REF!</definedName>
    <definedName name="wa">#REF!</definedName>
    <definedName name="we" localSheetId="4" hidden="1">{#N/A,#N/A,FALSE,"인원";#N/A,#N/A,FALSE,"비용2";#N/A,#N/A,FALSE,"비용1";#N/A,#N/A,FALSE,"비용";#N/A,#N/A,FALSE,"보증2";#N/A,#N/A,FALSE,"보증1";#N/A,#N/A,FALSE,"보증";#N/A,#N/A,FALSE,"손익1";#N/A,#N/A,FALSE,"손익";#N/A,#N/A,FALSE,"부서별매출";#N/A,#N/A,FALSE,"매출"}</definedName>
    <definedName name="we" localSheetId="5" hidden="1">{#N/A,#N/A,FALSE,"인원";#N/A,#N/A,FALSE,"비용2";#N/A,#N/A,FALSE,"비용1";#N/A,#N/A,FALSE,"비용";#N/A,#N/A,FALSE,"보증2";#N/A,#N/A,FALSE,"보증1";#N/A,#N/A,FALSE,"보증";#N/A,#N/A,FALSE,"손익1";#N/A,#N/A,FALSE,"손익";#N/A,#N/A,FALSE,"부서별매출";#N/A,#N/A,FALSE,"매출"}</definedName>
    <definedName name="we" localSheetId="11" hidden="1">{#N/A,#N/A,FALSE,"인원";#N/A,#N/A,FALSE,"비용2";#N/A,#N/A,FALSE,"비용1";#N/A,#N/A,FALSE,"비용";#N/A,#N/A,FALSE,"보증2";#N/A,#N/A,FALSE,"보증1";#N/A,#N/A,FALSE,"보증";#N/A,#N/A,FALSE,"손익1";#N/A,#N/A,FALSE,"손익";#N/A,#N/A,FALSE,"부서별매출";#N/A,#N/A,FALSE,"매출"}</definedName>
    <definedName name="we" hidden="1">{#N/A,#N/A,FALSE,"인원";#N/A,#N/A,FALSE,"비용2";#N/A,#N/A,FALSE,"비용1";#N/A,#N/A,FALSE,"비용";#N/A,#N/A,FALSE,"보증2";#N/A,#N/A,FALSE,"보증1";#N/A,#N/A,FALSE,"보증";#N/A,#N/A,FALSE,"손익1";#N/A,#N/A,FALSE,"손익";#N/A,#N/A,FALSE,"부서별매출";#N/A,#N/A,FALSE,"매출"}</definedName>
    <definedName name="weeee" localSheetId="4" hidden="1">{#N/A,#N/A,FALSE,"인원";#N/A,#N/A,FALSE,"비용2";#N/A,#N/A,FALSE,"비용1";#N/A,#N/A,FALSE,"비용";#N/A,#N/A,FALSE,"보증2";#N/A,#N/A,FALSE,"보증1";#N/A,#N/A,FALSE,"보증";#N/A,#N/A,FALSE,"손익1";#N/A,#N/A,FALSE,"손익";#N/A,#N/A,FALSE,"부서별매출";#N/A,#N/A,FALSE,"매출"}</definedName>
    <definedName name="weeee" localSheetId="5" hidden="1">{#N/A,#N/A,FALSE,"인원";#N/A,#N/A,FALSE,"비용2";#N/A,#N/A,FALSE,"비용1";#N/A,#N/A,FALSE,"비용";#N/A,#N/A,FALSE,"보증2";#N/A,#N/A,FALSE,"보증1";#N/A,#N/A,FALSE,"보증";#N/A,#N/A,FALSE,"손익1";#N/A,#N/A,FALSE,"손익";#N/A,#N/A,FALSE,"부서별매출";#N/A,#N/A,FALSE,"매출"}</definedName>
    <definedName name="weeee" localSheetId="11" hidden="1">{#N/A,#N/A,FALSE,"인원";#N/A,#N/A,FALSE,"비용2";#N/A,#N/A,FALSE,"비용1";#N/A,#N/A,FALSE,"비용";#N/A,#N/A,FALSE,"보증2";#N/A,#N/A,FALSE,"보증1";#N/A,#N/A,FALSE,"보증";#N/A,#N/A,FALSE,"손익1";#N/A,#N/A,FALSE,"손익";#N/A,#N/A,FALSE,"부서별매출";#N/A,#N/A,FALSE,"매출"}</definedName>
    <definedName name="weeee" hidden="1">{#N/A,#N/A,FALSE,"인원";#N/A,#N/A,FALSE,"비용2";#N/A,#N/A,FALSE,"비용1";#N/A,#N/A,FALSE,"비용";#N/A,#N/A,FALSE,"보증2";#N/A,#N/A,FALSE,"보증1";#N/A,#N/A,FALSE,"보증";#N/A,#N/A,FALSE,"손익1";#N/A,#N/A,FALSE,"손익";#N/A,#N/A,FALSE,"부서별매출";#N/A,#N/A,FALSE,"매출"}</definedName>
    <definedName name="wer" localSheetId="4">{30,140,350,160,"",""}</definedName>
    <definedName name="wer" localSheetId="5">{30,140,350,160,"",""}</definedName>
    <definedName name="wer" localSheetId="11">{30,140,350,160,"",""}</definedName>
    <definedName name="wer">{30,140,350,160,"",""}</definedName>
    <definedName name="wf" localSheetId="4">{30,140,350,160,"",""}</definedName>
    <definedName name="wf" localSheetId="5">{30,140,350,160,"",""}</definedName>
    <definedName name="wf" localSheetId="11">{30,140,350,160,"",""}</definedName>
    <definedName name="wf">{30,140,350,160,"",""}</definedName>
    <definedName name="WFL" localSheetId="4">#REF!,#REF!</definedName>
    <definedName name="WFL" localSheetId="5">#REF!,#REF!</definedName>
    <definedName name="WFL" localSheetId="11">#REF!,#REF!</definedName>
    <definedName name="WFL">#REF!,#REF!</definedName>
    <definedName name="wgeawe"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geawe"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geawe"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geaw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HNO">#N/A</definedName>
    <definedName name="whole" localSheetId="4">#REF!</definedName>
    <definedName name="whole" localSheetId="5">#REF!</definedName>
    <definedName name="whole" localSheetId="11">#REF!</definedName>
    <definedName name="whole">#REF!</definedName>
    <definedName name="WIL" localSheetId="4">#REF!,#REF!</definedName>
    <definedName name="WIL" localSheetId="5">#REF!,#REF!</definedName>
    <definedName name="WIL" localSheetId="11">#REF!,#REF!</definedName>
    <definedName name="WIL">#REF!,#REF!</definedName>
    <definedName name="WIR" localSheetId="4">#REF!,#REF!</definedName>
    <definedName name="WIR" localSheetId="5">#REF!,#REF!</definedName>
    <definedName name="WIR" localSheetId="11">#REF!,#REF!</definedName>
    <definedName name="WIR">#REF!,#REF!</definedName>
    <definedName name="WP투자사업개요"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P투자사업개요"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P투자사업개요"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P투자사업개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q" localSheetId="4" hidden="1">{#N/A,#N/A,TRUE,"일정"}</definedName>
    <definedName name="wq" localSheetId="5" hidden="1">{#N/A,#N/A,TRUE,"일정"}</definedName>
    <definedName name="wq" localSheetId="11" hidden="1">{#N/A,#N/A,TRUE,"일정"}</definedName>
    <definedName name="wq" hidden="1">{#N/A,#N/A,TRUE,"일정"}</definedName>
    <definedName name="wqe" localSheetId="4" hidden="1">{#N/A,#N/A,FALSE,"인원";#N/A,#N/A,FALSE,"비용2";#N/A,#N/A,FALSE,"비용1";#N/A,#N/A,FALSE,"비용";#N/A,#N/A,FALSE,"보증2";#N/A,#N/A,FALSE,"보증1";#N/A,#N/A,FALSE,"보증";#N/A,#N/A,FALSE,"손익1";#N/A,#N/A,FALSE,"손익";#N/A,#N/A,FALSE,"부서별매출";#N/A,#N/A,FALSE,"매출"}</definedName>
    <definedName name="wqe" localSheetId="5" hidden="1">{#N/A,#N/A,FALSE,"인원";#N/A,#N/A,FALSE,"비용2";#N/A,#N/A,FALSE,"비용1";#N/A,#N/A,FALSE,"비용";#N/A,#N/A,FALSE,"보증2";#N/A,#N/A,FALSE,"보증1";#N/A,#N/A,FALSE,"보증";#N/A,#N/A,FALSE,"손익1";#N/A,#N/A,FALSE,"손익";#N/A,#N/A,FALSE,"부서별매출";#N/A,#N/A,FALSE,"매출"}</definedName>
    <definedName name="wqe" localSheetId="11" hidden="1">{#N/A,#N/A,FALSE,"인원";#N/A,#N/A,FALSE,"비용2";#N/A,#N/A,FALSE,"비용1";#N/A,#N/A,FALSE,"비용";#N/A,#N/A,FALSE,"보증2";#N/A,#N/A,FALSE,"보증1";#N/A,#N/A,FALSE,"보증";#N/A,#N/A,FALSE,"손익1";#N/A,#N/A,FALSE,"손익";#N/A,#N/A,FALSE,"부서별매출";#N/A,#N/A,FALSE,"매출"}</definedName>
    <definedName name="wqe" hidden="1">{#N/A,#N/A,FALSE,"인원";#N/A,#N/A,FALSE,"비용2";#N/A,#N/A,FALSE,"비용1";#N/A,#N/A,FALSE,"비용";#N/A,#N/A,FALSE,"보증2";#N/A,#N/A,FALSE,"보증1";#N/A,#N/A,FALSE,"보증";#N/A,#N/A,FALSE,"손익1";#N/A,#N/A,FALSE,"손익";#N/A,#N/A,FALSE,"부서별매출";#N/A,#N/A,FALSE,"매출"}</definedName>
    <definedName name="wr" localSheetId="4" hidden="1">#REF!</definedName>
    <definedName name="wr" localSheetId="5" hidden="1">#REF!</definedName>
    <definedName name="wr" localSheetId="11" hidden="1">#REF!</definedName>
    <definedName name="wr" hidden="1">#REF!</definedName>
    <definedName name="wrn.????._.??????." localSheetId="4" hidden="1">{#N/A,#N/A,FALSE,"???,??";#N/A,#N/A,FALSE,"????";#N/A,#N/A,FALSE,"???";#N/A,#N/A,FALSE,"??";#N/A,#N/A,FALSE,"??";#N/A,#N/A,FALSE,"??";#N/A,#N/A,FALSE,"??";#N/A,#N/A,FALSE,"???";#N/A,#N/A,FALSE,"??";#N/A,#N/A,FALSE,"??";#N/A,#N/A,FALSE,"??";#N/A,#N/A,FALSE,"??";#N/A,#N/A,FALSE,"????";#N/A,#N/A,FALSE,"??????";#N/A,#N/A,FALSE,"????"}</definedName>
    <definedName name="wrn.????._.??????." localSheetId="5" hidden="1">{#N/A,#N/A,FALSE,"???,??";#N/A,#N/A,FALSE,"????";#N/A,#N/A,FALSE,"???";#N/A,#N/A,FALSE,"??";#N/A,#N/A,FALSE,"??";#N/A,#N/A,FALSE,"??";#N/A,#N/A,FALSE,"??";#N/A,#N/A,FALSE,"???";#N/A,#N/A,FALSE,"??";#N/A,#N/A,FALSE,"??";#N/A,#N/A,FALSE,"??";#N/A,#N/A,FALSE,"??";#N/A,#N/A,FALSE,"????";#N/A,#N/A,FALSE,"??????";#N/A,#N/A,FALSE,"????"}</definedName>
    <definedName name="wrn.????._.??????." localSheetId="11" hidden="1">{#N/A,#N/A,FALSE,"???,??";#N/A,#N/A,FALSE,"????";#N/A,#N/A,FALSE,"???";#N/A,#N/A,FALSE,"??";#N/A,#N/A,FALSE,"??";#N/A,#N/A,FALSE,"??";#N/A,#N/A,FALSE,"??";#N/A,#N/A,FALSE,"???";#N/A,#N/A,FALSE,"??";#N/A,#N/A,FALSE,"??";#N/A,#N/A,FALSE,"??";#N/A,#N/A,FALSE,"??";#N/A,#N/A,FALSE,"????";#N/A,#N/A,FALSE,"??????";#N/A,#N/A,FALSE,"????"}</definedName>
    <definedName name="wrn.????._.??????." hidden="1">{#N/A,#N/A,FALSE,"???,??";#N/A,#N/A,FALSE,"????";#N/A,#N/A,FALSE,"???";#N/A,#N/A,FALSE,"??";#N/A,#N/A,FALSE,"??";#N/A,#N/A,FALSE,"??";#N/A,#N/A,FALSE,"??";#N/A,#N/A,FALSE,"???";#N/A,#N/A,FALSE,"??";#N/A,#N/A,FALSE,"??";#N/A,#N/A,FALSE,"??";#N/A,#N/A,FALSE,"??";#N/A,#N/A,FALSE,"????";#N/A,#N/A,FALSE,"??????";#N/A,#N/A,FALSE,"????"}</definedName>
    <definedName name="wrn.ACCEL._.PERF." localSheetId="4" hidden="1">{#N/A,#N/A,FALSE,"입력SHT"}</definedName>
    <definedName name="wrn.ACCEL._.PERF." localSheetId="5" hidden="1">{#N/A,#N/A,FALSE,"입력SHT"}</definedName>
    <definedName name="wrn.ACCEL._.PERF." localSheetId="11" hidden="1">{#N/A,#N/A,FALSE,"입력SHT"}</definedName>
    <definedName name="wrn.ACCEL._.PERF." hidden="1">{#N/A,#N/A,FALSE,"입력SHT"}</definedName>
    <definedName name="wrn.Aging._.and._.Trend._.Analysis." localSheetId="4" hidden="1">{#N/A,#N/A,FALSE,"Aging Summary";#N/A,#N/A,FALSE,"Ratio Analysis";#N/A,#N/A,FALSE,"Test 120 Day Accts";#N/A,#N/A,FALSE,"Tickmarks"}</definedName>
    <definedName name="wrn.Aging._.and._.Trend._.Analysis." localSheetId="5" hidden="1">{#N/A,#N/A,FALSE,"Aging Summary";#N/A,#N/A,FALSE,"Ratio Analysis";#N/A,#N/A,FALSE,"Test 120 Day Accts";#N/A,#N/A,FALSE,"Tickmarks"}</definedName>
    <definedName name="wrn.Aging._.and._.Trend._.Analysis." localSheetId="11"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BOP_MIDTERM." localSheetId="4" hidden="1">{"BOP_TAB",#N/A,FALSE,"N";"MIDTERM_TAB",#N/A,FALSE,"O"}</definedName>
    <definedName name="wrn.BOP_MIDTERM." localSheetId="5" hidden="1">{"BOP_TAB",#N/A,FALSE,"N";"MIDTERM_TAB",#N/A,FALSE,"O"}</definedName>
    <definedName name="wrn.BOP_MIDTERM." localSheetId="11" hidden="1">{"BOP_TAB",#N/A,FALSE,"N";"MIDTERM_TAB",#N/A,FALSE,"O"}</definedName>
    <definedName name="wrn.BOP_MIDTERM." hidden="1">{"BOP_TAB",#N/A,FALSE,"N";"MIDTERM_TAB",#N/A,FALSE,"O"}</definedName>
    <definedName name="wrn.ccr." localSheetId="4" hidden="1">{#N/A,#N/A,FALSE,"BODY"}</definedName>
    <definedName name="wrn.ccr." localSheetId="5" hidden="1">{#N/A,#N/A,FALSE,"BODY"}</definedName>
    <definedName name="wrn.ccr." localSheetId="11" hidden="1">{#N/A,#N/A,FALSE,"BODY"}</definedName>
    <definedName name="wrn.ccr." hidden="1">{#N/A,#N/A,FALSE,"BODY"}</definedName>
    <definedName name="wrn.Controlled._.Shipping._.Orion." localSheetId="4" hidden="1">{#N/A,#N/A,FALSE,"Repair";#N/A,#N/A,FALSE,"Audit Room";#N/A,#N/A,FALSE,"Simulator"}</definedName>
    <definedName name="wrn.Controlled._.Shipping._.Orion." localSheetId="5" hidden="1">{#N/A,#N/A,FALSE,"Repair";#N/A,#N/A,FALSE,"Audit Room";#N/A,#N/A,FALSE,"Simulator"}</definedName>
    <definedName name="wrn.Controlled._.Shipping._.Orion." localSheetId="11" hidden="1">{#N/A,#N/A,FALSE,"Repair";#N/A,#N/A,FALSE,"Audit Room";#N/A,#N/A,FALSE,"Simulator"}</definedName>
    <definedName name="wrn.Controlled._.Shipping._.Orion." hidden="1">{#N/A,#N/A,FALSE,"Repair";#N/A,#N/A,FALSE,"Audit Room";#N/A,#N/A,FALSE,"Simulator"}</definedName>
    <definedName name="wrn.DDD."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HWITEM." localSheetId="4" hidden="1">{#N/A,#N/A,FALSE,"삼진정공";#N/A,#N/A,FALSE,"영신금속";#N/A,#N/A,FALSE,"태양금속";#N/A,#N/A,FALSE,"진합정공";#N/A,#N/A,FALSE,"코리아";#N/A,#N/A,FALSE,"풍강금속";#N/A,#N/A,FALSE,"선일기계"}</definedName>
    <definedName name="wrn.HWITEM." localSheetId="5" hidden="1">{#N/A,#N/A,FALSE,"삼진정공";#N/A,#N/A,FALSE,"영신금속";#N/A,#N/A,FALSE,"태양금속";#N/A,#N/A,FALSE,"진합정공";#N/A,#N/A,FALSE,"코리아";#N/A,#N/A,FALSE,"풍강금속";#N/A,#N/A,FALSE,"선일기계"}</definedName>
    <definedName name="wrn.HWITEM." localSheetId="11" hidden="1">{#N/A,#N/A,FALSE,"삼진정공";#N/A,#N/A,FALSE,"영신금속";#N/A,#N/A,FALSE,"태양금속";#N/A,#N/A,FALSE,"진합정공";#N/A,#N/A,FALSE,"코리아";#N/A,#N/A,FALSE,"풍강금속";#N/A,#N/A,FALSE,"선일기계"}</definedName>
    <definedName name="wrn.HWITEM." hidden="1">{#N/A,#N/A,FALSE,"삼진정공";#N/A,#N/A,FALSE,"영신금속";#N/A,#N/A,FALSE,"태양금속";#N/A,#N/A,FALSE,"진합정공";#N/A,#N/A,FALSE,"코리아";#N/A,#N/A,FALSE,"풍강금속";#N/A,#N/A,FALSE,"선일기계"}</definedName>
    <definedName name="wrn.Input._.and._.output._.tables." localSheetId="4" hidden="1">{#N/A,#N/A,FALSE,"SimInp1";#N/A,#N/A,FALSE,"SimInp2";#N/A,#N/A,FALSE,"SimOut1";#N/A,#N/A,FALSE,"SimOut2";#N/A,#N/A,FALSE,"SimOut3";#N/A,#N/A,FALSE,"SimOut4";#N/A,#N/A,FALSE,"SimOut5"}</definedName>
    <definedName name="wrn.Input._.and._.output._.tables." localSheetId="5" hidden="1">{#N/A,#N/A,FALSE,"SimInp1";#N/A,#N/A,FALSE,"SimInp2";#N/A,#N/A,FALSE,"SimOut1";#N/A,#N/A,FALSE,"SimOut2";#N/A,#N/A,FALSE,"SimOut3";#N/A,#N/A,FALSE,"SimOut4";#N/A,#N/A,FALSE,"SimOut5"}</definedName>
    <definedName name="wrn.Input._.and._.output._.tables." localSheetId="11" hidden="1">{#N/A,#N/A,FALSE,"SimInp1";#N/A,#N/A,FALSE,"SimInp2";#N/A,#N/A,FALSE,"SimOut1";#N/A,#N/A,FALSE,"SimOut2";#N/A,#N/A,FALSE,"SimOut3";#N/A,#N/A,FALSE,"SimOut4";#N/A,#N/A,FALSE,"SimOut5"}</definedName>
    <definedName name="wrn.Input._.and._.output._.tables." hidden="1">{#N/A,#N/A,FALSE,"SimInp1";#N/A,#N/A,FALSE,"SimInp2";#N/A,#N/A,FALSE,"SimOut1";#N/A,#N/A,FALSE,"SimOut2";#N/A,#N/A,FALSE,"SimOut3";#N/A,#N/A,FALSE,"SimOut4";#N/A,#N/A,FALSE,"SimOut5"}</definedName>
    <definedName name="wrn.Input._.Report." localSheetId="4"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wrn.Input._.Report." localSheetId="5"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wrn.Input._.Report." localSheetId="11"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wrn.Input._.Report."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wrn.KIM2." localSheetId="4"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 localSheetId="5"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 localSheetId="1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MDABOP." localSheetId="4" hidden="1">{"BOP_TAB",#N/A,FALSE,"N";"MIDTERM_TAB",#N/A,FALSE,"O";"FUND_CRED",#N/A,FALSE,"P";"DEBT_TAB1",#N/A,FALSE,"Q";"DEBT_TAB2",#N/A,FALSE,"Q";"FORFIN_TAB1",#N/A,FALSE,"R";"FORFIN_TAB2",#N/A,FALSE,"R";"BOP_ANALY",#N/A,FALSE,"U"}</definedName>
    <definedName name="wrn.MDABOP." localSheetId="5" hidden="1">{"BOP_TAB",#N/A,FALSE,"N";"MIDTERM_TAB",#N/A,FALSE,"O";"FUND_CRED",#N/A,FALSE,"P";"DEBT_TAB1",#N/A,FALSE,"Q";"DEBT_TAB2",#N/A,FALSE,"Q";"FORFIN_TAB1",#N/A,FALSE,"R";"FORFIN_TAB2",#N/A,FALSE,"R";"BOP_ANALY",#N/A,FALSE,"U"}</definedName>
    <definedName name="wrn.MDABOP." localSheetId="11" hidden="1">{"BOP_TAB",#N/A,FALSE,"N";"MIDTERM_TAB",#N/A,FALSE,"O";"FUND_CRED",#N/A,FALSE,"P";"DEBT_TAB1",#N/A,FALSE,"Q";"DEBT_TAB2",#N/A,FALSE,"Q";"FORFIN_TAB1",#N/A,FALSE,"R";"FORFIN_TAB2",#N/A,FALSE,"R";"BOP_ANALY",#N/A,FALSE,"U"}</definedName>
    <definedName name="wrn.MDABOP." hidden="1">{"BOP_TAB",#N/A,FALSE,"N";"MIDTERM_TAB",#N/A,FALSE,"O";"FUND_CRED",#N/A,FALSE,"P";"DEBT_TAB1",#N/A,FALSE,"Q";"DEBT_TAB2",#N/A,FALSE,"Q";"FORFIN_TAB1",#N/A,FALSE,"R";"FORFIN_TAB2",#N/A,FALSE,"R";"BOP_ANALY",#N/A,FALSE,"U"}</definedName>
    <definedName name="wrn.MONA." localSheetId="4" hidden="1">{"MONA",#N/A,FALSE,"S"}</definedName>
    <definedName name="wrn.MONA." localSheetId="5" hidden="1">{"MONA",#N/A,FALSE,"S"}</definedName>
    <definedName name="wrn.MONA." localSheetId="11" hidden="1">{"MONA",#N/A,FALSE,"S"}</definedName>
    <definedName name="wrn.MONA." hidden="1">{"MONA",#N/A,FALSE,"S"}</definedName>
    <definedName name="wrn.Output._.tables." localSheetId="4" hidden="1">{#N/A,#N/A,FALSE,"I";#N/A,#N/A,FALSE,"J";#N/A,#N/A,FALSE,"K";#N/A,#N/A,FALSE,"L";#N/A,#N/A,FALSE,"M";#N/A,#N/A,FALSE,"N";#N/A,#N/A,FALSE,"O"}</definedName>
    <definedName name="wrn.Output._.tables." localSheetId="5" hidden="1">{#N/A,#N/A,FALSE,"I";#N/A,#N/A,FALSE,"J";#N/A,#N/A,FALSE,"K";#N/A,#N/A,FALSE,"L";#N/A,#N/A,FALSE,"M";#N/A,#N/A,FALSE,"N";#N/A,#N/A,FALSE,"O"}</definedName>
    <definedName name="wrn.Output._.tables." localSheetId="11" hidden="1">{#N/A,#N/A,FALSE,"I";#N/A,#N/A,FALSE,"J";#N/A,#N/A,FALSE,"K";#N/A,#N/A,FALSE,"L";#N/A,#N/A,FALSE,"M";#N/A,#N/A,FALSE,"N";#N/A,#N/A,FALSE,"O"}</definedName>
    <definedName name="wrn.Output._.tables." hidden="1">{#N/A,#N/A,FALSE,"I";#N/A,#N/A,FALSE,"J";#N/A,#N/A,FALSE,"K";#N/A,#N/A,FALSE,"L";#N/A,#N/A,FALSE,"M";#N/A,#N/A,FALSE,"N";#N/A,#N/A,FALSE,"O"}</definedName>
    <definedName name="wrn.Print._.All." localSheetId="4" hidden="1">{#N/A,#N/A,FALSE,"SUMMARIZATION";#N/A,#N/A,FALSE,"INC_STAT";#N/A,#N/A,FALSE,"2 Sales &amp; Stock";#N/A,#N/A,FALSE,"3 Forecast98";#N/A,#N/A,FALSE,"4 Plan99";#N/A,#N/A,FALSE,"5 Purchase_Plan";#N/A,#N/A,FALSE,"7 Marketing";#N/A,#N/A,FALSE,"8 Non Op Inc Exp";#N/A,#N/A,FALSE,"9 Extord Gain &amp; Loss";#N/A,#N/A,FALSE,"Bal Sheet";#N/A,#N/A,FALSE,"Investment";#N/A,#N/A,FALSE,"Cash_Flow";#N/A,#N/A,FALSE,"IV Organisation";#N/A,#N/A,FALSE,"V Price Struct";#N/A,#N/A,FALSE,"V Bus Performance";#N/A,#N/A,FALSE,"V 5 Year Plan"}</definedName>
    <definedName name="wrn.Print._.All." localSheetId="5" hidden="1">{#N/A,#N/A,FALSE,"SUMMARIZATION";#N/A,#N/A,FALSE,"INC_STAT";#N/A,#N/A,FALSE,"2 Sales &amp; Stock";#N/A,#N/A,FALSE,"3 Forecast98";#N/A,#N/A,FALSE,"4 Plan99";#N/A,#N/A,FALSE,"5 Purchase_Plan";#N/A,#N/A,FALSE,"7 Marketing";#N/A,#N/A,FALSE,"8 Non Op Inc Exp";#N/A,#N/A,FALSE,"9 Extord Gain &amp; Loss";#N/A,#N/A,FALSE,"Bal Sheet";#N/A,#N/A,FALSE,"Investment";#N/A,#N/A,FALSE,"Cash_Flow";#N/A,#N/A,FALSE,"IV Organisation";#N/A,#N/A,FALSE,"V Price Struct";#N/A,#N/A,FALSE,"V Bus Performance";#N/A,#N/A,FALSE,"V 5 Year Plan"}</definedName>
    <definedName name="wrn.Print._.All." localSheetId="11" hidden="1">{#N/A,#N/A,FALSE,"SUMMARIZATION";#N/A,#N/A,FALSE,"INC_STAT";#N/A,#N/A,FALSE,"2 Sales &amp; Stock";#N/A,#N/A,FALSE,"3 Forecast98";#N/A,#N/A,FALSE,"4 Plan99";#N/A,#N/A,FALSE,"5 Purchase_Plan";#N/A,#N/A,FALSE,"7 Marketing";#N/A,#N/A,FALSE,"8 Non Op Inc Exp";#N/A,#N/A,FALSE,"9 Extord Gain &amp; Loss";#N/A,#N/A,FALSE,"Bal Sheet";#N/A,#N/A,FALSE,"Investment";#N/A,#N/A,FALSE,"Cash_Flow";#N/A,#N/A,FALSE,"IV Organisation";#N/A,#N/A,FALSE,"V Price Struct";#N/A,#N/A,FALSE,"V Bus Performance";#N/A,#N/A,FALSE,"V 5 Year Plan"}</definedName>
    <definedName name="wrn.Print._.All." hidden="1">{#N/A,#N/A,FALSE,"SUMMARIZATION";#N/A,#N/A,FALSE,"INC_STAT";#N/A,#N/A,FALSE,"2 Sales &amp; Stock";#N/A,#N/A,FALSE,"3 Forecast98";#N/A,#N/A,FALSE,"4 Plan99";#N/A,#N/A,FALSE,"5 Purchase_Plan";#N/A,#N/A,FALSE,"7 Marketing";#N/A,#N/A,FALSE,"8 Non Op Inc Exp";#N/A,#N/A,FALSE,"9 Extord Gain &amp; Loss";#N/A,#N/A,FALSE,"Bal Sheet";#N/A,#N/A,FALSE,"Investment";#N/A,#N/A,FALSE,"Cash_Flow";#N/A,#N/A,FALSE,"IV Organisation";#N/A,#N/A,FALSE,"V Price Struct";#N/A,#N/A,FALSE,"V Bus Performance";#N/A,#N/A,FALSE,"V 5 Year Plan"}</definedName>
    <definedName name="wrn.RPT." localSheetId="4" hidden="1">{#N/A,#N/A,FALSE,"인원";#N/A,#N/A,FALSE,"비용2";#N/A,#N/A,FALSE,"비용1";#N/A,#N/A,FALSE,"비용";#N/A,#N/A,FALSE,"보증2";#N/A,#N/A,FALSE,"보증1";#N/A,#N/A,FALSE,"보증";#N/A,#N/A,FALSE,"손익1";#N/A,#N/A,FALSE,"손익";#N/A,#N/A,FALSE,"부서별매출";#N/A,#N/A,FALSE,"매출"}</definedName>
    <definedName name="wrn.RPT." localSheetId="5" hidden="1">{#N/A,#N/A,FALSE,"인원";#N/A,#N/A,FALSE,"비용2";#N/A,#N/A,FALSE,"비용1";#N/A,#N/A,FALSE,"비용";#N/A,#N/A,FALSE,"보증2";#N/A,#N/A,FALSE,"보증1";#N/A,#N/A,FALSE,"보증";#N/A,#N/A,FALSE,"손익1";#N/A,#N/A,FALSE,"손익";#N/A,#N/A,FALSE,"부서별매출";#N/A,#N/A,FALSE,"매출"}</definedName>
    <definedName name="wrn.RPT." localSheetId="11"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SHIN." localSheetId="4" hidden="1">{#N/A,#N/A,FALSE,"LANOS표면현황";#N/A,#N/A,FALSE,"표면처리업체별";#N/A,#N/A,FALSE,"사양별";#N/A,#N/A,FALSE,"제작업체별";#N/A,#N/A,FALSE,"장착부위";#N/A,#N/A,FALSE,"업체주소";#N/A,#N/A,FALSE,"불량현황"}</definedName>
    <definedName name="wrn.SHIN." localSheetId="5" hidden="1">{#N/A,#N/A,FALSE,"LANOS표면현황";#N/A,#N/A,FALSE,"표면처리업체별";#N/A,#N/A,FALSE,"사양별";#N/A,#N/A,FALSE,"제작업체별";#N/A,#N/A,FALSE,"장착부위";#N/A,#N/A,FALSE,"업체주소";#N/A,#N/A,FALSE,"불량현황"}</definedName>
    <definedName name="wrn.SHIN." localSheetId="11" hidden="1">{#N/A,#N/A,FALSE,"LANOS표면현황";#N/A,#N/A,FALSE,"표면처리업체별";#N/A,#N/A,FALSE,"사양별";#N/A,#N/A,FALSE,"제작업체별";#N/A,#N/A,FALSE,"장착부위";#N/A,#N/A,FALSE,"업체주소";#N/A,#N/A,FALSE,"불량현황"}</definedName>
    <definedName name="wrn.SHIN." hidden="1">{#N/A,#N/A,FALSE,"LANOS표면현황";#N/A,#N/A,FALSE,"표면처리업체별";#N/A,#N/A,FALSE,"사양별";#N/A,#N/A,FALSE,"제작업체별";#N/A,#N/A,FALSE,"장착부위";#N/A,#N/A,FALSE,"업체주소";#N/A,#N/A,FALSE,"불량현황"}</definedName>
    <definedName name="wrn.WEO." localSheetId="4" hidden="1">{"WEO",#N/A,FALSE,"T"}</definedName>
    <definedName name="wrn.WEO." localSheetId="5" hidden="1">{"WEO",#N/A,FALSE,"T"}</definedName>
    <definedName name="wrn.WEO." localSheetId="11" hidden="1">{"WEO",#N/A,FALSE,"T"}</definedName>
    <definedName name="wrn.WEO." hidden="1">{"WEO",#N/A,FALSE,"T"}</definedName>
    <definedName name="wrn.고명석._.하반기._.업무보고." localSheetId="4" hidden="1">{#N/A,#N/A,FALSE,"검사-1";#N/A,#N/A,FALSE,"품질관리공정도";#N/A,#N/A,FALSE,"DR-1";#N/A,#N/A,FALSE,"DR-부적합";#N/A,#N/A,FALSE,"검사-부적합";#N/A,#N/A,FALSE,"검사기준서"}</definedName>
    <definedName name="wrn.고명석._.하반기._.업무보고." localSheetId="5" hidden="1">{#N/A,#N/A,FALSE,"검사-1";#N/A,#N/A,FALSE,"품질관리공정도";#N/A,#N/A,FALSE,"DR-1";#N/A,#N/A,FALSE,"DR-부적합";#N/A,#N/A,FALSE,"검사-부적합";#N/A,#N/A,FALSE,"검사기준서"}</definedName>
    <definedName name="wrn.고명석._.하반기._.업무보고." localSheetId="11" hidden="1">{#N/A,#N/A,FALSE,"검사-1";#N/A,#N/A,FALSE,"품질관리공정도";#N/A,#N/A,FALSE,"DR-1";#N/A,#N/A,FALSE,"DR-부적합";#N/A,#N/A,FALSE,"검사-부적합";#N/A,#N/A,FALSE,"검사기준서"}</definedName>
    <definedName name="wrn.고명석._.하반기._.업무보고." hidden="1">{#N/A,#N/A,FALSE,"검사-1";#N/A,#N/A,FALSE,"품질관리공정도";#N/A,#N/A,FALSE,"DR-1";#N/A,#N/A,FALSE,"DR-부적합";#N/A,#N/A,FALSE,"검사-부적합";#N/A,#N/A,FALSE,"검사기준서"}</definedName>
    <definedName name="wrn.남재연._.하반기._.업무보고." localSheetId="4" hidden="1">{#N/A,#N/A,FALSE,"DR-부적합";#N/A,#N/A,FALSE,"DR-제조공정";#N/A,#N/A,FALSE,"검사-부적합";#N/A,#N/A,FALSE,"검사기준서";#N/A,#N/A,FALSE,"품질관리공정도";#N/A,#N/A,FALSE,"검사-1";#N/A,#N/A,FALSE,"DR-1"}</definedName>
    <definedName name="wrn.남재연._.하반기._.업무보고." localSheetId="5" hidden="1">{#N/A,#N/A,FALSE,"DR-부적합";#N/A,#N/A,FALSE,"DR-제조공정";#N/A,#N/A,FALSE,"검사-부적합";#N/A,#N/A,FALSE,"검사기준서";#N/A,#N/A,FALSE,"품질관리공정도";#N/A,#N/A,FALSE,"검사-1";#N/A,#N/A,FALSE,"DR-1"}</definedName>
    <definedName name="wrn.남재연._.하반기._.업무보고." localSheetId="11" hidden="1">{#N/A,#N/A,FALSE,"DR-부적합";#N/A,#N/A,FALSE,"DR-제조공정";#N/A,#N/A,FALSE,"검사-부적합";#N/A,#N/A,FALSE,"검사기준서";#N/A,#N/A,FALSE,"품질관리공정도";#N/A,#N/A,FALSE,"검사-1";#N/A,#N/A,FALSE,"DR-1"}</definedName>
    <definedName name="wrn.남재연._.하반기._.업무보고." hidden="1">{#N/A,#N/A,FALSE,"DR-부적합";#N/A,#N/A,FALSE,"DR-제조공정";#N/A,#N/A,FALSE,"검사-부적합";#N/A,#N/A,FALSE,"검사기준서";#N/A,#N/A,FALSE,"품질관리공정도";#N/A,#N/A,FALSE,"검사-1";#N/A,#N/A,FALSE,"DR-1"}</definedName>
    <definedName name="wrn.신규dep._.full._.set." localSheetId="4" hidden="1">{#N/A,#N/A,FALSE,"신규dep";#N/A,#N/A,FALSE,"신규dep-금형상각후";#N/A,#N/A,FALSE,"신규dep-연구비상각후";#N/A,#N/A,FALSE,"신규dep-기계,공구상각후"}</definedName>
    <definedName name="wrn.신규dep._.full._.set." localSheetId="5" hidden="1">{#N/A,#N/A,FALSE,"신규dep";#N/A,#N/A,FALSE,"신규dep-금형상각후";#N/A,#N/A,FALSE,"신규dep-연구비상각후";#N/A,#N/A,FALSE,"신규dep-기계,공구상각후"}</definedName>
    <definedName name="wrn.신규dep._.full._.set." localSheetId="11"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윤원훈._.하반기._.보고." localSheetId="4" hidden="1">{#N/A,#N/A,FALSE,"검사-1";#N/A,#N/A,FALSE,"품질관리공정도";#N/A,#N/A,FALSE,"DR-1";#N/A,#N/A,FALSE,"검사-부적합";#N/A,#N/A,FALSE,"DR-부적합";#N/A,#N/A,FALSE,"검사기준서"}</definedName>
    <definedName name="wrn.윤원훈._.하반기._.보고." localSheetId="5" hidden="1">{#N/A,#N/A,FALSE,"검사-1";#N/A,#N/A,FALSE,"품질관리공정도";#N/A,#N/A,FALSE,"DR-1";#N/A,#N/A,FALSE,"검사-부적합";#N/A,#N/A,FALSE,"DR-부적합";#N/A,#N/A,FALSE,"검사기준서"}</definedName>
    <definedName name="wrn.윤원훈._.하반기._.보고." localSheetId="11" hidden="1">{#N/A,#N/A,FALSE,"검사-1";#N/A,#N/A,FALSE,"품질관리공정도";#N/A,#N/A,FALSE,"DR-1";#N/A,#N/A,FALSE,"검사-부적합";#N/A,#N/A,FALSE,"DR-부적합";#N/A,#N/A,FALSE,"검사기준서"}</definedName>
    <definedName name="wrn.윤원훈._.하반기._.보고." hidden="1">{#N/A,#N/A,FALSE,"검사-1";#N/A,#N/A,FALSE,"품질관리공정도";#N/A,#N/A,FALSE,"DR-1";#N/A,#N/A,FALSE,"검사-부적합";#N/A,#N/A,FALSE,"DR-부적합";#N/A,#N/A,FALSE,"검사기준서"}</definedName>
    <definedName name="wrn.이사님." localSheetId="4" hidden="1">{#N/A,#N/A,TRUE,"이사님";#N/A,#N/A,TRUE,"이사님"}</definedName>
    <definedName name="wrn.이사님." localSheetId="5" hidden="1">{#N/A,#N/A,TRUE,"이사님";#N/A,#N/A,TRUE,"이사님"}</definedName>
    <definedName name="wrn.이사님." localSheetId="11" hidden="1">{#N/A,#N/A,TRUE,"이사님";#N/A,#N/A,TRUE,"이사님"}</definedName>
    <definedName name="wrn.이사님." hidden="1">{#N/A,#N/A,TRUE,"이사님";#N/A,#N/A,TRUE,"이사님"}</definedName>
    <definedName name="wrn.자판정비._.월간회의자료."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localSheetId="4" hidden="1">{#N/A,#N/A,FALSE,"단축1";#N/A,#N/A,FALSE,"단축2";#N/A,#N/A,FALSE,"단축3";#N/A,#N/A,FALSE,"장축";#N/A,#N/A,FALSE,"4WD"}</definedName>
    <definedName name="wrn.전부인쇄." localSheetId="5" hidden="1">{#N/A,#N/A,FALSE,"단축1";#N/A,#N/A,FALSE,"단축2";#N/A,#N/A,FALSE,"단축3";#N/A,#N/A,FALSE,"장축";#N/A,#N/A,FALSE,"4WD"}</definedName>
    <definedName name="wrn.전부인쇄." localSheetId="11" hidden="1">{#N/A,#N/A,FALSE,"단축1";#N/A,#N/A,FALSE,"단축2";#N/A,#N/A,FALSE,"단축3";#N/A,#N/A,FALSE,"장축";#N/A,#N/A,FALSE,"4WD"}</definedName>
    <definedName name="wrn.전부인쇄." hidden="1">{#N/A,#N/A,FALSE,"단축1";#N/A,#N/A,FALSE,"단축2";#N/A,#N/A,FALSE,"단축3";#N/A,#N/A,FALSE,"장축";#N/A,#N/A,FALSE,"4WD"}</definedName>
    <definedName name="wrn.주간._.보고." localSheetId="4" hidden="1">{#N/A,#N/A,TRUE,"일정"}</definedName>
    <definedName name="wrn.주간._.보고." localSheetId="5" hidden="1">{#N/A,#N/A,TRUE,"일정"}</definedName>
    <definedName name="wrn.주간._.보고." localSheetId="11" hidden="1">{#N/A,#N/A,TRUE,"일정"}</definedName>
    <definedName name="wrn.주간._.보고." hidden="1">{#N/A,#N/A,TRUE,"일정"}</definedName>
    <definedName name="wrn.표면처리._.현황." localSheetId="4" hidden="1">{#N/A,#N/A,FALSE,"불량현황";#N/A,#N/A,FALSE,"표면처리업체별";#N/A,#N/A,FALSE,"사양별";#N/A,#N/A,FALSE,"제작업체별";#N/A,#N/A,FALSE,"업체주소";#N/A,#N/A,FALSE,"장착부위";#N/A,#N/A,FALSE,"V-100표면현황 (2)"}</definedName>
    <definedName name="wrn.표면처리._.현황." localSheetId="5" hidden="1">{#N/A,#N/A,FALSE,"불량현황";#N/A,#N/A,FALSE,"표면처리업체별";#N/A,#N/A,FALSE,"사양별";#N/A,#N/A,FALSE,"제작업체별";#N/A,#N/A,FALSE,"업체주소";#N/A,#N/A,FALSE,"장착부위";#N/A,#N/A,FALSE,"V-100표면현황 (2)"}</definedName>
    <definedName name="wrn.표면처리._.현황." localSheetId="11" hidden="1">{#N/A,#N/A,FALSE,"불량현황";#N/A,#N/A,FALSE,"표면처리업체별";#N/A,#N/A,FALSE,"사양별";#N/A,#N/A,FALSE,"제작업체별";#N/A,#N/A,FALSE,"업체주소";#N/A,#N/A,FALSE,"장착부위";#N/A,#N/A,FALSE,"V-100표면현황 (2)"}</definedName>
    <definedName name="wrn.표면처리._.현황." hidden="1">{#N/A,#N/A,FALSE,"불량현황";#N/A,#N/A,FALSE,"표면처리업체별";#N/A,#N/A,FALSE,"사양별";#N/A,#N/A,FALSE,"제작업체별";#N/A,#N/A,FALSE,"업체주소";#N/A,#N/A,FALSE,"장착부위";#N/A,#N/A,FALSE,"V-100표면현황 (2)"}</definedName>
    <definedName name="wrn.하반기2팀._.보고서." localSheetId="4" hidden="1">{#N/A,#N/A,FALSE,"검사기준서";#N/A,#N/A,FALSE,"품질관리공정도";#N/A,#N/A,FALSE,"검사기준서 data";#N/A,#N/A,FALSE,"품질관리공정도 data";#N/A,#N/A,FALSE,"dr제조공정현황";#N/A,#N/A,FALSE,"DR-1";#N/A,#N/A,FALSE,"검사수행상태감사";#N/A,#N/A,FALSE,"검사수행상태감사data"}</definedName>
    <definedName name="wrn.하반기2팀._.보고서." localSheetId="5" hidden="1">{#N/A,#N/A,FALSE,"검사기준서";#N/A,#N/A,FALSE,"품질관리공정도";#N/A,#N/A,FALSE,"검사기준서 data";#N/A,#N/A,FALSE,"품질관리공정도 data";#N/A,#N/A,FALSE,"dr제조공정현황";#N/A,#N/A,FALSE,"DR-1";#N/A,#N/A,FALSE,"검사수행상태감사";#N/A,#N/A,FALSE,"검사수행상태감사data"}</definedName>
    <definedName name="wrn.하반기2팀._.보고서." localSheetId="11" hidden="1">{#N/A,#N/A,FALSE,"검사기준서";#N/A,#N/A,FALSE,"품질관리공정도";#N/A,#N/A,FALSE,"검사기준서 data";#N/A,#N/A,FALSE,"품질관리공정도 data";#N/A,#N/A,FALSE,"dr제조공정현황";#N/A,#N/A,FALSE,"DR-1";#N/A,#N/A,FALSE,"검사수행상태감사";#N/A,#N/A,FALSE,"검사수행상태감사data"}</definedName>
    <definedName name="wrn.하반기2팀._.보고서." hidden="1">{#N/A,#N/A,FALSE,"검사기준서";#N/A,#N/A,FALSE,"품질관리공정도";#N/A,#N/A,FALSE,"검사기준서 data";#N/A,#N/A,FALSE,"품질관리공정도 data";#N/A,#N/A,FALSE,"dr제조공정현황";#N/A,#N/A,FALSE,"DR-1";#N/A,#N/A,FALSE,"검사수행상태감사";#N/A,#N/A,FALSE,"검사수행상태감사data"}</definedName>
    <definedName name="wrn.허치환씨._.하반기._.자료." localSheetId="4" hidden="1">{#N/A,#N/A,FALSE,"검사-1";#N/A,#N/A,FALSE,"품질관리공정도";#N/A,#N/A,FALSE,"DR-1";#N/A,#N/A,FALSE,"DR-부적합";#N/A,#N/A,FALSE,"DR-제조공정";#N/A,#N/A,FALSE,"검사-부적합";#N/A,#N/A,FALSE,"검사기준서"}</definedName>
    <definedName name="wrn.허치환씨._.하반기._.자료." localSheetId="5" hidden="1">{#N/A,#N/A,FALSE,"검사-1";#N/A,#N/A,FALSE,"품질관리공정도";#N/A,#N/A,FALSE,"DR-1";#N/A,#N/A,FALSE,"DR-부적합";#N/A,#N/A,FALSE,"DR-제조공정";#N/A,#N/A,FALSE,"검사-부적합";#N/A,#N/A,FALSE,"검사기준서"}</definedName>
    <definedName name="wrn.허치환씨._.하반기._.자료." localSheetId="11" hidden="1">{#N/A,#N/A,FALSE,"검사-1";#N/A,#N/A,FALSE,"품질관리공정도";#N/A,#N/A,FALSE,"DR-1";#N/A,#N/A,FALSE,"DR-부적합";#N/A,#N/A,FALSE,"DR-제조공정";#N/A,#N/A,FALSE,"검사-부적합";#N/A,#N/A,FALSE,"검사기준서"}</definedName>
    <definedName name="wrn.허치환씨._.하반기._.자료." hidden="1">{#N/A,#N/A,FALSE,"검사-1";#N/A,#N/A,FALSE,"품질관리공정도";#N/A,#N/A,FALSE,"DR-1";#N/A,#N/A,FALSE,"DR-부적합";#N/A,#N/A,FALSE,"DR-제조공정";#N/A,#N/A,FALSE,"검사-부적합";#N/A,#N/A,FALSE,"검사기준서"}</definedName>
    <definedName name="ws" localSheetId="4">{30,140,350,160,"",""}</definedName>
    <definedName name="ws" localSheetId="5">{30,140,350,160,"",""}</definedName>
    <definedName name="ws" localSheetId="11">{30,140,350,160,"",""}</definedName>
    <definedName name="ws">{30,140,350,160,"",""}</definedName>
    <definedName name="wsd" localSheetId="4">#REF!</definedName>
    <definedName name="wsd" localSheetId="5">#REF!</definedName>
    <definedName name="wsd" localSheetId="11">#REF!</definedName>
    <definedName name="wsd">#REF!</definedName>
    <definedName name="wt" localSheetId="4">{30,140,350,160,"",""}</definedName>
    <definedName name="wt" localSheetId="5">{30,140,350,160,"",""}</definedName>
    <definedName name="wt" localSheetId="11">{30,140,350,160,"",""}</definedName>
    <definedName name="wt">{30,140,350,160,"",""}</definedName>
    <definedName name="wv" localSheetId="4">{30,140,350,160,"",""}</definedName>
    <definedName name="wv" localSheetId="5">{30,140,350,160,"",""}</definedName>
    <definedName name="wv" localSheetId="11">{30,140,350,160,"",""}</definedName>
    <definedName name="wv">{30,140,350,160,"",""}</definedName>
    <definedName name="WWW"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W" localSheetId="4" hidden="1">{#N/A,#N/A,TRUE,"일정"}</definedName>
    <definedName name="WWWW" localSheetId="5" hidden="1">{#N/A,#N/A,TRUE,"일정"}</definedName>
    <definedName name="WWWW" localSheetId="11" hidden="1">{#N/A,#N/A,TRUE,"일정"}</definedName>
    <definedName name="WWWW" hidden="1">{#N/A,#N/A,TRUE,"일정"}</definedName>
    <definedName name="WWWWW"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WW"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WW"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W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x" localSheetId="4">{30,140,350,160,"",""}</definedName>
    <definedName name="wx" localSheetId="5">{30,140,350,160,"",""}</definedName>
    <definedName name="wx" localSheetId="11">{30,140,350,160,"",""}</definedName>
    <definedName name="wx">{30,140,350,160,"",""}</definedName>
    <definedName name="wy" localSheetId="4">{30,140,350,160,"",""}</definedName>
    <definedName name="wy" localSheetId="5">{30,140,350,160,"",""}</definedName>
    <definedName name="wy" localSheetId="11">{30,140,350,160,"",""}</definedName>
    <definedName name="wy">{30,140,350,160,"",""}</definedName>
    <definedName name="wz" localSheetId="4">#REF!</definedName>
    <definedName name="wz" localSheetId="5">#REF!</definedName>
    <definedName name="wz" localSheetId="11">#REF!</definedName>
    <definedName name="wz">#REF!</definedName>
    <definedName name="x" localSheetId="4" hidden="1">{#N/A,#N/A,FALSE,"DR-부적합";#N/A,#N/A,FALSE,"DR-제조공정";#N/A,#N/A,FALSE,"검사-부적합";#N/A,#N/A,FALSE,"검사기준서";#N/A,#N/A,FALSE,"품질관리공정도";#N/A,#N/A,FALSE,"검사-1";#N/A,#N/A,FALSE,"DR-1"}</definedName>
    <definedName name="x" localSheetId="5" hidden="1">{#N/A,#N/A,FALSE,"DR-부적합";#N/A,#N/A,FALSE,"DR-제조공정";#N/A,#N/A,FALSE,"검사-부적합";#N/A,#N/A,FALSE,"검사기준서";#N/A,#N/A,FALSE,"품질관리공정도";#N/A,#N/A,FALSE,"검사-1";#N/A,#N/A,FALSE,"DR-1"}</definedName>
    <definedName name="x" localSheetId="11" hidden="1">{#N/A,#N/A,FALSE,"DR-부적합";#N/A,#N/A,FALSE,"DR-제조공정";#N/A,#N/A,FALSE,"검사-부적합";#N/A,#N/A,FALSE,"검사기준서";#N/A,#N/A,FALSE,"품질관리공정도";#N/A,#N/A,FALSE,"검사-1";#N/A,#N/A,FALSE,"DR-1"}</definedName>
    <definedName name="x" hidden="1">{#N/A,#N/A,FALSE,"DR-부적합";#N/A,#N/A,FALSE,"DR-제조공정";#N/A,#N/A,FALSE,"검사-부적합";#N/A,#N/A,FALSE,"검사기준서";#N/A,#N/A,FALSE,"품질관리공정도";#N/A,#N/A,FALSE,"검사-1";#N/A,#N/A,FALSE,"DR-1"}</definedName>
    <definedName name="xcv" localSheetId="4">{30,140,350,160,"",""}</definedName>
    <definedName name="xcv" localSheetId="5">{30,140,350,160,"",""}</definedName>
    <definedName name="xcv" localSheetId="11">{30,140,350,160,"",""}</definedName>
    <definedName name="xcv">{30,140,350,160,"",""}</definedName>
    <definedName name="xczx" localSheetId="4">{30,140,350,160,"",""}</definedName>
    <definedName name="xczx" localSheetId="5">{30,140,350,160,"",""}</definedName>
    <definedName name="xczx" localSheetId="11">{30,140,350,160,"",""}</definedName>
    <definedName name="xczx">{30,140,350,160,"",""}</definedName>
    <definedName name="xd품확일정" localSheetId="4" hidden="1">{#N/A,#N/A,FALSE,"단축1";#N/A,#N/A,FALSE,"단축2";#N/A,#N/A,FALSE,"단축3";#N/A,#N/A,FALSE,"장축";#N/A,#N/A,FALSE,"4WD"}</definedName>
    <definedName name="xd품확일정" localSheetId="5" hidden="1">{#N/A,#N/A,FALSE,"단축1";#N/A,#N/A,FALSE,"단축2";#N/A,#N/A,FALSE,"단축3";#N/A,#N/A,FALSE,"장축";#N/A,#N/A,FALSE,"4WD"}</definedName>
    <definedName name="xd품확일정" localSheetId="11" hidden="1">{#N/A,#N/A,FALSE,"단축1";#N/A,#N/A,FALSE,"단축2";#N/A,#N/A,FALSE,"단축3";#N/A,#N/A,FALSE,"장축";#N/A,#N/A,FALSE,"4WD"}</definedName>
    <definedName name="xd품확일정" hidden="1">{#N/A,#N/A,FALSE,"단축1";#N/A,#N/A,FALSE,"단축2";#N/A,#N/A,FALSE,"단축3";#N/A,#N/A,FALSE,"장축";#N/A,#N/A,FALSE,"4WD"}</definedName>
    <definedName name="xvcvcxzdsfs" localSheetId="4">#REF!</definedName>
    <definedName name="xvcvcxzdsfs" localSheetId="5">#REF!</definedName>
    <definedName name="xvcvcxzdsfs" localSheetId="11">#REF!</definedName>
    <definedName name="xvcvcxzdsfs">#REF!</definedName>
    <definedName name="XXX" localSheetId="4">#REF!</definedName>
    <definedName name="XXX" localSheetId="5">#REF!</definedName>
    <definedName name="XXX" localSheetId="11">#REF!</definedName>
    <definedName name="XXX">#REF!</definedName>
    <definedName name="XXXX"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XXXX"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XXXX"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XXXX"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y" localSheetId="4">{30,140,350,160,"",""}</definedName>
    <definedName name="y" localSheetId="5">{30,140,350,160,"",""}</definedName>
    <definedName name="y" localSheetId="11">{30,140,350,160,"",""}</definedName>
    <definedName name="y">{30,140,350,160,"",""}</definedName>
    <definedName name="yil">#N/A</definedName>
    <definedName name="yt" localSheetId="4">{30,140,350,160,"",""}</definedName>
    <definedName name="yt" localSheetId="5">{30,140,350,160,"",""}</definedName>
    <definedName name="yt" localSheetId="11">{30,140,350,160,"",""}</definedName>
    <definedName name="yt">{30,140,350,160,"",""}</definedName>
    <definedName name="ytr" localSheetId="4">{30,140,350,160,"",""}</definedName>
    <definedName name="ytr" localSheetId="5">{30,140,350,160,"",""}</definedName>
    <definedName name="ytr" localSheetId="11">{30,140,350,160,"",""}</definedName>
    <definedName name="ytr">{30,140,350,160,"",""}</definedName>
    <definedName name="YTTTG"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YTTTG"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YTTTG"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YTTT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ytu" localSheetId="4">{30,140,350,160,"",""}</definedName>
    <definedName name="ytu" localSheetId="5">{30,140,350,160,"",""}</definedName>
    <definedName name="ytu" localSheetId="11">{30,140,350,160,"",""}</definedName>
    <definedName name="ytu">{30,140,350,160,"",""}</definedName>
    <definedName name="yuk" localSheetId="4">#REF!</definedName>
    <definedName name="yuk" localSheetId="5">#REF!</definedName>
    <definedName name="yuk" localSheetId="11">#REF!</definedName>
    <definedName name="yuk">#REF!</definedName>
    <definedName name="yy" localSheetId="4">#REF!</definedName>
    <definedName name="yy" localSheetId="5">#REF!</definedName>
    <definedName name="yy" localSheetId="11">#REF!</definedName>
    <definedName name="yy">#REF!</definedName>
    <definedName name="YYYT"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YYYT"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YYYT"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YYY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YYYY"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YYYY"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YYYY"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YYY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YYYYY"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YYYYY"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YYYYY"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YYYY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YYYYYY"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YYYYYY"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YYYYYY"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YYYYY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z" localSheetId="4" hidden="1">{#N/A,#N/A,FALSE,"검사-1";#N/A,#N/A,FALSE,"품질관리공정도";#N/A,#N/A,FALSE,"DR-1";#N/A,#N/A,FALSE,"DR-부적합";#N/A,#N/A,FALSE,"검사-부적합";#N/A,#N/A,FALSE,"검사기준서"}</definedName>
    <definedName name="z" localSheetId="5" hidden="1">{#N/A,#N/A,FALSE,"검사-1";#N/A,#N/A,FALSE,"품질관리공정도";#N/A,#N/A,FALSE,"DR-1";#N/A,#N/A,FALSE,"DR-부적합";#N/A,#N/A,FALSE,"검사-부적합";#N/A,#N/A,FALSE,"검사기준서"}</definedName>
    <definedName name="z" localSheetId="11" hidden="1">{#N/A,#N/A,FALSE,"검사-1";#N/A,#N/A,FALSE,"품질관리공정도";#N/A,#N/A,FALSE,"DR-1";#N/A,#N/A,FALSE,"DR-부적합";#N/A,#N/A,FALSE,"검사-부적합";#N/A,#N/A,FALSE,"검사기준서"}</definedName>
    <definedName name="z" hidden="1">{#N/A,#N/A,FALSE,"검사-1";#N/A,#N/A,FALSE,"품질관리공정도";#N/A,#N/A,FALSE,"DR-1";#N/A,#N/A,FALSE,"DR-부적합";#N/A,#N/A,FALSE,"검사-부적합";#N/A,#N/A,FALSE,"검사기준서"}</definedName>
    <definedName name="Z_86A21AE1_D222_11D6_8098_444553540000_.wvu.Cols" localSheetId="4" hidden="1">#REF!,#REF!,#REF!,#REF!</definedName>
    <definedName name="Z_86A21AE1_D222_11D6_8098_444553540000_.wvu.Cols" localSheetId="5" hidden="1">#REF!,#REF!,#REF!,#REF!</definedName>
    <definedName name="Z_86A21AE1_D222_11D6_8098_444553540000_.wvu.Cols" localSheetId="11" hidden="1">#REF!,#REF!,#REF!,#REF!</definedName>
    <definedName name="Z_86A21AE1_D222_11D6_8098_444553540000_.wvu.Cols" hidden="1">#REF!,#REF!,#REF!,#REF!</definedName>
    <definedName name="Z_B01F82C8_E2BF_11D8_BD33_0000F8781956_.wvu.Cols" localSheetId="4" hidden="1">#REF!,#REF!,#REF!,#REF!,#REF!,#REF!,#REF!,#REF!,#REF!,#REF!,#REF!,#REF!,#REF!,#REF!</definedName>
    <definedName name="Z_B01F82C8_E2BF_11D8_BD33_0000F8781956_.wvu.Cols" localSheetId="5" hidden="1">#REF!,#REF!,#REF!,#REF!,#REF!,#REF!,#REF!,#REF!,#REF!,#REF!,#REF!,#REF!,#REF!,#REF!</definedName>
    <definedName name="Z_B01F82C8_E2BF_11D8_BD33_0000F8781956_.wvu.Cols" localSheetId="11" hidden="1">#REF!,#REF!,#REF!,#REF!,#REF!,#REF!,#REF!,#REF!,#REF!,#REF!,#REF!,#REF!,#REF!,#REF!</definedName>
    <definedName name="Z_B01F82C8_E2BF_11D8_BD33_0000F8781956_.wvu.Cols" hidden="1">#REF!,#REF!,#REF!,#REF!,#REF!,#REF!,#REF!,#REF!,#REF!,#REF!,#REF!,#REF!,#REF!,#REF!</definedName>
    <definedName name="Z_B01F82C8_E2BF_11D8_BD33_0000F8781956_.wvu.PrintTitles" localSheetId="4" hidden="1">#REF!</definedName>
    <definedName name="Z_B01F82C8_E2BF_11D8_BD33_0000F8781956_.wvu.PrintTitles" localSheetId="5" hidden="1">#REF!</definedName>
    <definedName name="Z_B01F82C8_E2BF_11D8_BD33_0000F8781956_.wvu.PrintTitles" localSheetId="11" hidden="1">#REF!</definedName>
    <definedName name="Z_B01F82C8_E2BF_11D8_BD33_0000F8781956_.wvu.PrintTitles" hidden="1">#REF!</definedName>
    <definedName name="za" localSheetId="4">{30,140,350,160,"",""}</definedName>
    <definedName name="za" localSheetId="5">{30,140,350,160,"",""}</definedName>
    <definedName name="za" localSheetId="11">{30,140,350,160,"",""}</definedName>
    <definedName name="za">{30,140,350,160,"",""}</definedName>
    <definedName name="ZAGOL" localSheetId="4">#REF!</definedName>
    <definedName name="ZAGOL" localSheetId="5">#REF!</definedName>
    <definedName name="ZAGOL" localSheetId="11">#REF!</definedName>
    <definedName name="ZAGOL">#REF!</definedName>
    <definedName name="zb" localSheetId="4">#REF!</definedName>
    <definedName name="zb" localSheetId="5">#REF!</definedName>
    <definedName name="zb" localSheetId="11">#REF!</definedName>
    <definedName name="zb">#REF!</definedName>
    <definedName name="Zero2005" localSheetId="4">#REF!</definedName>
    <definedName name="Zero2005" localSheetId="5">#REF!</definedName>
    <definedName name="Zero2005" localSheetId="11">#REF!</definedName>
    <definedName name="Zero2005">#REF!</definedName>
    <definedName name="Zero2010" localSheetId="11">#REF!</definedName>
    <definedName name="Zero2010">#REF!</definedName>
    <definedName name="ZRATEINDC">#N/A</definedName>
    <definedName name="zx" localSheetId="4">{30,140,350,160,"",""}</definedName>
    <definedName name="zx" localSheetId="5">{30,140,350,160,"",""}</definedName>
    <definedName name="zx" localSheetId="11">{30,140,350,160,"",""}</definedName>
    <definedName name="zx">{30,140,350,160,"",""}</definedName>
    <definedName name="а" localSheetId="4">#REF!</definedName>
    <definedName name="а" localSheetId="5">#REF!</definedName>
    <definedName name="а" localSheetId="11">#REF!</definedName>
    <definedName name="а">#REF!</definedName>
    <definedName name="А1" localSheetId="4">#REF!</definedName>
    <definedName name="А1" localSheetId="5">#REF!</definedName>
    <definedName name="А1" localSheetId="11">#REF!</definedName>
    <definedName name="А1">#REF!</definedName>
    <definedName name="А10" localSheetId="4">#REF!</definedName>
    <definedName name="А10" localSheetId="5">#REF!</definedName>
    <definedName name="А10" localSheetId="11">#REF!</definedName>
    <definedName name="А10">#REF!</definedName>
    <definedName name="а12" localSheetId="11">#REF!</definedName>
    <definedName name="а12">#REF!</definedName>
    <definedName name="А17" localSheetId="11">#REF!</definedName>
    <definedName name="А17">#REF!</definedName>
    <definedName name="А2" localSheetId="11">#REF!</definedName>
    <definedName name="А2">#REF!</definedName>
    <definedName name="а209" localSheetId="11">#REF!</definedName>
    <definedName name="а209">#REF!</definedName>
    <definedName name="А7" localSheetId="11">#REF!</definedName>
    <definedName name="А7">#REF!</definedName>
    <definedName name="А9" localSheetId="11">#REF!</definedName>
    <definedName name="А9">#REF!</definedName>
    <definedName name="аа"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аа"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аа"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аа"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ааа" localSheetId="4" hidden="1">{#N/A,#N/A,TRUE,"일정"}</definedName>
    <definedName name="ааа" localSheetId="5" hidden="1">{#N/A,#N/A,TRUE,"일정"}</definedName>
    <definedName name="ааа" localSheetId="11" hidden="1">{#N/A,#N/A,TRUE,"일정"}</definedName>
    <definedName name="ааа" hidden="1">{#N/A,#N/A,TRUE,"일정"}</definedName>
    <definedName name="аааа" localSheetId="4">#REF!</definedName>
    <definedName name="аааа" localSheetId="5">#REF!</definedName>
    <definedName name="аааа" localSheetId="11">#REF!</definedName>
    <definedName name="аааа">#REF!</definedName>
    <definedName name="ааааа"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ааааа"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ааааа"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аааа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ааааааааааанррррпрпр" localSheetId="4" hidden="1">{#N/A,#N/A,FALSE,"인원";#N/A,#N/A,FALSE,"비용2";#N/A,#N/A,FALSE,"비용1";#N/A,#N/A,FALSE,"비용";#N/A,#N/A,FALSE,"보증2";#N/A,#N/A,FALSE,"보증1";#N/A,#N/A,FALSE,"보증";#N/A,#N/A,FALSE,"손익1";#N/A,#N/A,FALSE,"손익";#N/A,#N/A,FALSE,"부서별매출";#N/A,#N/A,FALSE,"매출"}</definedName>
    <definedName name="ааааааааааанррррпрпр" localSheetId="5" hidden="1">{#N/A,#N/A,FALSE,"인원";#N/A,#N/A,FALSE,"비용2";#N/A,#N/A,FALSE,"비용1";#N/A,#N/A,FALSE,"비용";#N/A,#N/A,FALSE,"보증2";#N/A,#N/A,FALSE,"보증1";#N/A,#N/A,FALSE,"보증";#N/A,#N/A,FALSE,"손익1";#N/A,#N/A,FALSE,"손익";#N/A,#N/A,FALSE,"부서별매출";#N/A,#N/A,FALSE,"매출"}</definedName>
    <definedName name="ааааааааааанррррпрпр" localSheetId="11" hidden="1">{#N/A,#N/A,FALSE,"인원";#N/A,#N/A,FALSE,"비용2";#N/A,#N/A,FALSE,"비용1";#N/A,#N/A,FALSE,"비용";#N/A,#N/A,FALSE,"보증2";#N/A,#N/A,FALSE,"보증1";#N/A,#N/A,FALSE,"보증";#N/A,#N/A,FALSE,"손익1";#N/A,#N/A,FALSE,"손익";#N/A,#N/A,FALSE,"부서별매출";#N/A,#N/A,FALSE,"매출"}</definedName>
    <definedName name="ааааааааааанррррпрпр" hidden="1">{#N/A,#N/A,FALSE,"인원";#N/A,#N/A,FALSE,"비용2";#N/A,#N/A,FALSE,"비용1";#N/A,#N/A,FALSE,"비용";#N/A,#N/A,FALSE,"보증2";#N/A,#N/A,FALSE,"보증1";#N/A,#N/A,FALSE,"보증";#N/A,#N/A,FALSE,"손익1";#N/A,#N/A,FALSE,"손익";#N/A,#N/A,FALSE,"부서별매출";#N/A,#N/A,FALSE,"매출"}</definedName>
    <definedName name="ааааппримека" localSheetId="4">DATE(yil,oy,1)</definedName>
    <definedName name="ааааппримека" localSheetId="5">DATE(yil,oy,1)</definedName>
    <definedName name="ааааппримека" localSheetId="11">DATE(yil,oy,1)</definedName>
    <definedName name="ааааппримека">DATE(yil,oy,1)</definedName>
    <definedName name="ааав" localSheetId="4">#REF!</definedName>
    <definedName name="ааав" localSheetId="5">#REF!</definedName>
    <definedName name="ааав" localSheetId="11">#REF!</definedName>
    <definedName name="ааав">#REF!</definedName>
    <definedName name="АБ" localSheetId="4">#REF!</definedName>
    <definedName name="АБ" localSheetId="5">#REF!</definedName>
    <definedName name="АБ" localSheetId="11">#REF!</definedName>
    <definedName name="АБ">#REF!</definedName>
    <definedName name="абду" localSheetId="4">#REF!</definedName>
    <definedName name="абду" localSheetId="5">#REF!</definedName>
    <definedName name="абду" localSheetId="11">#REF!</definedName>
    <definedName name="абду">#REF!</definedName>
    <definedName name="ав" localSheetId="11">#REF!</definedName>
    <definedName name="ав">#REF!</definedName>
    <definedName name="аваав" localSheetId="4">{30,140,350,160,"",""}</definedName>
    <definedName name="аваав" localSheetId="5">{30,140,350,160,"",""}</definedName>
    <definedName name="аваав" localSheetId="11">{30,140,350,160,"",""}</definedName>
    <definedName name="аваав">{30,140,350,160,"",""}</definedName>
    <definedName name="ававпаррпор" localSheetId="4">{30,140,350,160,"",""}</definedName>
    <definedName name="ававпаррпор" localSheetId="5">{30,140,350,160,"",""}</definedName>
    <definedName name="ававпаррпор" localSheetId="11">{30,140,350,160,"",""}</definedName>
    <definedName name="ававпаррпор">{30,140,350,160,"",""}</definedName>
    <definedName name="Август" localSheetId="4">#REF!</definedName>
    <definedName name="Август" localSheetId="5">#REF!</definedName>
    <definedName name="Август" localSheetId="11">#REF!</definedName>
    <definedName name="Август">#REF!</definedName>
    <definedName name="авлб" localSheetId="4">#REF!</definedName>
    <definedName name="авлб" localSheetId="5">#REF!</definedName>
    <definedName name="авлб" localSheetId="11">#REF!</definedName>
    <definedName name="авлб">#REF!</definedName>
    <definedName name="авьлолалоа" localSheetId="4">{30,140,350,160,"",""}</definedName>
    <definedName name="авьлолалоа" localSheetId="5">{30,140,350,160,"",""}</definedName>
    <definedName name="авьлолалоа" localSheetId="11">{30,140,350,160,"",""}</definedName>
    <definedName name="авьлолалоа">{30,140,350,160,"",""}</definedName>
    <definedName name="адр">"$A$3"</definedName>
    <definedName name="АК" localSheetId="4" hidden="1">{#N/A,#N/A,FALSE,"인원";#N/A,#N/A,FALSE,"비용2";#N/A,#N/A,FALSE,"비용1";#N/A,#N/A,FALSE,"비용";#N/A,#N/A,FALSE,"보증2";#N/A,#N/A,FALSE,"보증1";#N/A,#N/A,FALSE,"보증";#N/A,#N/A,FALSE,"손익1";#N/A,#N/A,FALSE,"손익";#N/A,#N/A,FALSE,"부서별매출";#N/A,#N/A,FALSE,"매출"}</definedName>
    <definedName name="АК" localSheetId="5" hidden="1">{#N/A,#N/A,FALSE,"인원";#N/A,#N/A,FALSE,"비용2";#N/A,#N/A,FALSE,"비용1";#N/A,#N/A,FALSE,"비용";#N/A,#N/A,FALSE,"보증2";#N/A,#N/A,FALSE,"보증1";#N/A,#N/A,FALSE,"보증";#N/A,#N/A,FALSE,"손익1";#N/A,#N/A,FALSE,"손익";#N/A,#N/A,FALSE,"부서별매출";#N/A,#N/A,FALSE,"매출"}</definedName>
    <definedName name="АК" localSheetId="11" hidden="1">{#N/A,#N/A,FALSE,"인원";#N/A,#N/A,FALSE,"비용2";#N/A,#N/A,FALSE,"비용1";#N/A,#N/A,FALSE,"비용";#N/A,#N/A,FALSE,"보증2";#N/A,#N/A,FALSE,"보증1";#N/A,#N/A,FALSE,"보증";#N/A,#N/A,FALSE,"손익1";#N/A,#N/A,FALSE,"손익";#N/A,#N/A,FALSE,"부서별매출";#N/A,#N/A,FALSE,"매출"}</definedName>
    <definedName name="АК" hidden="1">{#N/A,#N/A,FALSE,"인원";#N/A,#N/A,FALSE,"비용2";#N/A,#N/A,FALSE,"비용1";#N/A,#N/A,FALSE,"비용";#N/A,#N/A,FALSE,"보증2";#N/A,#N/A,FALSE,"보증1";#N/A,#N/A,FALSE,"보증";#N/A,#N/A,FALSE,"손익1";#N/A,#N/A,FALSE,"손익";#N/A,#N/A,FALSE,"부서별매출";#N/A,#N/A,FALSE,"매출"}</definedName>
    <definedName name="акциз" localSheetId="4">#REF!</definedName>
    <definedName name="акциз" localSheetId="5">#REF!</definedName>
    <definedName name="акциз" localSheetId="11">#REF!</definedName>
    <definedName name="акциз">#REF!</definedName>
    <definedName name="Албина" localSheetId="4">#REF!</definedName>
    <definedName name="Албина" localSheetId="5">#REF!</definedName>
    <definedName name="Албина" localSheetId="11">#REF!</definedName>
    <definedName name="Албина">#REF!</definedName>
    <definedName name="алкоголь2011" localSheetId="4">OFFSET(list05!Full_Print,0,0,Last_Row)</definedName>
    <definedName name="алкоголь2011" localSheetId="5">OFFSET(list06!Full_Print,0,0,Last_Row)</definedName>
    <definedName name="алкоголь2011" localSheetId="11">OFFSET(list12!Full_Print,0,0,Last_Row)</definedName>
    <definedName name="алкоголь2011">OFFSET(Full_Print,0,0,Last_Row)</definedName>
    <definedName name="Анд" localSheetId="4">TRUNC((oy-1)/3+1)</definedName>
    <definedName name="Анд" localSheetId="5">TRUNC((oy-1)/3+1)</definedName>
    <definedName name="Анд" localSheetId="11">TRUNC((oy-1)/3+1)</definedName>
    <definedName name="Анд">TRUNC((oy-1)/3+1)</definedName>
    <definedName name="Анди" localSheetId="4">TRUNC((oy-1)/3+1)</definedName>
    <definedName name="Анди" localSheetId="5">TRUNC((oy-1)/3+1)</definedName>
    <definedName name="Анди" localSheetId="11">TRUNC((oy-1)/3+1)</definedName>
    <definedName name="Анди">TRUNC((oy-1)/3+1)</definedName>
    <definedName name="андижон" localSheetId="4">TRUNC((oy-1)/3+1)</definedName>
    <definedName name="андижон" localSheetId="5">TRUNC((oy-1)/3+1)</definedName>
    <definedName name="андижон" localSheetId="11">TRUNC((oy-1)/3+1)</definedName>
    <definedName name="андижон">TRUNC((oy-1)/3+1)</definedName>
    <definedName name="АП" localSheetId="4">#REF!</definedName>
    <definedName name="АП" localSheetId="5">#REF!</definedName>
    <definedName name="АП" localSheetId="11">#REF!</definedName>
    <definedName name="АП">#REF!</definedName>
    <definedName name="апа" localSheetId="4">#REF!</definedName>
    <definedName name="апа" localSheetId="5">#REF!</definedName>
    <definedName name="апа" localSheetId="11">#REF!</definedName>
    <definedName name="апа">#REF!</definedName>
    <definedName name="апавлпо" localSheetId="4">{30,140,350,160,"",""}</definedName>
    <definedName name="апавлпо" localSheetId="5">{30,140,350,160,"",""}</definedName>
    <definedName name="апавлпо" localSheetId="11">{30,140,350,160,"",""}</definedName>
    <definedName name="апавлпо">{30,140,350,160,"",""}</definedName>
    <definedName name="апаппв" localSheetId="4">{30,140,350,160,"",""}</definedName>
    <definedName name="апаппв" localSheetId="5">{30,140,350,160,"",""}</definedName>
    <definedName name="апаппв" localSheetId="11">{30,140,350,160,"",""}</definedName>
    <definedName name="апаппв">{30,140,350,160,"",""}</definedName>
    <definedName name="аподложир" localSheetId="3">Scheduled_Payment+Extra_Payment</definedName>
    <definedName name="аподложир" localSheetId="4">Scheduled_Payment+Extra_Payment</definedName>
    <definedName name="аподложир" localSheetId="5">Scheduled_Payment+Extra_Payment</definedName>
    <definedName name="аподложир" localSheetId="11">Scheduled_Payment+Extra_Payment</definedName>
    <definedName name="аподложир">Scheduled_Payment+Extra_Payment</definedName>
    <definedName name="апп" localSheetId="4">{30,140,350,160,"",""}</definedName>
    <definedName name="апп" localSheetId="5">{30,140,350,160,"",""}</definedName>
    <definedName name="апп" localSheetId="11">{30,140,350,160,"",""}</definedName>
    <definedName name="апп">{30,140,350,160,"",""}</definedName>
    <definedName name="аппарат" localSheetId="4">#REF!</definedName>
    <definedName name="аппарат" localSheetId="5">#REF!</definedName>
    <definedName name="аппарат" localSheetId="11">#REF!</definedName>
    <definedName name="аппарат">#REF!</definedName>
    <definedName name="апр" localSheetId="4">{30,140,350,160,"",""}</definedName>
    <definedName name="апр" localSheetId="5">{30,140,350,160,"",""}</definedName>
    <definedName name="апр" localSheetId="11">{30,140,350,160,"",""}</definedName>
    <definedName name="апр">{30,140,350,160,"",""}</definedName>
    <definedName name="Апрель" localSheetId="4">#REF!</definedName>
    <definedName name="Апрель" localSheetId="5">#REF!</definedName>
    <definedName name="Апрель" localSheetId="11">#REF!</definedName>
    <definedName name="Апрель">#REF!</definedName>
    <definedName name="апро" localSheetId="4">{30,140,350,160,"",""}</definedName>
    <definedName name="апро" localSheetId="5">{30,140,350,160,"",""}</definedName>
    <definedName name="апро" localSheetId="11">{30,140,350,160,"",""}</definedName>
    <definedName name="апро">{30,140,350,160,"",""}</definedName>
    <definedName name="асчапр" localSheetId="4">{30,140,350,160,"",""}</definedName>
    <definedName name="асчапр" localSheetId="5">{30,140,350,160,"",""}</definedName>
    <definedName name="асчапр" localSheetId="11">{30,140,350,160,"",""}</definedName>
    <definedName name="асчапр">{30,140,350,160,"",""}</definedName>
    <definedName name="аывап" localSheetId="4">{30,140,350,160,"",""}</definedName>
    <definedName name="аывап" localSheetId="5">{30,140,350,160,"",""}</definedName>
    <definedName name="аывап" localSheetId="11">{30,140,350,160,"",""}</definedName>
    <definedName name="аывап">{30,140,350,160,"",""}</definedName>
    <definedName name="Б" localSheetId="4">#REF!</definedName>
    <definedName name="Б" localSheetId="5">#REF!</definedName>
    <definedName name="Б" localSheetId="11">#REF!</definedName>
    <definedName name="Б">#REF!</definedName>
    <definedName name="База" localSheetId="4">#REF!</definedName>
    <definedName name="База" localSheetId="5">#REF!</definedName>
    <definedName name="База" localSheetId="11">#REF!</definedName>
    <definedName name="База">#REF!</definedName>
    <definedName name="База__данных" localSheetId="4">#REF!</definedName>
    <definedName name="База__данных" localSheetId="5">#REF!</definedName>
    <definedName name="База__данных" localSheetId="11">#REF!</definedName>
    <definedName name="База__данных">#REF!</definedName>
    <definedName name="_xlnm.Database" localSheetId="11">#REF!</definedName>
    <definedName name="_xlnm.Database">#REF!</definedName>
    <definedName name="Бахмал" localSheetId="11">#REF!</definedName>
    <definedName name="Бахмал">#REF!</definedName>
    <definedName name="бахром" localSheetId="4">{30,140,350,160,"",""}</definedName>
    <definedName name="бахром" localSheetId="5">{30,140,350,160,"",""}</definedName>
    <definedName name="бахром" localSheetId="11">{30,140,350,160,"",""}</definedName>
    <definedName name="бахром">{30,140,350,160,"",""}</definedName>
    <definedName name="бб"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бб"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бб"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б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бббб" localSheetId="4">#REF!</definedName>
    <definedName name="бббб" localSheetId="5">#REF!</definedName>
    <definedName name="бббб" localSheetId="11">#REF!</definedName>
    <definedName name="бббб">#REF!</definedName>
    <definedName name="беенок" localSheetId="4">{30,140,350,160,"",""}</definedName>
    <definedName name="беенок" localSheetId="5">{30,140,350,160,"",""}</definedName>
    <definedName name="беенок" localSheetId="11">{30,140,350,160,"",""}</definedName>
    <definedName name="беенок">{30,140,350,160,"",""}</definedName>
    <definedName name="безгпбезпдз">#N/A</definedName>
    <definedName name="боб" localSheetId="4">#REF!</definedName>
    <definedName name="боб" localSheetId="5">#REF!</definedName>
    <definedName name="боб" localSheetId="11">#REF!</definedName>
    <definedName name="боб">#REF!</definedName>
    <definedName name="БОГОТТУМАН" localSheetId="4">#REF!</definedName>
    <definedName name="БОГОТТУМАН" localSheetId="5">#REF!</definedName>
    <definedName name="БОГОТТУМАН" localSheetId="11">#REF!</definedName>
    <definedName name="БОГОТТУМАН">#REF!</definedName>
    <definedName name="Бух" localSheetId="4">TRUNC((oy-1)/3+1)</definedName>
    <definedName name="Бух" localSheetId="5">TRUNC((oy-1)/3+1)</definedName>
    <definedName name="Бух" localSheetId="11">TRUNC((oy-1)/3+1)</definedName>
    <definedName name="Бух">TRUNC((oy-1)/3+1)</definedName>
    <definedName name="бь" localSheetId="4">{30,140,350,160,"",""}</definedName>
    <definedName name="бь" localSheetId="5">{30,140,350,160,"",""}</definedName>
    <definedName name="бь" localSheetId="11">{30,140,350,160,"",""}</definedName>
    <definedName name="бь">{30,140,350,160,"",""}</definedName>
    <definedName name="бю" localSheetId="4">{30,140,350,160,"",""}</definedName>
    <definedName name="бю" localSheetId="5">{30,140,350,160,"",""}</definedName>
    <definedName name="бю" localSheetId="11">{30,140,350,160,"",""}</definedName>
    <definedName name="бю">{30,140,350,160,"",""}</definedName>
    <definedName name="в">#N/A</definedName>
    <definedName name="В5" localSheetId="4">#REF!</definedName>
    <definedName name="В5" localSheetId="5">#REF!</definedName>
    <definedName name="В5" localSheetId="11">#REF!</definedName>
    <definedName name="В5">#REF!</definedName>
    <definedName name="в999999" localSheetId="4">#REF!</definedName>
    <definedName name="в999999" localSheetId="5">#REF!</definedName>
    <definedName name="в999999" localSheetId="11">#REF!</definedName>
    <definedName name="в999999">#REF!</definedName>
    <definedName name="ва" localSheetId="4">#REF!</definedName>
    <definedName name="ва" localSheetId="5">#REF!</definedName>
    <definedName name="ва" localSheetId="11">#REF!</definedName>
    <definedName name="ва">#REF!</definedName>
    <definedName name="ваа" localSheetId="4" hidden="1">{#N/A,#N/A,FALSE,"BODY"}</definedName>
    <definedName name="ваа" localSheetId="5" hidden="1">{#N/A,#N/A,FALSE,"BODY"}</definedName>
    <definedName name="ваа" localSheetId="11" hidden="1">{#N/A,#N/A,FALSE,"BODY"}</definedName>
    <definedName name="ваа" hidden="1">{#N/A,#N/A,FALSE,"BODY"}</definedName>
    <definedName name="вава" localSheetId="4">#REF!</definedName>
    <definedName name="вава" localSheetId="5">#REF!</definedName>
    <definedName name="вава" localSheetId="11">#REF!</definedName>
    <definedName name="вава">#REF!</definedName>
    <definedName name="вавав" localSheetId="4">{30,140,350,160,"",""}</definedName>
    <definedName name="вавав" localSheetId="5">{30,140,350,160,"",""}</definedName>
    <definedName name="вавав" localSheetId="11">{30,140,350,160,"",""}</definedName>
    <definedName name="вавав">{30,140,350,160,"",""}</definedName>
    <definedName name="вавававвав" localSheetId="3">[0]!дел/1000</definedName>
    <definedName name="вавававвав" localSheetId="4">[0]!дел/1000</definedName>
    <definedName name="вавававвав" localSheetId="5">[0]!дел/1000</definedName>
    <definedName name="вавававвав" localSheetId="11">[0]!дел/1000</definedName>
    <definedName name="вавававвав">[0]!дел/1000</definedName>
    <definedName name="валовая" localSheetId="4">#REF!</definedName>
    <definedName name="валовая" localSheetId="5">#REF!</definedName>
    <definedName name="валовая" localSheetId="11">#REF!</definedName>
    <definedName name="валовая">#REF!</definedName>
    <definedName name="ВАМ" localSheetId="4">#REF!</definedName>
    <definedName name="ВАМ" localSheetId="5">#REF!</definedName>
    <definedName name="ВАМ" localSheetId="11">#REF!</definedName>
    <definedName name="ВАМ">#REF!</definedName>
    <definedName name="вап" localSheetId="4">#REF!</definedName>
    <definedName name="вап" localSheetId="5">#REF!</definedName>
    <definedName name="вап" localSheetId="11">#REF!</definedName>
    <definedName name="вап">#REF!</definedName>
    <definedName name="вар" localSheetId="11">#REF!</definedName>
    <definedName name="вар">#REF!</definedName>
    <definedName name="Вариант_1" localSheetId="11">#REF!</definedName>
    <definedName name="Вариант_1">#REF!</definedName>
    <definedName name="Вариант_10" localSheetId="11">#REF!</definedName>
    <definedName name="Вариант_10">#REF!</definedName>
    <definedName name="Вариант_11" localSheetId="11">#REF!</definedName>
    <definedName name="Вариант_11">#REF!</definedName>
    <definedName name="Вариант_12" localSheetId="11">#REF!</definedName>
    <definedName name="Вариант_12">#REF!</definedName>
    <definedName name="Вариант_13" localSheetId="11">#REF!</definedName>
    <definedName name="Вариант_13">#REF!</definedName>
    <definedName name="Вариант_14" localSheetId="11">#REF!</definedName>
    <definedName name="Вариант_14">#REF!</definedName>
    <definedName name="Вариант_15" localSheetId="11">#REF!</definedName>
    <definedName name="Вариант_15">#REF!</definedName>
    <definedName name="Вариант_16" localSheetId="11">#REF!</definedName>
    <definedName name="Вариант_16">#REF!</definedName>
    <definedName name="Вариант_17" localSheetId="11">#REF!</definedName>
    <definedName name="Вариант_17">#REF!</definedName>
    <definedName name="Вариант_18" localSheetId="11">#REF!</definedName>
    <definedName name="Вариант_18">#REF!</definedName>
    <definedName name="Вариант_19" localSheetId="11">#REF!</definedName>
    <definedName name="Вариант_19">#REF!</definedName>
    <definedName name="Вариант_2" localSheetId="11">#REF!</definedName>
    <definedName name="Вариант_2">#REF!</definedName>
    <definedName name="Вариант_20" localSheetId="11">#REF!</definedName>
    <definedName name="Вариант_20">#REF!</definedName>
    <definedName name="Вариант_21" localSheetId="11">#REF!</definedName>
    <definedName name="Вариант_21">#REF!</definedName>
    <definedName name="Вариант_22" localSheetId="11">#REF!</definedName>
    <definedName name="Вариант_22">#REF!</definedName>
    <definedName name="Вариант_23" localSheetId="11">#REF!</definedName>
    <definedName name="Вариант_23">#REF!</definedName>
    <definedName name="Вариант_24" localSheetId="11">#REF!</definedName>
    <definedName name="Вариант_24">#REF!</definedName>
    <definedName name="Вариант_25" localSheetId="11">#REF!</definedName>
    <definedName name="Вариант_25">#REF!</definedName>
    <definedName name="Вариант_26" localSheetId="11">#REF!</definedName>
    <definedName name="Вариант_26">#REF!</definedName>
    <definedName name="Вариант_27" localSheetId="11">#REF!</definedName>
    <definedName name="Вариант_27">#REF!</definedName>
    <definedName name="Вариант_3" localSheetId="11">#REF!</definedName>
    <definedName name="Вариант_3">#REF!</definedName>
    <definedName name="Вариант_4" localSheetId="11">#REF!</definedName>
    <definedName name="Вариант_4">#REF!</definedName>
    <definedName name="Вариант_5" localSheetId="11">#REF!</definedName>
    <definedName name="Вариант_5">#REF!</definedName>
    <definedName name="Вариант_6" localSheetId="11">#REF!</definedName>
    <definedName name="Вариант_6">#REF!</definedName>
    <definedName name="Вариант_7" localSheetId="11">#REF!</definedName>
    <definedName name="Вариант_7">#REF!</definedName>
    <definedName name="Вариант_8" localSheetId="11">#REF!</definedName>
    <definedName name="Вариант_8">#REF!</definedName>
    <definedName name="Вариант_9" localSheetId="11">#REF!</definedName>
    <definedName name="Вариант_9">#REF!</definedName>
    <definedName name="вв" localSheetId="4" hidden="1">{#N/A,#N/A,FALSE,"인원";#N/A,#N/A,FALSE,"비용2";#N/A,#N/A,FALSE,"비용1";#N/A,#N/A,FALSE,"비용";#N/A,#N/A,FALSE,"보증2";#N/A,#N/A,FALSE,"보증1";#N/A,#N/A,FALSE,"보증";#N/A,#N/A,FALSE,"손익1";#N/A,#N/A,FALSE,"손익";#N/A,#N/A,FALSE,"부서별매출";#N/A,#N/A,FALSE,"매출"}</definedName>
    <definedName name="вв" localSheetId="5" hidden="1">{#N/A,#N/A,FALSE,"인원";#N/A,#N/A,FALSE,"비용2";#N/A,#N/A,FALSE,"비용1";#N/A,#N/A,FALSE,"비용";#N/A,#N/A,FALSE,"보증2";#N/A,#N/A,FALSE,"보증1";#N/A,#N/A,FALSE,"보증";#N/A,#N/A,FALSE,"손익1";#N/A,#N/A,FALSE,"손익";#N/A,#N/A,FALSE,"부서별매출";#N/A,#N/A,FALSE,"매출"}</definedName>
    <definedName name="вв" localSheetId="11" hidden="1">{#N/A,#N/A,FALSE,"인원";#N/A,#N/A,FALSE,"비용2";#N/A,#N/A,FALSE,"비용1";#N/A,#N/A,FALSE,"비용";#N/A,#N/A,FALSE,"보증2";#N/A,#N/A,FALSE,"보증1";#N/A,#N/A,FALSE,"보증";#N/A,#N/A,FALSE,"손익1";#N/A,#N/A,FALSE,"손익";#N/A,#N/A,FALSE,"부서별매출";#N/A,#N/A,FALSE,"매출"}</definedName>
    <definedName name="вв" hidden="1">{#N/A,#N/A,FALSE,"인원";#N/A,#N/A,FALSE,"비용2";#N/A,#N/A,FALSE,"비용1";#N/A,#N/A,FALSE,"비용";#N/A,#N/A,FALSE,"보증2";#N/A,#N/A,FALSE,"보증1";#N/A,#N/A,FALSE,"보증";#N/A,#N/A,FALSE,"손익1";#N/A,#N/A,FALSE,"손익";#N/A,#N/A,FALSE,"부서별매출";#N/A,#N/A,FALSE,"매출"}</definedName>
    <definedName name="вва" localSheetId="4">{30,140,350,160,"",""}</definedName>
    <definedName name="вва" localSheetId="5">{30,140,350,160,"",""}</definedName>
    <definedName name="вва" localSheetId="11">{30,140,350,160,"",""}</definedName>
    <definedName name="вва">{30,140,350,160,"",""}</definedName>
    <definedName name="ввв" localSheetId="4">{30,140,350,160,"",""}</definedName>
    <definedName name="ввв" localSheetId="5">{30,140,350,160,"",""}</definedName>
    <definedName name="ввв" localSheetId="11">{30,140,350,160,"",""}</definedName>
    <definedName name="ввв">{30,140,350,160,"",""}</definedName>
    <definedName name="вввв" localSheetId="4">#REF!</definedName>
    <definedName name="вввв" localSheetId="5">#REF!</definedName>
    <definedName name="вввв" localSheetId="11">#REF!</definedName>
    <definedName name="вввв">#REF!</definedName>
    <definedName name="вввввв" localSheetId="4">#REF!</definedName>
    <definedName name="вввввв" localSheetId="5">#REF!</definedName>
    <definedName name="вввввв" localSheetId="11">#REF!</definedName>
    <definedName name="вввввв">#REF!</definedName>
    <definedName name="вмм" localSheetId="4">{30,140,350,160,"",""}</definedName>
    <definedName name="вмм" localSheetId="5">{30,140,350,160,"",""}</definedName>
    <definedName name="вмм" localSheetId="11">{30,140,350,160,"",""}</definedName>
    <definedName name="вмм">{30,140,350,160,"",""}</definedName>
    <definedName name="вова" localSheetId="4">#REF!</definedName>
    <definedName name="вова" localSheetId="5">#REF!</definedName>
    <definedName name="вова" localSheetId="11">#REF!</definedName>
    <definedName name="вова">#REF!</definedName>
    <definedName name="врпороро" localSheetId="4">#REF!</definedName>
    <definedName name="врпороро" localSheetId="5">#REF!</definedName>
    <definedName name="врпороро" localSheetId="11">#REF!</definedName>
    <definedName name="врпороро">#REF!</definedName>
    <definedName name="всмвап" localSheetId="4">{30,140,350,160,"",""}</definedName>
    <definedName name="всмвап" localSheetId="5">{30,140,350,160,"",""}</definedName>
    <definedName name="всмвап" localSheetId="11">{30,140,350,160,"",""}</definedName>
    <definedName name="всмвап">{30,140,350,160,"",""}</definedName>
    <definedName name="вфвф" localSheetId="4">#REF!</definedName>
    <definedName name="вфвф" localSheetId="5">#REF!</definedName>
    <definedName name="вфвф" localSheetId="11">#REF!</definedName>
    <definedName name="вфвф">#REF!</definedName>
    <definedName name="вфывфыв" localSheetId="4">#REF!</definedName>
    <definedName name="вфывфыв" localSheetId="5">#REF!</definedName>
    <definedName name="вфывфыв" localSheetId="11">#REF!</definedName>
    <definedName name="вфывфыв">#REF!</definedName>
    <definedName name="вцка" localSheetId="4">#REF!</definedName>
    <definedName name="вцка" localSheetId="5">#REF!</definedName>
    <definedName name="вцка" localSheetId="11">#REF!</definedName>
    <definedName name="вцка">#REF!</definedName>
    <definedName name="вы" localSheetId="4">{30,140,350,160,"",""}</definedName>
    <definedName name="вы" localSheetId="5">{30,140,350,160,"",""}</definedName>
    <definedName name="вы" localSheetId="11">{30,140,350,160,"",""}</definedName>
    <definedName name="вы">{30,140,350,160,"",""}</definedName>
    <definedName name="выав" localSheetId="4">#REF!</definedName>
    <definedName name="выав" localSheetId="5">#REF!</definedName>
    <definedName name="выав" localSheetId="11">#REF!</definedName>
    <definedName name="выав">#REF!</definedName>
    <definedName name="выбыло">0</definedName>
    <definedName name="выв" localSheetId="4">TRUNC((oy-1)/3+1)</definedName>
    <definedName name="выв" localSheetId="5">TRUNC((oy-1)/3+1)</definedName>
    <definedName name="выв" localSheetId="11">TRUNC((oy-1)/3+1)</definedName>
    <definedName name="выв">TRUNC((oy-1)/3+1)</definedName>
    <definedName name="вывывыв" localSheetId="4">{30,140,350,160,"",""}</definedName>
    <definedName name="вывывыв" localSheetId="5">{30,140,350,160,"",""}</definedName>
    <definedName name="вывывыв" localSheetId="11">{30,140,350,160,"",""}</definedName>
    <definedName name="вывывыв">{30,140,350,160,"",""}</definedName>
    <definedName name="выпвпваып" localSheetId="4" hidden="1">#REF!</definedName>
    <definedName name="выпвпваып" localSheetId="5" hidden="1">#REF!</definedName>
    <definedName name="выпвпваып" localSheetId="11" hidden="1">#REF!</definedName>
    <definedName name="выпвпваып" hidden="1">#REF!</definedName>
    <definedName name="г" localSheetId="4">#REF!</definedName>
    <definedName name="г" localSheetId="5">#REF!</definedName>
    <definedName name="г" localSheetId="11">#REF!</definedName>
    <definedName name="г">#REF!</definedName>
    <definedName name="гажк" localSheetId="4">#REF!</definedName>
    <definedName name="гажк" localSheetId="5">#REF!</definedName>
    <definedName name="гажк" localSheetId="11">#REF!</definedName>
    <definedName name="гажк">#REF!</definedName>
    <definedName name="газконденсат" localSheetId="11">#REF!</definedName>
    <definedName name="газконденсат">#REF!</definedName>
    <definedName name="гг">#N/A</definedName>
    <definedName name="ггг" localSheetId="4">#REF!</definedName>
    <definedName name="ггг" localSheetId="5">#REF!</definedName>
    <definedName name="ггг" localSheetId="11">#REF!</definedName>
    <definedName name="ггг">#REF!</definedName>
    <definedName name="ггггг" localSheetId="4">#REF!</definedName>
    <definedName name="ггггг" localSheetId="5">#REF!</definedName>
    <definedName name="ггггг" localSheetId="11">#REF!</definedName>
    <definedName name="ггггг">#REF!</definedName>
    <definedName name="гн" localSheetId="4">{30,140,350,160,"",""}</definedName>
    <definedName name="гн" localSheetId="5">{30,140,350,160,"",""}</definedName>
    <definedName name="гн" localSheetId="11">{30,140,350,160,"",""}</definedName>
    <definedName name="гн">{30,140,350,160,"",""}</definedName>
    <definedName name="гне" localSheetId="4">{30,140,350,160,"",""}</definedName>
    <definedName name="гне" localSheetId="5">{30,140,350,160,"",""}</definedName>
    <definedName name="гне" localSheetId="11">{30,140,350,160,"",""}</definedName>
    <definedName name="гне">{30,140,350,160,"",""}</definedName>
    <definedName name="го" localSheetId="4">#REF!</definedName>
    <definedName name="го" localSheetId="5">#REF!</definedName>
    <definedName name="го" localSheetId="11">#REF!</definedName>
    <definedName name="го">#REF!</definedName>
    <definedName name="го45" localSheetId="4">#REF!</definedName>
    <definedName name="го45" localSheetId="5">#REF!</definedName>
    <definedName name="го45" localSheetId="11">#REF!</definedName>
    <definedName name="го45">#REF!</definedName>
    <definedName name="год02" localSheetId="4">#REF!</definedName>
    <definedName name="год02" localSheetId="5">#REF!</definedName>
    <definedName name="год02" localSheetId="11">#REF!</definedName>
    <definedName name="год02">#REF!</definedName>
    <definedName name="Голышев" localSheetId="4" hidden="1">{#N/A,#N/A,FALSE,"인원";#N/A,#N/A,FALSE,"비용2";#N/A,#N/A,FALSE,"비용1";#N/A,#N/A,FALSE,"비용";#N/A,#N/A,FALSE,"보증2";#N/A,#N/A,FALSE,"보증1";#N/A,#N/A,FALSE,"보증";#N/A,#N/A,FALSE,"손익1";#N/A,#N/A,FALSE,"손익";#N/A,#N/A,FALSE,"부서별매출";#N/A,#N/A,FALSE,"매출"}</definedName>
    <definedName name="Голышев" localSheetId="5" hidden="1">{#N/A,#N/A,FALSE,"인원";#N/A,#N/A,FALSE,"비용2";#N/A,#N/A,FALSE,"비용1";#N/A,#N/A,FALSE,"비용";#N/A,#N/A,FALSE,"보증2";#N/A,#N/A,FALSE,"보증1";#N/A,#N/A,FALSE,"보증";#N/A,#N/A,FALSE,"손익1";#N/A,#N/A,FALSE,"손익";#N/A,#N/A,FALSE,"부서별매출";#N/A,#N/A,FALSE,"매출"}</definedName>
    <definedName name="Голышев" localSheetId="11" hidden="1">{#N/A,#N/A,FALSE,"인원";#N/A,#N/A,FALSE,"비용2";#N/A,#N/A,FALSE,"비용1";#N/A,#N/A,FALSE,"비용";#N/A,#N/A,FALSE,"보증2";#N/A,#N/A,FALSE,"보증1";#N/A,#N/A,FALSE,"보증";#N/A,#N/A,FALSE,"손익1";#N/A,#N/A,FALSE,"손익";#N/A,#N/A,FALSE,"부서별매출";#N/A,#N/A,FALSE,"매출"}</definedName>
    <definedName name="Голышев" hidden="1">{#N/A,#N/A,FALSE,"인원";#N/A,#N/A,FALSE,"비용2";#N/A,#N/A,FALSE,"비용1";#N/A,#N/A,FALSE,"비용";#N/A,#N/A,FALSE,"보증2";#N/A,#N/A,FALSE,"보증1";#N/A,#N/A,FALSE,"보증";#N/A,#N/A,FALSE,"손익1";#N/A,#N/A,FALSE,"손익";#N/A,#N/A,FALSE,"부서별매출";#N/A,#N/A,FALSE,"매출"}</definedName>
    <definedName name="Голышев2" localSheetId="4" hidden="1">{#N/A,#N/A,FALSE,"인원";#N/A,#N/A,FALSE,"비용2";#N/A,#N/A,FALSE,"비용1";#N/A,#N/A,FALSE,"비용";#N/A,#N/A,FALSE,"보증2";#N/A,#N/A,FALSE,"보증1";#N/A,#N/A,FALSE,"보증";#N/A,#N/A,FALSE,"손익1";#N/A,#N/A,FALSE,"손익";#N/A,#N/A,FALSE,"부서별매출";#N/A,#N/A,FALSE,"매출"}</definedName>
    <definedName name="Голышев2" localSheetId="5" hidden="1">{#N/A,#N/A,FALSE,"인원";#N/A,#N/A,FALSE,"비용2";#N/A,#N/A,FALSE,"비용1";#N/A,#N/A,FALSE,"비용";#N/A,#N/A,FALSE,"보증2";#N/A,#N/A,FALSE,"보증1";#N/A,#N/A,FALSE,"보증";#N/A,#N/A,FALSE,"손익1";#N/A,#N/A,FALSE,"손익";#N/A,#N/A,FALSE,"부서별매출";#N/A,#N/A,FALSE,"매출"}</definedName>
    <definedName name="Голышев2" localSheetId="11" hidden="1">{#N/A,#N/A,FALSE,"인원";#N/A,#N/A,FALSE,"비용2";#N/A,#N/A,FALSE,"비용1";#N/A,#N/A,FALSE,"비용";#N/A,#N/A,FALSE,"보증2";#N/A,#N/A,FALSE,"보증1";#N/A,#N/A,FALSE,"보증";#N/A,#N/A,FALSE,"손익1";#N/A,#N/A,FALSE,"손익";#N/A,#N/A,FALSE,"부서별매출";#N/A,#N/A,FALSE,"매출"}</definedName>
    <definedName name="Голышев2" hidden="1">{#N/A,#N/A,FALSE,"인원";#N/A,#N/A,FALSE,"비용2";#N/A,#N/A,FALSE,"비용1";#N/A,#N/A,FALSE,"비용";#N/A,#N/A,FALSE,"보증2";#N/A,#N/A,FALSE,"보증1";#N/A,#N/A,FALSE,"보증";#N/A,#N/A,FALSE,"손익1";#N/A,#N/A,FALSE,"손익";#N/A,#N/A,FALSE,"부서별매출";#N/A,#N/A,FALSE,"매출"}</definedName>
    <definedName name="гр" localSheetId="4">#REF!</definedName>
    <definedName name="гр" localSheetId="5">#REF!</definedName>
    <definedName name="гр" localSheetId="11">#REF!</definedName>
    <definedName name="гр">#REF!</definedName>
    <definedName name="гтк02" localSheetId="4">#REF!</definedName>
    <definedName name="гтк02" localSheetId="5">#REF!</definedName>
    <definedName name="гтк02" localSheetId="11">#REF!</definedName>
    <definedName name="гтк02">#REF!</definedName>
    <definedName name="гугб" localSheetId="4">#REF!</definedName>
    <definedName name="гугб" localSheetId="5">#REF!</definedName>
    <definedName name="гугб" localSheetId="11">#REF!</definedName>
    <definedName name="гугб">#REF!</definedName>
    <definedName name="гуза" localSheetId="4">{30,140,350,160,"",""}</definedName>
    <definedName name="гуза" localSheetId="5">{30,140,350,160,"",""}</definedName>
    <definedName name="гуза" localSheetId="11">{30,140,350,160,"",""}</definedName>
    <definedName name="гуза">{30,140,350,160,"",""}</definedName>
    <definedName name="ГУРЛАНТУМАН" localSheetId="4">#REF!</definedName>
    <definedName name="ГУРЛАНТУМАН" localSheetId="5">#REF!</definedName>
    <definedName name="ГУРЛАНТУМАН" localSheetId="11">#REF!</definedName>
    <definedName name="ГУРЛАНТУМАН">#REF!</definedName>
    <definedName name="Гурунчмазар" localSheetId="4">#REF!</definedName>
    <definedName name="Гурунчмазар" localSheetId="5">#REF!</definedName>
    <definedName name="Гурунчмазар" localSheetId="11">#REF!</definedName>
    <definedName name="Гурунчмазар">#REF!</definedName>
    <definedName name="д" localSheetId="4">#REF!</definedName>
    <definedName name="д" localSheetId="5">#REF!</definedName>
    <definedName name="д" localSheetId="11">#REF!</definedName>
    <definedName name="д">#REF!</definedName>
    <definedName name="д_вл" localSheetId="11">#REF!</definedName>
    <definedName name="д_вл">#REF!</definedName>
    <definedName name="д5" localSheetId="11">#REF!</definedName>
    <definedName name="д5">#REF!</definedName>
    <definedName name="да" localSheetId="4">{30,140,350,160,"",""}</definedName>
    <definedName name="да" localSheetId="5">{30,140,350,160,"",""}</definedName>
    <definedName name="да" localSheetId="11">{30,140,350,160,"",""}</definedName>
    <definedName name="да">{30,140,350,160,"",""}</definedName>
    <definedName name="Дата" localSheetId="4">#REF!</definedName>
    <definedName name="Дата" localSheetId="5">#REF!</definedName>
    <definedName name="Дата" localSheetId="11">#REF!</definedName>
    <definedName name="Дата">#REF!</definedName>
    <definedName name="дд" localSheetId="4" hidden="1">{#N/A,#N/A,FALSE,"인원";#N/A,#N/A,FALSE,"비용2";#N/A,#N/A,FALSE,"비용1";#N/A,#N/A,FALSE,"비용";#N/A,#N/A,FALSE,"보증2";#N/A,#N/A,FALSE,"보증1";#N/A,#N/A,FALSE,"보증";#N/A,#N/A,FALSE,"손익1";#N/A,#N/A,FALSE,"손익";#N/A,#N/A,FALSE,"부서별매출";#N/A,#N/A,FALSE,"매출"}</definedName>
    <definedName name="дд" localSheetId="5" hidden="1">{#N/A,#N/A,FALSE,"인원";#N/A,#N/A,FALSE,"비용2";#N/A,#N/A,FALSE,"비용1";#N/A,#N/A,FALSE,"비용";#N/A,#N/A,FALSE,"보증2";#N/A,#N/A,FALSE,"보증1";#N/A,#N/A,FALSE,"보증";#N/A,#N/A,FALSE,"손익1";#N/A,#N/A,FALSE,"손익";#N/A,#N/A,FALSE,"부서별매출";#N/A,#N/A,FALSE,"매출"}</definedName>
    <definedName name="дд" localSheetId="11" hidden="1">{#N/A,#N/A,FALSE,"인원";#N/A,#N/A,FALSE,"비용2";#N/A,#N/A,FALSE,"비용1";#N/A,#N/A,FALSE,"비용";#N/A,#N/A,FALSE,"보증2";#N/A,#N/A,FALSE,"보증1";#N/A,#N/A,FALSE,"보증";#N/A,#N/A,FALSE,"손익1";#N/A,#N/A,FALSE,"손익";#N/A,#N/A,FALSE,"부서별매출";#N/A,#N/A,FALSE,"매출"}</definedName>
    <definedName name="дд" hidden="1">{#N/A,#N/A,FALSE,"인원";#N/A,#N/A,FALSE,"비용2";#N/A,#N/A,FALSE,"비용1";#N/A,#N/A,FALSE,"비용";#N/A,#N/A,FALSE,"보증2";#N/A,#N/A,FALSE,"보증1";#N/A,#N/A,FALSE,"보증";#N/A,#N/A,FALSE,"손익1";#N/A,#N/A,FALSE,"손익";#N/A,#N/A,FALSE,"부서별매출";#N/A,#N/A,FALSE,"매출"}</definedName>
    <definedName name="ддд" localSheetId="4">#REF!</definedName>
    <definedName name="ддд" localSheetId="5">#REF!</definedName>
    <definedName name="ддд" localSheetId="11">#REF!</definedName>
    <definedName name="ддд">#REF!</definedName>
    <definedName name="дддд">#N/A</definedName>
    <definedName name="дебит" localSheetId="4">#REF!</definedName>
    <definedName name="дебит" localSheetId="5">#REF!</definedName>
    <definedName name="дебит" localSheetId="11">#REF!</definedName>
    <definedName name="дебит">#REF!</definedName>
    <definedName name="действующий" localSheetId="4">#REF!</definedName>
    <definedName name="действующий" localSheetId="5">#REF!</definedName>
    <definedName name="действующий" localSheetId="11">#REF!</definedName>
    <definedName name="действующий">#REF!</definedName>
    <definedName name="декабрь" localSheetId="4">#REF!</definedName>
    <definedName name="декабрь" localSheetId="5">#REF!</definedName>
    <definedName name="декабрь" localSheetId="11">#REF!</definedName>
    <definedName name="декабрь">#REF!</definedName>
    <definedName name="дехконобод" localSheetId="4" hidden="1">{#N/A,#N/A,FALSE,"BODY"}</definedName>
    <definedName name="дехконобод" localSheetId="5" hidden="1">{#N/A,#N/A,FALSE,"BODY"}</definedName>
    <definedName name="дехконобод" localSheetId="11" hidden="1">{#N/A,#N/A,FALSE,"BODY"}</definedName>
    <definedName name="дехконобод" hidden="1">{#N/A,#N/A,FALSE,"BODY"}</definedName>
    <definedName name="дзку" localSheetId="4" hidden="1">{#N/A,#N/A,FALSE,"인원";#N/A,#N/A,FALSE,"비용2";#N/A,#N/A,FALSE,"비용1";#N/A,#N/A,FALSE,"비용";#N/A,#N/A,FALSE,"보증2";#N/A,#N/A,FALSE,"보증1";#N/A,#N/A,FALSE,"보증";#N/A,#N/A,FALSE,"손익1";#N/A,#N/A,FALSE,"손익";#N/A,#N/A,FALSE,"부서별매출";#N/A,#N/A,FALSE,"매출"}</definedName>
    <definedName name="дзку" localSheetId="5" hidden="1">{#N/A,#N/A,FALSE,"인원";#N/A,#N/A,FALSE,"비용2";#N/A,#N/A,FALSE,"비용1";#N/A,#N/A,FALSE,"비용";#N/A,#N/A,FALSE,"보증2";#N/A,#N/A,FALSE,"보증1";#N/A,#N/A,FALSE,"보증";#N/A,#N/A,FALSE,"손익1";#N/A,#N/A,FALSE,"손익";#N/A,#N/A,FALSE,"부서별매출";#N/A,#N/A,FALSE,"매출"}</definedName>
    <definedName name="дзку" localSheetId="11" hidden="1">{#N/A,#N/A,FALSE,"인원";#N/A,#N/A,FALSE,"비용2";#N/A,#N/A,FALSE,"비용1";#N/A,#N/A,FALSE,"비용";#N/A,#N/A,FALSE,"보증2";#N/A,#N/A,FALSE,"보증1";#N/A,#N/A,FALSE,"보증";#N/A,#N/A,FALSE,"손익1";#N/A,#N/A,FALSE,"손익";#N/A,#N/A,FALSE,"부서별매출";#N/A,#N/A,FALSE,"매출"}</definedName>
    <definedName name="дзку" hidden="1">{#N/A,#N/A,FALSE,"인원";#N/A,#N/A,FALSE,"비용2";#N/A,#N/A,FALSE,"비용1";#N/A,#N/A,FALSE,"비용";#N/A,#N/A,FALSE,"보증2";#N/A,#N/A,FALSE,"보증1";#N/A,#N/A,FALSE,"보증";#N/A,#N/A,FALSE,"손익1";#N/A,#N/A,FALSE,"손익";#N/A,#N/A,FALSE,"부서별매출";#N/A,#N/A,FALSE,"매출"}</definedName>
    <definedName name="диёр" localSheetId="4">{30,140,350,160,"",""}</definedName>
    <definedName name="диёр" localSheetId="5">{30,140,350,160,"",""}</definedName>
    <definedName name="диёр" localSheetId="11">{30,140,350,160,"",""}</definedName>
    <definedName name="диёр">{30,140,350,160,"",""}</definedName>
    <definedName name="дина" localSheetId="4">#REF!</definedName>
    <definedName name="дина" localSheetId="5">#REF!</definedName>
    <definedName name="дина" localSheetId="11">#REF!</definedName>
    <definedName name="дина">#REF!</definedName>
    <definedName name="Дирек" localSheetId="4">#REF!</definedName>
    <definedName name="Дирек" localSheetId="5">#REF!</definedName>
    <definedName name="Дирек" localSheetId="11">#REF!</definedName>
    <definedName name="Дирек">#REF!</definedName>
    <definedName name="дИРЕКЦИЯ_ПО_СТР_ВУ_РЕГ.ВОДОПРОВОДОВ" localSheetId="4">#REF!</definedName>
    <definedName name="дИРЕКЦИЯ_ПО_СТР_ВУ_РЕГ.ВОДОПРОВОДОВ" localSheetId="5">#REF!</definedName>
    <definedName name="дИРЕКЦИЯ_ПО_СТР_ВУ_РЕГ.ВОДОПРОВОДОВ" localSheetId="11">#REF!</definedName>
    <definedName name="дИРЕКЦИЯ_ПО_СТР_ВУ_РЕГ.ВОДОПРОВОДОВ">#REF!</definedName>
    <definedName name="дл" localSheetId="3">[0]!_a1Z,[0]!_a2Z</definedName>
    <definedName name="дл" localSheetId="4">[0]!_a1Z,[0]!_a2Z</definedName>
    <definedName name="дл" localSheetId="5">[0]!_a1Z,[0]!_a2Z</definedName>
    <definedName name="дл" localSheetId="11">[0]!_a1Z,[0]!_a2Z</definedName>
    <definedName name="дл">[0]!_a1Z,[0]!_a2Z</definedName>
    <definedName name="длдпржпрдоьж" localSheetId="4">#REF!</definedName>
    <definedName name="длдпржпрдоьж" localSheetId="5">#REF!</definedName>
    <definedName name="длдпржпрдоьж" localSheetId="11">#REF!</definedName>
    <definedName name="длдпржпрдоьж">#REF!</definedName>
    <definedName name="длоолл30" localSheetId="4">#REF!</definedName>
    <definedName name="длоолл30" localSheetId="5">#REF!</definedName>
    <definedName name="длоолл30" localSheetId="11">#REF!</definedName>
    <definedName name="длоолл30">#REF!</definedName>
    <definedName name="Дох" localSheetId="4">#REF!</definedName>
    <definedName name="Дох" localSheetId="5">#REF!</definedName>
    <definedName name="Дох" localSheetId="11">#REF!</definedName>
    <definedName name="Дох">#REF!</definedName>
    <definedName name="дохо" localSheetId="11" hidden="1">#REF!</definedName>
    <definedName name="дохо" hidden="1">#REF!</definedName>
    <definedName name="дтр" localSheetId="11">#REF!</definedName>
    <definedName name="дтр">#REF!</definedName>
    <definedName name="дустл" localSheetId="4">{30,140,350,160,"",""}</definedName>
    <definedName name="дустл" localSheetId="5">{30,140,350,160,"",""}</definedName>
    <definedName name="дустл" localSheetId="11">{30,140,350,160,"",""}</definedName>
    <definedName name="дустл">{30,140,350,160,"",""}</definedName>
    <definedName name="е" localSheetId="4">#REF!</definedName>
    <definedName name="е" localSheetId="5">#REF!</definedName>
    <definedName name="е" localSheetId="11">#REF!</definedName>
    <definedName name="е">#REF!</definedName>
    <definedName name="ё" localSheetId="4">{30,140,350,160,"",""}</definedName>
    <definedName name="ё" localSheetId="5">{30,140,350,160,"",""}</definedName>
    <definedName name="ё" localSheetId="11">{30,140,350,160,"",""}</definedName>
    <definedName name="ё">{30,140,350,160,"",""}</definedName>
    <definedName name="ее"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ее"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ее"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ее"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еее" localSheetId="4">#REF!</definedName>
    <definedName name="еее" localSheetId="5">#REF!</definedName>
    <definedName name="еее" localSheetId="11">#REF!</definedName>
    <definedName name="еее">#REF!</definedName>
    <definedName name="ёёё" localSheetId="4">#REF!</definedName>
    <definedName name="ёёё" localSheetId="5">#REF!</definedName>
    <definedName name="ёёё" localSheetId="11">#REF!</definedName>
    <definedName name="ёёё">#REF!</definedName>
    <definedName name="ек" localSheetId="4">{30,140,350,160,"",""}</definedName>
    <definedName name="ек" localSheetId="5">{30,140,350,160,"",""}</definedName>
    <definedName name="ек" localSheetId="11">{30,140,350,160,"",""}</definedName>
    <definedName name="ек">{30,140,350,160,"",""}</definedName>
    <definedName name="еке" localSheetId="4">{30,140,350,160,"",""}</definedName>
    <definedName name="еке" localSheetId="5">{30,140,350,160,"",""}</definedName>
    <definedName name="еке" localSheetId="11">{30,140,350,160,"",""}</definedName>
    <definedName name="еке">{30,140,350,160,"",""}</definedName>
    <definedName name="ен" localSheetId="4">{30,140,350,160,"",""}</definedName>
    <definedName name="ен" localSheetId="5">{30,140,350,160,"",""}</definedName>
    <definedName name="ен" localSheetId="11">{30,140,350,160,"",""}</definedName>
    <definedName name="ен">{30,140,350,160,"",""}</definedName>
    <definedName name="енр" localSheetId="4" hidden="1">#REF!</definedName>
    <definedName name="енр" localSheetId="5" hidden="1">#REF!</definedName>
    <definedName name="енр" localSheetId="11" hidden="1">#REF!</definedName>
    <definedName name="енр" hidden="1">#REF!</definedName>
    <definedName name="ж" localSheetId="4">#REF!</definedName>
    <definedName name="ж" localSheetId="5">#REF!</definedName>
    <definedName name="ж" localSheetId="11">#REF!</definedName>
    <definedName name="ж">#REF!</definedName>
    <definedName name="жалаб" localSheetId="4">#REF!</definedName>
    <definedName name="жалаб" localSheetId="5">#REF!</definedName>
    <definedName name="жалаб" localSheetId="11">#REF!</definedName>
    <definedName name="жалаб">#REF!</definedName>
    <definedName name="жами" localSheetId="11">#REF!</definedName>
    <definedName name="жами">#REF!</definedName>
    <definedName name="жамол" localSheetId="11">#REF!</definedName>
    <definedName name="жамол">#REF!</definedName>
    <definedName name="жд">#N/A</definedName>
    <definedName name="ждл" localSheetId="4">#REF!</definedName>
    <definedName name="ждл" localSheetId="5">#REF!</definedName>
    <definedName name="ждл" localSheetId="11">#REF!</definedName>
    <definedName name="ждл">#REF!</definedName>
    <definedName name="жиз" localSheetId="4">#REF!</definedName>
    <definedName name="жиз" localSheetId="5">#REF!</definedName>
    <definedName name="жиз" localSheetId="11">#REF!</definedName>
    <definedName name="жиз">#REF!</definedName>
    <definedName name="Жиззах" localSheetId="4">{30,140,350,160,"",""}</definedName>
    <definedName name="Жиззах" localSheetId="5">{30,140,350,160,"",""}</definedName>
    <definedName name="Жиззах" localSheetId="11">{30,140,350,160,"",""}</definedName>
    <definedName name="Жиззах">{30,140,350,160,"",""}</definedName>
    <definedName name="жиззсвод" localSheetId="4">#REF!</definedName>
    <definedName name="жиззсвод" localSheetId="5">#REF!</definedName>
    <definedName name="жиззсвод" localSheetId="11">#REF!</definedName>
    <definedName name="жиззсвод">#REF!</definedName>
    <definedName name="жихоз" localSheetId="4">#REF!</definedName>
    <definedName name="жихоз" localSheetId="5">#REF!</definedName>
    <definedName name="жихоз" localSheetId="11">#REF!</definedName>
    <definedName name="жихоз">#REF!</definedName>
    <definedName name="жл" localSheetId="4">#REF!</definedName>
    <definedName name="жл" localSheetId="5">#REF!</definedName>
    <definedName name="жл" localSheetId="11">#REF!</definedName>
    <definedName name="жл">#REF!</definedName>
    <definedName name="жура" localSheetId="11">#REF!</definedName>
    <definedName name="жура">#REF!</definedName>
    <definedName name="з" localSheetId="11">#REF!</definedName>
    <definedName name="з">#REF!</definedName>
    <definedName name="_xlnm.Print_Titles" localSheetId="11">#REF!</definedName>
    <definedName name="_xlnm.Print_Titles">#REF!</definedName>
    <definedName name="Закрытый359" localSheetId="11">#REF!</definedName>
    <definedName name="Закрытый359">#REF!</definedName>
    <definedName name="зал" localSheetId="4">{30,140,350,160,"",""}</definedName>
    <definedName name="зал" localSheetId="5">{30,140,350,160,"",""}</definedName>
    <definedName name="зал" localSheetId="11">{30,140,350,160,"",""}</definedName>
    <definedName name="зал">{30,140,350,160,"",""}</definedName>
    <definedName name="Запрос1" localSheetId="4">#REF!</definedName>
    <definedName name="Запрос1" localSheetId="5">#REF!</definedName>
    <definedName name="Запрос1" localSheetId="11">#REF!</definedName>
    <definedName name="Запрос1">#REF!</definedName>
    <definedName name="Зарплата_1" localSheetId="4">#REF!</definedName>
    <definedName name="Зарплата_1" localSheetId="5">#REF!</definedName>
    <definedName name="Зарплата_1" localSheetId="11">#REF!</definedName>
    <definedName name="Зарплата_1">#REF!</definedName>
    <definedName name="Зарплата_2" localSheetId="4">#REF!</definedName>
    <definedName name="Зарплата_2" localSheetId="5">#REF!</definedName>
    <definedName name="Зарплата_2" localSheetId="11">#REF!</definedName>
    <definedName name="Зарплата_2">#REF!</definedName>
    <definedName name="зафар" localSheetId="4">{30,140,350,160,"",""}</definedName>
    <definedName name="зафар" localSheetId="5">{30,140,350,160,"",""}</definedName>
    <definedName name="зафар" localSheetId="11">{30,140,350,160,"",""}</definedName>
    <definedName name="зафар">{30,140,350,160,"",""}</definedName>
    <definedName name="зд" localSheetId="4">#REF!,#REF!,#REF!</definedName>
    <definedName name="зд" localSheetId="5">#REF!,#REF!,#REF!</definedName>
    <definedName name="зд" localSheetId="11">#REF!,#REF!,#REF!</definedName>
    <definedName name="зд">#REF!,#REF!,#REF!</definedName>
    <definedName name="зж" localSheetId="4">{30,140,350,160,"",""}</definedName>
    <definedName name="зж" localSheetId="5">{30,140,350,160,"",""}</definedName>
    <definedName name="зж" localSheetId="11">{30,140,350,160,"",""}</definedName>
    <definedName name="зж">{30,140,350,160,"",""}</definedName>
    <definedName name="зощ0шргрщш" localSheetId="4">{30,140,350,160,"",""}</definedName>
    <definedName name="зощ0шргрщш" localSheetId="5">{30,140,350,160,"",""}</definedName>
    <definedName name="зощ0шргрщш" localSheetId="11">{30,140,350,160,"",""}</definedName>
    <definedName name="зощ0шргрщш">{30,140,350,160,"",""}</definedName>
    <definedName name="зщ" localSheetId="4">{30,140,350,160,"",""}</definedName>
    <definedName name="зщ" localSheetId="5">{30,140,350,160,"",""}</definedName>
    <definedName name="зщ" localSheetId="11">{30,140,350,160,"",""}</definedName>
    <definedName name="зщ">{30,140,350,160,"",""}</definedName>
    <definedName name="и"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и"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и"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иепр" localSheetId="4">#REF!</definedName>
    <definedName name="иепр" localSheetId="5">#REF!</definedName>
    <definedName name="иепр" localSheetId="11">#REF!</definedName>
    <definedName name="иепр">#REF!</definedName>
    <definedName name="избос" localSheetId="4">#REF!</definedName>
    <definedName name="избос" localSheetId="5">#REF!</definedName>
    <definedName name="избос" localSheetId="11">#REF!</definedName>
    <definedName name="избос">#REF!</definedName>
    <definedName name="изм" localSheetId="3">[0]!_a1Z,[0]!_a2Z</definedName>
    <definedName name="изм" localSheetId="4">[0]!_a1Z,[0]!_a2Z</definedName>
    <definedName name="изм" localSheetId="5">[0]!_a1Z,[0]!_a2Z</definedName>
    <definedName name="изм" localSheetId="11">[0]!_a1Z,[0]!_a2Z</definedName>
    <definedName name="изм">[0]!_a1Z,[0]!_a2Z</definedName>
    <definedName name="ИЗН">460</definedName>
    <definedName name="износом">43508</definedName>
    <definedName name="ии" localSheetId="4" hidden="1">{#N/A,#N/A,FALSE,"인원";#N/A,#N/A,FALSE,"비용2";#N/A,#N/A,FALSE,"비용1";#N/A,#N/A,FALSE,"비용";#N/A,#N/A,FALSE,"보증2";#N/A,#N/A,FALSE,"보증1";#N/A,#N/A,FALSE,"보증";#N/A,#N/A,FALSE,"손익1";#N/A,#N/A,FALSE,"손익";#N/A,#N/A,FALSE,"부서별매출";#N/A,#N/A,FALSE,"매출"}</definedName>
    <definedName name="ии" localSheetId="5" hidden="1">{#N/A,#N/A,FALSE,"인원";#N/A,#N/A,FALSE,"비용2";#N/A,#N/A,FALSE,"비용1";#N/A,#N/A,FALSE,"비용";#N/A,#N/A,FALSE,"보증2";#N/A,#N/A,FALSE,"보증1";#N/A,#N/A,FALSE,"보증";#N/A,#N/A,FALSE,"손익1";#N/A,#N/A,FALSE,"손익";#N/A,#N/A,FALSE,"부서별매출";#N/A,#N/A,FALSE,"매출"}</definedName>
    <definedName name="ии" localSheetId="11" hidden="1">{#N/A,#N/A,FALSE,"인원";#N/A,#N/A,FALSE,"비용2";#N/A,#N/A,FALSE,"비용1";#N/A,#N/A,FALSE,"비용";#N/A,#N/A,FALSE,"보증2";#N/A,#N/A,FALSE,"보증1";#N/A,#N/A,FALSE,"보증";#N/A,#N/A,FALSE,"손익1";#N/A,#N/A,FALSE,"손익";#N/A,#N/A,FALSE,"부서별매출";#N/A,#N/A,FALSE,"매출"}</definedName>
    <definedName name="ии" hidden="1">{#N/A,#N/A,FALSE,"인원";#N/A,#N/A,FALSE,"비용2";#N/A,#N/A,FALSE,"비용1";#N/A,#N/A,FALSE,"비용";#N/A,#N/A,FALSE,"보증2";#N/A,#N/A,FALSE,"보증1";#N/A,#N/A,FALSE,"보증";#N/A,#N/A,FALSE,"손익1";#N/A,#N/A,FALSE,"손익";#N/A,#N/A,FALSE,"부서별매출";#N/A,#N/A,FALSE,"매출"}</definedName>
    <definedName name="иии" localSheetId="4">TRUNC((oy-1)/3+1)</definedName>
    <definedName name="иии" localSheetId="5">TRUNC((oy-1)/3+1)</definedName>
    <definedName name="иии" localSheetId="11">TRUNC((oy-1)/3+1)</definedName>
    <definedName name="иии">TRUNC((oy-1)/3+1)</definedName>
    <definedName name="иииииитт" localSheetId="4">{30,140,350,160,"",""}</definedName>
    <definedName name="иииииитт" localSheetId="5">{30,140,350,160,"",""}</definedName>
    <definedName name="иииииитт" localSheetId="11">{30,140,350,160,"",""}</definedName>
    <definedName name="иииииитт">{30,140,350,160,"",""}</definedName>
    <definedName name="илхом" localSheetId="4">#REF!</definedName>
    <definedName name="илхом" localSheetId="5">#REF!</definedName>
    <definedName name="илхом" localSheetId="11">#REF!</definedName>
    <definedName name="илхом">#REF!</definedName>
    <definedName name="ИЛЬЯС" localSheetId="4">#REF!</definedName>
    <definedName name="ИЛЬЯС" localSheetId="5">#REF!</definedName>
    <definedName name="ИЛЬЯС" localSheetId="11">#REF!</definedName>
    <definedName name="ИЛЬЯС">#REF!</definedName>
    <definedName name="имиттампа" localSheetId="4">{30,140,350,160,"",""}</definedName>
    <definedName name="имиттампа" localSheetId="5">{30,140,350,160,"",""}</definedName>
    <definedName name="имиттампа" localSheetId="11">{30,140,350,160,"",""}</definedName>
    <definedName name="имиттампа">{30,140,350,160,"",""}</definedName>
    <definedName name="имп" localSheetId="4">#REF!</definedName>
    <definedName name="имп" localSheetId="5">#REF!</definedName>
    <definedName name="имп" localSheetId="11">#REF!</definedName>
    <definedName name="имп">#REF!</definedName>
    <definedName name="импорт" localSheetId="4">#REF!</definedName>
    <definedName name="импорт" localSheetId="5">#REF!</definedName>
    <definedName name="импорт" localSheetId="11">#REF!</definedName>
    <definedName name="импорт">#REF!</definedName>
    <definedName name="импорт222" localSheetId="4">#REF!</definedName>
    <definedName name="импорт222" localSheetId="5">#REF!</definedName>
    <definedName name="импорт222" localSheetId="11">#REF!</definedName>
    <definedName name="импорт222">#REF!</definedName>
    <definedName name="имспрп" localSheetId="4">{30,140,350,160,"",""}</definedName>
    <definedName name="имспрп" localSheetId="5">{30,140,350,160,"",""}</definedName>
    <definedName name="имспрп" localSheetId="11">{30,140,350,160,"",""}</definedName>
    <definedName name="имспрп">{30,140,350,160,"",""}</definedName>
    <definedName name="имтим" localSheetId="4">#REF!</definedName>
    <definedName name="имтим" localSheetId="5">#REF!</definedName>
    <definedName name="имтим" localSheetId="11">#REF!</definedName>
    <definedName name="имтим">#REF!</definedName>
    <definedName name="имывяол" localSheetId="4">{30,140,350,160,"",""}</definedName>
    <definedName name="имывяол" localSheetId="5">{30,140,350,160,"",""}</definedName>
    <definedName name="имывяол" localSheetId="11">{30,140,350,160,"",""}</definedName>
    <definedName name="имывяол">{30,140,350,160,"",""}</definedName>
    <definedName name="имыясм" localSheetId="4">{30,140,350,160,"",""}</definedName>
    <definedName name="имыясм" localSheetId="5">{30,140,350,160,"",""}</definedName>
    <definedName name="имыясм" localSheetId="11">{30,140,350,160,"",""}</definedName>
    <definedName name="имыясм">{30,140,350,160,"",""}</definedName>
    <definedName name="инвестиция" localSheetId="4">#REF!</definedName>
    <definedName name="инвестиция" localSheetId="5">#REF!</definedName>
    <definedName name="инвестиция" localSheetId="11">#REF!</definedName>
    <definedName name="инвестиция">#REF!</definedName>
    <definedName name="инкасса" localSheetId="4">{30,140,350,160,"",""}</definedName>
    <definedName name="инкасса" localSheetId="5">{30,140,350,160,"",""}</definedName>
    <definedName name="инкасса" localSheetId="11">{30,140,350,160,"",""}</definedName>
    <definedName name="инкасса">{30,140,350,160,"",""}</definedName>
    <definedName name="ип" localSheetId="4">#REF!</definedName>
    <definedName name="ип" localSheetId="5">#REF!</definedName>
    <definedName name="ип" localSheetId="11">#REF!</definedName>
    <definedName name="ип">#REF!</definedName>
    <definedName name="ипак" localSheetId="4">#REF!</definedName>
    <definedName name="ипак" localSheetId="5">#REF!</definedName>
    <definedName name="ипак" localSheetId="11">#REF!</definedName>
    <definedName name="ипак">#REF!</definedName>
    <definedName name="ипр" localSheetId="4">{30,140,350,160,"",""}</definedName>
    <definedName name="ипр" localSheetId="5">{30,140,350,160,"",""}</definedName>
    <definedName name="ипр" localSheetId="11">{30,140,350,160,"",""}</definedName>
    <definedName name="ипр">{30,140,350,160,"",""}</definedName>
    <definedName name="ислом" localSheetId="4">{30,140,350,160,"",""}</definedName>
    <definedName name="ислом" localSheetId="5">{30,140,350,160,"",""}</definedName>
    <definedName name="ислом" localSheetId="11">{30,140,350,160,"",""}</definedName>
    <definedName name="ислом">{30,140,350,160,"",""}</definedName>
    <definedName name="исм" localSheetId="4">{30,140,350,160,"",""}</definedName>
    <definedName name="исм" localSheetId="5">{30,140,350,160,"",""}</definedName>
    <definedName name="исм" localSheetId="11">{30,140,350,160,"",""}</definedName>
    <definedName name="исм">{30,140,350,160,"",""}</definedName>
    <definedName name="итог" localSheetId="4">TRUNC((oy-1)/3+1)</definedName>
    <definedName name="итог" localSheetId="5">TRUNC((oy-1)/3+1)</definedName>
    <definedName name="итог" localSheetId="11">TRUNC((oy-1)/3+1)</definedName>
    <definedName name="итог">TRUNC((oy-1)/3+1)</definedName>
    <definedName name="итог1" localSheetId="3">дел/1000</definedName>
    <definedName name="итог1" localSheetId="4">дел/1000</definedName>
    <definedName name="итог1" localSheetId="5">дел/1000</definedName>
    <definedName name="итог1" localSheetId="11">дел/1000</definedName>
    <definedName name="итог1">дел/1000</definedName>
    <definedName name="итог2" localSheetId="3">дел/1000</definedName>
    <definedName name="итог2" localSheetId="4">дел/1000</definedName>
    <definedName name="итог2" localSheetId="5">дел/1000</definedName>
    <definedName name="итог2" localSheetId="11">дел/1000</definedName>
    <definedName name="итог2">дел/1000</definedName>
    <definedName name="Итог3">#N/A</definedName>
    <definedName name="Итого" localSheetId="3">дел/1000</definedName>
    <definedName name="Итого" localSheetId="4">дел/1000</definedName>
    <definedName name="Итого" localSheetId="5">дел/1000</definedName>
    <definedName name="Итого" localSheetId="11">дел/1000</definedName>
    <definedName name="Итого">дел/1000</definedName>
    <definedName name="Июль" localSheetId="4">#REF!</definedName>
    <definedName name="Июль" localSheetId="5">#REF!</definedName>
    <definedName name="Июль" localSheetId="11">#REF!</definedName>
    <definedName name="Июль">#REF!</definedName>
    <definedName name="й" localSheetId="4">#REF!</definedName>
    <definedName name="й" localSheetId="5">#REF!</definedName>
    <definedName name="й" localSheetId="11">#REF!</definedName>
    <definedName name="й">#REF!</definedName>
    <definedName name="йй" localSheetId="4" hidden="1">{#N/A,#N/A,FALSE,"인원";#N/A,#N/A,FALSE,"비용2";#N/A,#N/A,FALSE,"비용1";#N/A,#N/A,FALSE,"비용";#N/A,#N/A,FALSE,"보증2";#N/A,#N/A,FALSE,"보증1";#N/A,#N/A,FALSE,"보증";#N/A,#N/A,FALSE,"손익1";#N/A,#N/A,FALSE,"손익";#N/A,#N/A,FALSE,"부서별매출";#N/A,#N/A,FALSE,"매출"}</definedName>
    <definedName name="йй" localSheetId="5" hidden="1">{#N/A,#N/A,FALSE,"인원";#N/A,#N/A,FALSE,"비용2";#N/A,#N/A,FALSE,"비용1";#N/A,#N/A,FALSE,"비용";#N/A,#N/A,FALSE,"보증2";#N/A,#N/A,FALSE,"보증1";#N/A,#N/A,FALSE,"보증";#N/A,#N/A,FALSE,"손익1";#N/A,#N/A,FALSE,"손익";#N/A,#N/A,FALSE,"부서별매출";#N/A,#N/A,FALSE,"매출"}</definedName>
    <definedName name="йй" localSheetId="11" hidden="1">{#N/A,#N/A,FALSE,"인원";#N/A,#N/A,FALSE,"비용2";#N/A,#N/A,FALSE,"비용1";#N/A,#N/A,FALSE,"비용";#N/A,#N/A,FALSE,"보증2";#N/A,#N/A,FALSE,"보증1";#N/A,#N/A,FALSE,"보증";#N/A,#N/A,FALSE,"손익1";#N/A,#N/A,FALSE,"손익";#N/A,#N/A,FALSE,"부서별매출";#N/A,#N/A,FALSE,"매출"}</definedName>
    <definedName name="йй" hidden="1">{#N/A,#N/A,FALSE,"인원";#N/A,#N/A,FALSE,"비용2";#N/A,#N/A,FALSE,"비용1";#N/A,#N/A,FALSE,"비용";#N/A,#N/A,FALSE,"보증2";#N/A,#N/A,FALSE,"보증1";#N/A,#N/A,FALSE,"보증";#N/A,#N/A,FALSE,"손익1";#N/A,#N/A,FALSE,"손익";#N/A,#N/A,FALSE,"부서별매출";#N/A,#N/A,FALSE,"매출"}</definedName>
    <definedName name="ййййййййййййййййййй" localSheetId="4">TRUNC((oy-1)/3+1)</definedName>
    <definedName name="ййййййййййййййййййй" localSheetId="5">TRUNC((oy-1)/3+1)</definedName>
    <definedName name="ййййййййййййййййййй" localSheetId="11">TRUNC((oy-1)/3+1)</definedName>
    <definedName name="ййййййййййййййййййй">TRUNC((oy-1)/3+1)</definedName>
    <definedName name="йййййййййййййййййййййййй" localSheetId="4">TRUNC((oy-1)/3+1)</definedName>
    <definedName name="йййййййййййййййййййййййй" localSheetId="5">TRUNC((oy-1)/3+1)</definedName>
    <definedName name="йййййййййййййййййййййййй" localSheetId="11">TRUNC((oy-1)/3+1)</definedName>
    <definedName name="йййййййййййййййййййййййй">TRUNC((oy-1)/3+1)</definedName>
    <definedName name="Йуклама" localSheetId="4">{30,140,350,160,"",""}</definedName>
    <definedName name="Йуклама" localSheetId="5">{30,140,350,160,"",""}</definedName>
    <definedName name="Йуклама" localSheetId="11">{30,140,350,160,"",""}</definedName>
    <definedName name="Йуклама">{30,140,350,160,"",""}</definedName>
    <definedName name="йц" localSheetId="4">{30,140,350,160,"",""}</definedName>
    <definedName name="йц" localSheetId="5">{30,140,350,160,"",""}</definedName>
    <definedName name="йц" localSheetId="11">{30,140,350,160,"",""}</definedName>
    <definedName name="йц">{30,140,350,160,"",""}</definedName>
    <definedName name="к" localSheetId="4">#REF!</definedName>
    <definedName name="к" localSheetId="5">#REF!</definedName>
    <definedName name="к" localSheetId="11">#REF!</definedName>
    <definedName name="к">#REF!</definedName>
    <definedName name="К.рем" localSheetId="4">#REF!</definedName>
    <definedName name="К.рем" localSheetId="5">#REF!</definedName>
    <definedName name="К.рем" localSheetId="11">#REF!</definedName>
    <definedName name="К.рем">#REF!</definedName>
    <definedName name="к_с3" localSheetId="4">#REF!</definedName>
    <definedName name="к_с3" localSheetId="5">#REF!</definedName>
    <definedName name="к_с3" localSheetId="11">#REF!</definedName>
    <definedName name="к_с3">#REF!</definedName>
    <definedName name="к_с4" localSheetId="11">#REF!</definedName>
    <definedName name="к_с4">#REF!</definedName>
    <definedName name="к_с5" localSheetId="11">#REF!</definedName>
    <definedName name="к_с5">#REF!</definedName>
    <definedName name="к_с6" localSheetId="11">#REF!</definedName>
    <definedName name="к_с6">#REF!</definedName>
    <definedName name="к_с7" localSheetId="11">#REF!</definedName>
    <definedName name="к_с7">#REF!</definedName>
    <definedName name="к_с8" localSheetId="11">#REF!</definedName>
    <definedName name="к_с8">#REF!</definedName>
    <definedName name="к1" localSheetId="11">#REF!</definedName>
    <definedName name="к1">#REF!</definedName>
    <definedName name="к2" localSheetId="11">#REF!</definedName>
    <definedName name="к2">#REF!</definedName>
    <definedName name="к3" localSheetId="11">#REF!</definedName>
    <definedName name="к3">#REF!</definedName>
    <definedName name="к3_А" localSheetId="11">#REF!</definedName>
    <definedName name="к3_А">#REF!</definedName>
    <definedName name="к3_М" localSheetId="11">#REF!</definedName>
    <definedName name="к3_М">#REF!</definedName>
    <definedName name="к3_У" localSheetId="11">#REF!</definedName>
    <definedName name="к3_У">#REF!</definedName>
    <definedName name="к3_Ш" localSheetId="11">#REF!</definedName>
    <definedName name="к3_Ш">#REF!</definedName>
    <definedName name="к4" localSheetId="11">#REF!</definedName>
    <definedName name="к4">#REF!</definedName>
    <definedName name="к4_А" localSheetId="11">#REF!</definedName>
    <definedName name="к4_А">#REF!</definedName>
    <definedName name="к4_М" localSheetId="11">#REF!</definedName>
    <definedName name="к4_М">#REF!</definedName>
    <definedName name="к4_У" localSheetId="11">#REF!</definedName>
    <definedName name="к4_У">#REF!</definedName>
    <definedName name="к4_Ш" localSheetId="11">#REF!</definedName>
    <definedName name="к4_Ш">#REF!</definedName>
    <definedName name="к5" localSheetId="11">#REF!</definedName>
    <definedName name="к5">#REF!</definedName>
    <definedName name="к5_Ш" localSheetId="11">#REF!</definedName>
    <definedName name="к5_Ш">#REF!</definedName>
    <definedName name="к6" localSheetId="11">#REF!</definedName>
    <definedName name="к6">#REF!</definedName>
    <definedName name="к7" localSheetId="11">#REF!</definedName>
    <definedName name="к7">#REF!</definedName>
    <definedName name="к8" localSheetId="11">#REF!</definedName>
    <definedName name="к8">#REF!</definedName>
    <definedName name="кап.рем.эс" localSheetId="11">#REF!</definedName>
    <definedName name="кап.рем.эс">#REF!</definedName>
    <definedName name="капвлож" localSheetId="11">#REF!</definedName>
    <definedName name="капвлож">#REF!</definedName>
    <definedName name="Карбамид" localSheetId="4" hidden="1">{"'Monthly 1997'!$A$3:$S$89"}</definedName>
    <definedName name="Карбамид" localSheetId="5" hidden="1">{"'Monthly 1997'!$A$3:$S$89"}</definedName>
    <definedName name="Карбамид" localSheetId="11" hidden="1">{"'Monthly 1997'!$A$3:$S$89"}</definedName>
    <definedName name="Карбамид" hidden="1">{"'Monthly 1997'!$A$3:$S$89"}</definedName>
    <definedName name="карз" localSheetId="11">#REF!</definedName>
    <definedName name="карз">#REF!</definedName>
    <definedName name="Кахрамон" localSheetId="11">#REF!</definedName>
    <definedName name="Кахрамон">#REF!</definedName>
    <definedName name="Кахрамон_1" localSheetId="11">#REF!</definedName>
    <definedName name="Кахрамон_1">#REF!</definedName>
    <definedName name="кацуац" localSheetId="4">{30,140,350,160,"",""}</definedName>
    <definedName name="кацуац" localSheetId="5">{30,140,350,160,"",""}</definedName>
    <definedName name="кацуац" localSheetId="11">{30,140,350,160,"",""}</definedName>
    <definedName name="кацуац">{30,140,350,160,"",""}</definedName>
    <definedName name="Каш" localSheetId="4">TRUNC((oy-1)/3+1)</definedName>
    <definedName name="Каш" localSheetId="5">TRUNC((oy-1)/3+1)</definedName>
    <definedName name="Каш" localSheetId="11">TRUNC((oy-1)/3+1)</definedName>
    <definedName name="Каш">TRUNC((oy-1)/3+1)</definedName>
    <definedName name="Кашк" localSheetId="4">TRUNC((oy-1)/3+1)</definedName>
    <definedName name="Кашк" localSheetId="5">TRUNC((oy-1)/3+1)</definedName>
    <definedName name="Кашк" localSheetId="11">TRUNC((oy-1)/3+1)</definedName>
    <definedName name="Кашк">TRUNC((oy-1)/3+1)</definedName>
    <definedName name="кашка" localSheetId="4">#REF!</definedName>
    <definedName name="кашка" localSheetId="5">#REF!</definedName>
    <definedName name="кашка" localSheetId="11">#REF!</definedName>
    <definedName name="кашка">#REF!</definedName>
    <definedName name="квартал" localSheetId="4">#REF!</definedName>
    <definedName name="квартал" localSheetId="5">#REF!</definedName>
    <definedName name="квартал" localSheetId="11">#REF!</definedName>
    <definedName name="квартал">#REF!</definedName>
    <definedName name="ке" localSheetId="4" hidden="1">#REF!</definedName>
    <definedName name="ке" localSheetId="5" hidden="1">#REF!</definedName>
    <definedName name="ке" localSheetId="11" hidden="1">#REF!</definedName>
    <definedName name="ке" hidden="1">#REF!</definedName>
    <definedName name="кейс" localSheetId="11">#REF!</definedName>
    <definedName name="кейс">#REF!</definedName>
    <definedName name="кен" localSheetId="4">{30,140,350,160,"",""}</definedName>
    <definedName name="кен" localSheetId="5">{30,140,350,160,"",""}</definedName>
    <definedName name="кен" localSheetId="11">{30,140,350,160,"",""}</definedName>
    <definedName name="кен">{30,140,350,160,"",""}</definedName>
    <definedName name="кз" localSheetId="4">#REF!</definedName>
    <definedName name="кз" localSheetId="5">#REF!</definedName>
    <definedName name="кз" localSheetId="11">#REF!</definedName>
    <definedName name="кз">#REF!</definedName>
    <definedName name="кириша" localSheetId="4">#REF!</definedName>
    <definedName name="кириша" localSheetId="5">#REF!</definedName>
    <definedName name="кириша" localSheetId="11">#REF!</definedName>
    <definedName name="кириша">#REF!</definedName>
    <definedName name="кк"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кк"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кк"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кк"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ккк" localSheetId="4">#REF!</definedName>
    <definedName name="ккк" localSheetId="5">#REF!</definedName>
    <definedName name="ккк" localSheetId="11">#REF!</definedName>
    <definedName name="ккк">#REF!</definedName>
    <definedName name="книга2" localSheetId="3">[0]!_a1Z,[0]!_a2Z</definedName>
    <definedName name="книга2" localSheetId="4">[0]!_a1Z,[0]!_a2Z</definedName>
    <definedName name="книга2" localSheetId="5">[0]!_a1Z,[0]!_a2Z</definedName>
    <definedName name="книга2" localSheetId="11">[0]!_a1Z,[0]!_a2Z</definedName>
    <definedName name="книга2">[0]!_a1Z,[0]!_a2Z</definedName>
    <definedName name="ко1" localSheetId="4">#REF!</definedName>
    <definedName name="ко1" localSheetId="5">#REF!</definedName>
    <definedName name="ко1" localSheetId="11">#REF!</definedName>
    <definedName name="ко1">#REF!</definedName>
    <definedName name="ко2" localSheetId="4">#REF!</definedName>
    <definedName name="ко2" localSheetId="5">#REF!</definedName>
    <definedName name="ко2" localSheetId="11">#REF!</definedName>
    <definedName name="ко2">#REF!</definedName>
    <definedName name="ко3" localSheetId="4">#REF!</definedName>
    <definedName name="ко3" localSheetId="5">#REF!</definedName>
    <definedName name="ко3" localSheetId="11">#REF!</definedName>
    <definedName name="ко3">#REF!</definedName>
    <definedName name="ко4" localSheetId="11">#REF!</definedName>
    <definedName name="ко4">#REF!</definedName>
    <definedName name="ко5" localSheetId="11">#REF!</definedName>
    <definedName name="ко5">#REF!</definedName>
    <definedName name="ко6" localSheetId="11">#REF!</definedName>
    <definedName name="ко6">#REF!</definedName>
    <definedName name="ко7" localSheetId="11">#REF!</definedName>
    <definedName name="ко7">#REF!</definedName>
    <definedName name="ко8" localSheetId="11">#REF!</definedName>
    <definedName name="ко8">#REF!</definedName>
    <definedName name="Кодир" localSheetId="11">#REF!</definedName>
    <definedName name="Кодир">#REF!</definedName>
    <definedName name="Кол2010" localSheetId="11">#REF!</definedName>
    <definedName name="Кол2010">#REF!</definedName>
    <definedName name="колич_выплат_1" localSheetId="11">#REF!</definedName>
    <definedName name="колич_выплат_1">#REF!</definedName>
    <definedName name="константы" localSheetId="4">#REF!,#REF!,#REF!,#REF!,#REF!,#REF!,#REF!,#REF!,#REF!</definedName>
    <definedName name="константы" localSheetId="5">#REF!,#REF!,#REF!,#REF!,#REF!,#REF!,#REF!,#REF!,#REF!</definedName>
    <definedName name="константы" localSheetId="11">#REF!,#REF!,#REF!,#REF!,#REF!,#REF!,#REF!,#REF!,#REF!</definedName>
    <definedName name="константы">#REF!,#REF!,#REF!,#REF!,#REF!,#REF!,#REF!,#REF!,#REF!</definedName>
    <definedName name="коха" localSheetId="4">#REF!</definedName>
    <definedName name="коха" localSheetId="5">#REF!</definedName>
    <definedName name="коха" localSheetId="11">#REF!</definedName>
    <definedName name="коха">#REF!</definedName>
    <definedName name="кп" localSheetId="4">#REF!</definedName>
    <definedName name="кп" localSheetId="5">#REF!</definedName>
    <definedName name="кп" localSheetId="11">#REF!</definedName>
    <definedName name="кп">#REF!</definedName>
    <definedName name="кре">#N/A</definedName>
    <definedName name="Кредит2">#N/A</definedName>
    <definedName name="ку" localSheetId="4">{30,140,350,160,"",""}</definedName>
    <definedName name="ку" localSheetId="5">{30,140,350,160,"",""}</definedName>
    <definedName name="ку" localSheetId="11">{30,140,350,160,"",""}</definedName>
    <definedName name="ку">{30,140,350,160,"",""}</definedName>
    <definedName name="кул" localSheetId="4">#REF!</definedName>
    <definedName name="кул" localSheetId="5">#REF!</definedName>
    <definedName name="кул" localSheetId="11">#REF!</definedName>
    <definedName name="кул">#REF!</definedName>
    <definedName name="Кулок" localSheetId="4">{30,140,350,160,"",""}</definedName>
    <definedName name="Кулок" localSheetId="5">{30,140,350,160,"",""}</definedName>
    <definedName name="Кулок" localSheetId="11">{30,140,350,160,"",""}</definedName>
    <definedName name="Кулок">{30,140,350,160,"",""}</definedName>
    <definedName name="кулоко" localSheetId="4">{30,140,350,160,"",""}</definedName>
    <definedName name="кулоко" localSheetId="5">{30,140,350,160,"",""}</definedName>
    <definedName name="кулоко" localSheetId="11">{30,140,350,160,"",""}</definedName>
    <definedName name="кулоко">{30,140,350,160,"",""}</definedName>
    <definedName name="култивация" localSheetId="4">#REF!</definedName>
    <definedName name="култивация" localSheetId="5">#REF!</definedName>
    <definedName name="култивация" localSheetId="11">#REF!</definedName>
    <definedName name="култивация">#REF!</definedName>
    <definedName name="купкари" localSheetId="4">#REF!</definedName>
    <definedName name="купкари" localSheetId="5">#REF!</definedName>
    <definedName name="купкари" localSheetId="11">#REF!</definedName>
    <definedName name="купкари">#REF!</definedName>
    <definedName name="Кўрсаткичлар" localSheetId="4">#REF!</definedName>
    <definedName name="Кўрсаткичлар" localSheetId="5">#REF!</definedName>
    <definedName name="Кўрсаткичлар" localSheetId="11">#REF!</definedName>
    <definedName name="Кўрсаткичлар">#REF!</definedName>
    <definedName name="кутча" localSheetId="4">{30,140,350,160,"",""}</definedName>
    <definedName name="кутча" localSheetId="5">{30,140,350,160,"",""}</definedName>
    <definedName name="кутча" localSheetId="11">{30,140,350,160,"",""}</definedName>
    <definedName name="кутча">{30,140,350,160,"",""}</definedName>
    <definedName name="кц" localSheetId="4">{30,140,350,160,"",""}</definedName>
    <definedName name="кц" localSheetId="5">{30,140,350,160,"",""}</definedName>
    <definedName name="кц" localSheetId="11">{30,140,350,160,"",""}</definedName>
    <definedName name="кц">{30,140,350,160,"",""}</definedName>
    <definedName name="кэ" localSheetId="4">#REF!</definedName>
    <definedName name="кэ" localSheetId="5">#REF!</definedName>
    <definedName name="кэ" localSheetId="11">#REF!</definedName>
    <definedName name="кэ">#REF!</definedName>
    <definedName name="л" localSheetId="4">#REF!</definedName>
    <definedName name="л" localSheetId="5">#REF!</definedName>
    <definedName name="л" localSheetId="11">#REF!</definedName>
    <definedName name="л">#REF!</definedName>
    <definedName name="лвлл" localSheetId="4">#REF!</definedName>
    <definedName name="лвлл" localSheetId="5">#REF!</definedName>
    <definedName name="лвлл" localSheetId="11">#REF!</definedName>
    <definedName name="лвлл">#REF!</definedName>
    <definedName name="лд" localSheetId="11">#REF!</definedName>
    <definedName name="лд">#REF!</definedName>
    <definedName name="лдж" localSheetId="4" hidden="1">{"'Monthly 1997'!$A$3:$S$89"}</definedName>
    <definedName name="лдж" localSheetId="5" hidden="1">{"'Monthly 1997'!$A$3:$S$89"}</definedName>
    <definedName name="лдж" localSheetId="11" hidden="1">{"'Monthly 1997'!$A$3:$S$89"}</definedName>
    <definedName name="лдж" hidden="1">{"'Monthly 1997'!$A$3:$S$89"}</definedName>
    <definedName name="лджрпж" localSheetId="11">#REF!</definedName>
    <definedName name="лджрпж">#REF!</definedName>
    <definedName name="лист" localSheetId="11">#REF!</definedName>
    <definedName name="лист">#REF!</definedName>
    <definedName name="Лист_1" localSheetId="11">#REF!</definedName>
    <definedName name="Лист_1">#REF!</definedName>
    <definedName name="лист2" localSheetId="11">#REF!</definedName>
    <definedName name="лист2">#REF!</definedName>
    <definedName name="лит" localSheetId="4">{30,140,350,160,"",""}</definedName>
    <definedName name="лит" localSheetId="5">{30,140,350,160,"",""}</definedName>
    <definedName name="лит" localSheetId="11">{30,140,350,160,"",""}</definedName>
    <definedName name="лит">{30,140,350,160,"",""}</definedName>
    <definedName name="лл" localSheetId="4" hidden="1">{#N/A,#N/A,TRUE,"일정"}</definedName>
    <definedName name="лл" localSheetId="5" hidden="1">{#N/A,#N/A,TRUE,"일정"}</definedName>
    <definedName name="лл" localSheetId="11" hidden="1">{#N/A,#N/A,TRUE,"일정"}</definedName>
    <definedName name="лл" hidden="1">{#N/A,#N/A,TRUE,"일정"}</definedName>
    <definedName name="ллл">#N/A</definedName>
    <definedName name="лллл" localSheetId="4">#REF!</definedName>
    <definedName name="лллл" localSheetId="5">#REF!</definedName>
    <definedName name="лллл" localSheetId="11">#REF!</definedName>
    <definedName name="лллл">#REF!</definedName>
    <definedName name="лллллллллллллл" localSheetId="4">TRUNC((oy-1)/3+1)</definedName>
    <definedName name="лллллллллллллл" localSheetId="5">TRUNC((oy-1)/3+1)</definedName>
    <definedName name="лллллллллллллл" localSheetId="11">TRUNC((oy-1)/3+1)</definedName>
    <definedName name="лллллллллллллл">TRUNC((oy-1)/3+1)</definedName>
    <definedName name="ло" localSheetId="4">{30,140,350,160,"",""}</definedName>
    <definedName name="ло" localSheetId="5">{30,140,350,160,"",""}</definedName>
    <definedName name="ло" localSheetId="11">{30,140,350,160,"",""}</definedName>
    <definedName name="ло">{30,140,350,160,"",""}</definedName>
    <definedName name="ЛокализацияBPU" localSheetId="4">#REF!</definedName>
    <definedName name="ЛокализацияBPU" localSheetId="5">#REF!</definedName>
    <definedName name="ЛокализацияBPU" localSheetId="11">#REF!</definedName>
    <definedName name="ЛокализацияBPU">#REF!</definedName>
    <definedName name="ЛокализацияDAMAS" localSheetId="4">#REF!,#REF!,#REF!</definedName>
    <definedName name="ЛокализацияDAMAS" localSheetId="5">#REF!,#REF!,#REF!</definedName>
    <definedName name="ЛокализацияDAMAS" localSheetId="11">#REF!,#REF!,#REF!</definedName>
    <definedName name="ЛокализацияDAMAS">#REF!,#REF!,#REF!</definedName>
    <definedName name="ЛокализацияLGLL" localSheetId="4">#REF!</definedName>
    <definedName name="ЛокализацияLGLL" localSheetId="5">#REF!</definedName>
    <definedName name="ЛокализацияLGLL" localSheetId="11">#REF!</definedName>
    <definedName name="ЛокализацияLGLL">#REF!</definedName>
    <definedName name="ЛокализацияTICO" localSheetId="4">#REF!</definedName>
    <definedName name="ЛокализацияTICO" localSheetId="5">#REF!</definedName>
    <definedName name="ЛокализацияTICO" localSheetId="11">#REF!</definedName>
    <definedName name="ЛокализацияTICO">#REF!</definedName>
    <definedName name="ЛокализацияWFL" localSheetId="4">#REF!</definedName>
    <definedName name="ЛокализацияWFL" localSheetId="5">#REF!</definedName>
    <definedName name="ЛокализацияWFL" localSheetId="11">#REF!</definedName>
    <definedName name="ЛокализацияWFL">#REF!</definedName>
    <definedName name="ЛокализацияWFR" localSheetId="11">#REF!</definedName>
    <definedName name="ЛокализацияWFR">#REF!</definedName>
    <definedName name="ЛОЛО" localSheetId="11">#REF!</definedName>
    <definedName name="ЛОЛО">#REF!</definedName>
    <definedName name="лр" localSheetId="11">#REF!</definedName>
    <definedName name="лр">#REF!</definedName>
    <definedName name="м"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м"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м"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м_с" localSheetId="4">#REF!</definedName>
    <definedName name="м_с" localSheetId="5">#REF!</definedName>
    <definedName name="м_с" localSheetId="11">#REF!</definedName>
    <definedName name="м_с">#REF!</definedName>
    <definedName name="м_с2" localSheetId="4">#REF!</definedName>
    <definedName name="м_с2" localSheetId="5">#REF!</definedName>
    <definedName name="м_с2" localSheetId="11">#REF!</definedName>
    <definedName name="м_с2">#REF!</definedName>
    <definedName name="м_с3" localSheetId="4">#REF!</definedName>
    <definedName name="м_с3" localSheetId="5">#REF!</definedName>
    <definedName name="м_с3" localSheetId="11">#REF!</definedName>
    <definedName name="м_с3">#REF!</definedName>
    <definedName name="м_с4" localSheetId="11">#REF!</definedName>
    <definedName name="м_с4">#REF!</definedName>
    <definedName name="М50.12" localSheetId="11">#REF!</definedName>
    <definedName name="М50.12">#REF!</definedName>
    <definedName name="Май" localSheetId="11">#REF!</definedName>
    <definedName name="Май">#REF!</definedName>
    <definedName name="Макрос1">#N/A</definedName>
    <definedName name="Макрос2" localSheetId="4">#REF!</definedName>
    <definedName name="Макрос2" localSheetId="5">#REF!</definedName>
    <definedName name="Макрос2" localSheetId="11">#REF!</definedName>
    <definedName name="Макрос2">#REF!</definedName>
    <definedName name="Макрос3" localSheetId="4">#REF!</definedName>
    <definedName name="Макрос3" localSheetId="5">#REF!</definedName>
    <definedName name="Макрос3" localSheetId="11">#REF!</definedName>
    <definedName name="Макрос3">#REF!</definedName>
    <definedName name="марка" localSheetId="4">#REF!</definedName>
    <definedName name="марка" localSheetId="5">#REF!</definedName>
    <definedName name="марка" localSheetId="11">#REF!</definedName>
    <definedName name="марка">#REF!</definedName>
    <definedName name="Массив_СвС">#N/A</definedName>
    <definedName name="машина" localSheetId="4">{30,140,350,160,"",""}</definedName>
    <definedName name="машина" localSheetId="5">{30,140,350,160,"",""}</definedName>
    <definedName name="машина" localSheetId="11">{30,140,350,160,"",""}</definedName>
    <definedName name="машина">{30,140,350,160,"",""}</definedName>
    <definedName name="МАЪЛУМОТ" localSheetId="4">#REF!</definedName>
    <definedName name="МАЪЛУМОТ" localSheetId="5">#REF!</definedName>
    <definedName name="МАЪЛУМОТ" localSheetId="11">#REF!</definedName>
    <definedName name="МАЪЛУМОТ">#REF!</definedName>
    <definedName name="мес" localSheetId="4" hidden="1">{"'Monthly 1997'!$A$3:$S$89"}</definedName>
    <definedName name="мес" localSheetId="5" hidden="1">{"'Monthly 1997'!$A$3:$S$89"}</definedName>
    <definedName name="мес" localSheetId="11" hidden="1">{"'Monthly 1997'!$A$3:$S$89"}</definedName>
    <definedName name="мес" hidden="1">{"'Monthly 1997'!$A$3:$S$89"}</definedName>
    <definedName name="мес1" localSheetId="4" hidden="1">{"'Monthly 1997'!$A$3:$S$89"}</definedName>
    <definedName name="мес1" localSheetId="5" hidden="1">{"'Monthly 1997'!$A$3:$S$89"}</definedName>
    <definedName name="мес1" localSheetId="11" hidden="1">{"'Monthly 1997'!$A$3:$S$89"}</definedName>
    <definedName name="мес1" hidden="1">{"'Monthly 1997'!$A$3:$S$89"}</definedName>
    <definedName name="месяц" localSheetId="11">#REF!</definedName>
    <definedName name="месяц">#REF!</definedName>
    <definedName name="месяц_цена" localSheetId="11">#REF!</definedName>
    <definedName name="месяц_цена">#REF!</definedName>
    <definedName name="мз" localSheetId="11">#REF!</definedName>
    <definedName name="мз">#REF!</definedName>
    <definedName name="МЗ_1" localSheetId="11">#REF!</definedName>
    <definedName name="МЗ_1">#REF!</definedName>
    <definedName name="МЗ_2" localSheetId="11">#REF!</definedName>
    <definedName name="МЗ_2">#REF!</definedName>
    <definedName name="мин" localSheetId="11">#REF!</definedName>
    <definedName name="мин">#REF!</definedName>
    <definedName name="мин.эк." localSheetId="4" hidden="1">{#N/A,#N/A,FALSE,"Aging Summary";#N/A,#N/A,FALSE,"Ratio Analysis";#N/A,#N/A,FALSE,"Test 120 Day Accts";#N/A,#N/A,FALSE,"Tickmarks"}</definedName>
    <definedName name="мин.эк." localSheetId="5" hidden="1">{#N/A,#N/A,FALSE,"Aging Summary";#N/A,#N/A,FALSE,"Ratio Analysis";#N/A,#N/A,FALSE,"Test 120 Day Accts";#N/A,#N/A,FALSE,"Tickmarks"}</definedName>
    <definedName name="мин.эк." localSheetId="11" hidden="1">{#N/A,#N/A,FALSE,"Aging Summary";#N/A,#N/A,FALSE,"Ratio Analysis";#N/A,#N/A,FALSE,"Test 120 Day Accts";#N/A,#N/A,FALSE,"Tickmarks"}</definedName>
    <definedName name="мин.эк." hidden="1">{#N/A,#N/A,FALSE,"Aging Summary";#N/A,#N/A,FALSE,"Ratio Analysis";#N/A,#N/A,FALSE,"Test 120 Day Accts";#N/A,#N/A,FALSE,"Tickmarks"}</definedName>
    <definedName name="мин25" localSheetId="4">#REF!</definedName>
    <definedName name="мин25" localSheetId="5">#REF!</definedName>
    <definedName name="мин25" localSheetId="11">#REF!</definedName>
    <definedName name="мин25">#REF!</definedName>
    <definedName name="минг" localSheetId="4">#REF!</definedName>
    <definedName name="минг" localSheetId="5">#REF!</definedName>
    <definedName name="минг" localSheetId="11">#REF!</definedName>
    <definedName name="минг">#REF!</definedName>
    <definedName name="мингча" localSheetId="4">#REF!</definedName>
    <definedName name="мингча" localSheetId="5">#REF!</definedName>
    <definedName name="мингча" localSheetId="11">#REF!</definedName>
    <definedName name="мингча">#REF!</definedName>
    <definedName name="Минимал_1" localSheetId="11">#REF!</definedName>
    <definedName name="Минимал_1">#REF!</definedName>
    <definedName name="Минимал_2" localSheetId="11">#REF!</definedName>
    <definedName name="Минимал_2">#REF!</definedName>
    <definedName name="Минсвх" localSheetId="11">#REF!</definedName>
    <definedName name="Минсвх">#REF!</definedName>
    <definedName name="мир" localSheetId="11">#REF!</definedName>
    <definedName name="мир">#REF!</definedName>
    <definedName name="мирз" localSheetId="4">{30,140,350,160,"",""}</definedName>
    <definedName name="мирз" localSheetId="5">{30,140,350,160,"",""}</definedName>
    <definedName name="мирз" localSheetId="11">{30,140,350,160,"",""}</definedName>
    <definedName name="мирз">{30,140,350,160,"",""}</definedName>
    <definedName name="мм" localSheetId="4" hidden="1">{#N/A,#N/A,FALSE,"인원";#N/A,#N/A,FALSE,"비용2";#N/A,#N/A,FALSE,"비용1";#N/A,#N/A,FALSE,"비용";#N/A,#N/A,FALSE,"보증2";#N/A,#N/A,FALSE,"보증1";#N/A,#N/A,FALSE,"보증";#N/A,#N/A,FALSE,"손익1";#N/A,#N/A,FALSE,"손익";#N/A,#N/A,FALSE,"부서별매출";#N/A,#N/A,FALSE,"매출"}</definedName>
    <definedName name="мм" localSheetId="5" hidden="1">{#N/A,#N/A,FALSE,"인원";#N/A,#N/A,FALSE,"비용2";#N/A,#N/A,FALSE,"비용1";#N/A,#N/A,FALSE,"비용";#N/A,#N/A,FALSE,"보증2";#N/A,#N/A,FALSE,"보증1";#N/A,#N/A,FALSE,"보증";#N/A,#N/A,FALSE,"손익1";#N/A,#N/A,FALSE,"손익";#N/A,#N/A,FALSE,"부서별매출";#N/A,#N/A,FALSE,"매출"}</definedName>
    <definedName name="мм" localSheetId="11" hidden="1">{#N/A,#N/A,FALSE,"인원";#N/A,#N/A,FALSE,"비용2";#N/A,#N/A,FALSE,"비용1";#N/A,#N/A,FALSE,"비용";#N/A,#N/A,FALSE,"보증2";#N/A,#N/A,FALSE,"보증1";#N/A,#N/A,FALSE,"보증";#N/A,#N/A,FALSE,"손익1";#N/A,#N/A,FALSE,"손익";#N/A,#N/A,FALSE,"부서별매출";#N/A,#N/A,FALSE,"매출"}</definedName>
    <definedName name="мм" hidden="1">{#N/A,#N/A,FALSE,"인원";#N/A,#N/A,FALSE,"비용2";#N/A,#N/A,FALSE,"비용1";#N/A,#N/A,FALSE,"비용";#N/A,#N/A,FALSE,"보증2";#N/A,#N/A,FALSE,"보증1";#N/A,#N/A,FALSE,"보증";#N/A,#N/A,FALSE,"손익1";#N/A,#N/A,FALSE,"손익";#N/A,#N/A,FALSE,"부서별매출";#N/A,#N/A,FALSE,"매출"}</definedName>
    <definedName name="МММММ" localSheetId="4">TRUNC((oy-1)/3+1)</definedName>
    <definedName name="МММММ" localSheetId="5">TRUNC((oy-1)/3+1)</definedName>
    <definedName name="МММММ" localSheetId="11">TRUNC((oy-1)/3+1)</definedName>
    <definedName name="МММММ">TRUNC((oy-1)/3+1)</definedName>
    <definedName name="Модерн" localSheetId="4">#REF!</definedName>
    <definedName name="Модерн" localSheetId="5">#REF!</definedName>
    <definedName name="Модерн" localSheetId="11">#REF!</definedName>
    <definedName name="Модерн">#REF!</definedName>
    <definedName name="Монетиз" localSheetId="4">#REF!</definedName>
    <definedName name="Монетиз" localSheetId="5">#REF!</definedName>
    <definedName name="Монетиз" localSheetId="11">#REF!</definedName>
    <definedName name="Монетиз">#REF!</definedName>
    <definedName name="мссиииисс" localSheetId="4">{30,140,350,160,"",""}</definedName>
    <definedName name="мссиииисс" localSheetId="5">{30,140,350,160,"",""}</definedName>
    <definedName name="мссиииисс" localSheetId="11">{30,140,350,160,"",""}</definedName>
    <definedName name="мссиииисс">{30,140,350,160,"",""}</definedName>
    <definedName name="МССЯВВАВВФФ" localSheetId="4">{30,140,350,160,"",""}</definedName>
    <definedName name="МССЯВВАВВФФ" localSheetId="5">{30,140,350,160,"",""}</definedName>
    <definedName name="МССЯВВАВВФФ" localSheetId="11">{30,140,350,160,"",""}</definedName>
    <definedName name="МССЯВВАВВФФ">{30,140,350,160,"",""}</definedName>
    <definedName name="мт" localSheetId="4">#REF!</definedName>
    <definedName name="мт" localSheetId="5">#REF!</definedName>
    <definedName name="мт" localSheetId="11">#REF!</definedName>
    <definedName name="мт">#REF!</definedName>
    <definedName name="МТР" localSheetId="3">дел/1000</definedName>
    <definedName name="МТР" localSheetId="4">дел/1000</definedName>
    <definedName name="МТР" localSheetId="5">дел/1000</definedName>
    <definedName name="МТР" localSheetId="11">дел/1000</definedName>
    <definedName name="МТР">дел/1000</definedName>
    <definedName name="МФИ" localSheetId="4">#REF!</definedName>
    <definedName name="МФИ" localSheetId="5">#REF!</definedName>
    <definedName name="МФИ" localSheetId="11">#REF!</definedName>
    <definedName name="МФИ">#REF!</definedName>
    <definedName name="мфпрог" localSheetId="4">#REF!</definedName>
    <definedName name="мфпрог" localSheetId="5">#REF!</definedName>
    <definedName name="мфпрог" localSheetId="11">#REF!</definedName>
    <definedName name="мфпрог">#REF!</definedName>
    <definedName name="мфу02" localSheetId="4">#REF!</definedName>
    <definedName name="мфу02" localSheetId="5">#REF!</definedName>
    <definedName name="мфу02" localSheetId="11">#REF!</definedName>
    <definedName name="мфу02">#REF!</definedName>
    <definedName name="н" localSheetId="11">#REF!</definedName>
    <definedName name="н">#REF!</definedName>
    <definedName name="навои" localSheetId="11">#REF!</definedName>
    <definedName name="навои">#REF!</definedName>
    <definedName name="наман" localSheetId="11">#REF!</definedName>
    <definedName name="наман">#REF!</definedName>
    <definedName name="наманган" localSheetId="11">#REF!</definedName>
    <definedName name="наманган">#REF!</definedName>
    <definedName name="нар26" localSheetId="4" hidden="1">#REF!,#REF!,#REF!,#REF!</definedName>
    <definedName name="нар26" localSheetId="5" hidden="1">#REF!,#REF!,#REF!,#REF!</definedName>
    <definedName name="нар26" localSheetId="11" hidden="1">#REF!,#REF!,#REF!,#REF!</definedName>
    <definedName name="нар26" hidden="1">#REF!,#REF!,#REF!,#REF!</definedName>
    <definedName name="нац" localSheetId="4">#REF!</definedName>
    <definedName name="нац" localSheetId="5">#REF!</definedName>
    <definedName name="нац" localSheetId="11">#REF!</definedName>
    <definedName name="нац">#REF!</definedName>
    <definedName name="нбу" localSheetId="4">#REF!</definedName>
    <definedName name="нбу" localSheetId="5">#REF!</definedName>
    <definedName name="нбу" localSheetId="11">#REF!</definedName>
    <definedName name="нбу">#REF!</definedName>
    <definedName name="не" localSheetId="4">{30,140,350,160,"",""}</definedName>
    <definedName name="не" localSheetId="5">{30,140,350,160,"",""}</definedName>
    <definedName name="не" localSheetId="11">{30,140,350,160,"",""}</definedName>
    <definedName name="не">{30,140,350,160,"",""}</definedName>
    <definedName name="неукв" localSheetId="4">#REF!</definedName>
    <definedName name="неукв" localSheetId="5">#REF!</definedName>
    <definedName name="неукв" localSheetId="11">#REF!</definedName>
    <definedName name="неукв">#REF!</definedName>
    <definedName name="нилуфа" localSheetId="4">#REF!</definedName>
    <definedName name="нилуфа" localSheetId="5">#REF!</definedName>
    <definedName name="нилуфа" localSheetId="11">#REF!</definedName>
    <definedName name="нилуфа">#REF!</definedName>
    <definedName name="нилуфар" localSheetId="4">#REF!</definedName>
    <definedName name="нилуфар" localSheetId="5">#REF!</definedName>
    <definedName name="нилуфар" localSheetId="11">#REF!</definedName>
    <definedName name="нилуфар">#REF!</definedName>
    <definedName name="нк" localSheetId="4">{30,140,350,160,"",""}</definedName>
    <definedName name="нк" localSheetId="5">{30,140,350,160,"",""}</definedName>
    <definedName name="нк" localSheetId="11">{30,140,350,160,"",""}</definedName>
    <definedName name="нк">{30,140,350,160,"",""}</definedName>
    <definedName name="нн"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нн"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нн"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нн"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ннн" localSheetId="4">#REF!</definedName>
    <definedName name="ннн" localSheetId="5">#REF!</definedName>
    <definedName name="ннн" localSheetId="11">#REF!</definedName>
    <definedName name="ннн">#REF!</definedName>
    <definedName name="но" localSheetId="4">#REF!</definedName>
    <definedName name="но" localSheetId="5">#REF!</definedName>
    <definedName name="но" localSheetId="11">#REF!</definedName>
    <definedName name="но">#REF!</definedName>
    <definedName name="нов">#N/A</definedName>
    <definedName name="новое" localSheetId="4">#REF!</definedName>
    <definedName name="новое" localSheetId="5">#REF!</definedName>
    <definedName name="новое" localSheetId="11">#REF!</definedName>
    <definedName name="новое">#REF!</definedName>
    <definedName name="новый" localSheetId="3">[0]!_a1Z,[0]!_a2Z</definedName>
    <definedName name="новый" localSheetId="4">[0]!_a1Z,[0]!_a2Z</definedName>
    <definedName name="новый" localSheetId="5">[0]!_a1Z,[0]!_a2Z</definedName>
    <definedName name="новый" localSheetId="11">[0]!_a1Z,[0]!_a2Z</definedName>
    <definedName name="новый">[0]!_a1Z,[0]!_a2Z</definedName>
    <definedName name="нояб" localSheetId="4">#REF!</definedName>
    <definedName name="нояб" localSheetId="5">#REF!</definedName>
    <definedName name="нояб" localSheetId="11">#REF!</definedName>
    <definedName name="нояб">#REF!</definedName>
    <definedName name="нояб." localSheetId="4">#REF!</definedName>
    <definedName name="нояб." localSheetId="5">#REF!</definedName>
    <definedName name="нояб." localSheetId="11">#REF!</definedName>
    <definedName name="нояб.">#REF!</definedName>
    <definedName name="Ноябрь" localSheetId="4" hidden="1">{#N/A,#N/A,TRUE,"일정"}</definedName>
    <definedName name="Ноябрь" localSheetId="5" hidden="1">{#N/A,#N/A,TRUE,"일정"}</definedName>
    <definedName name="Ноябрь" localSheetId="11" hidden="1">{#N/A,#N/A,TRUE,"일정"}</definedName>
    <definedName name="Ноябрь" hidden="1">{#N/A,#N/A,TRUE,"일정"}</definedName>
    <definedName name="нук" localSheetId="4">TRUNC((oy-1)/3+1)</definedName>
    <definedName name="нук" localSheetId="5">TRUNC((oy-1)/3+1)</definedName>
    <definedName name="нук" localSheetId="11">TRUNC((oy-1)/3+1)</definedName>
    <definedName name="нук">TRUNC((oy-1)/3+1)</definedName>
    <definedName name="нур" localSheetId="4">#REF!</definedName>
    <definedName name="нур" localSheetId="5">#REF!</definedName>
    <definedName name="нур" localSheetId="11">#REF!</definedName>
    <definedName name="нур">#REF!</definedName>
    <definedName name="о"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о"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о"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о"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Область_для_печати" localSheetId="4">#REF!</definedName>
    <definedName name="Область_для_печати" localSheetId="5">#REF!</definedName>
    <definedName name="Область_для_печати" localSheetId="11">#REF!</definedName>
    <definedName name="Область_для_печати">#REF!</definedName>
    <definedName name="Область_дляпечати" localSheetId="4">#REF!</definedName>
    <definedName name="Область_дляпечати" localSheetId="5">#REF!</definedName>
    <definedName name="Область_дляпечати" localSheetId="11">#REF!</definedName>
    <definedName name="Область_дляпечати">#REF!</definedName>
    <definedName name="ОБЛАСТЬ_ПЕЌАТ_" localSheetId="4">#REF!</definedName>
    <definedName name="ОБЛАСТЬ_ПЕЌАТ_" localSheetId="5">#REF!</definedName>
    <definedName name="ОБЛАСТЬ_ПЕЌАТ_" localSheetId="11">#REF!</definedName>
    <definedName name="ОБЛАСТЬ_ПЕЌАТ_">#REF!</definedName>
    <definedName name="ОБЛАСТЬ_ПЕЌАТ__6" localSheetId="11">#REF!</definedName>
    <definedName name="ОБЛАСТЬ_ПЕЌАТ__6">#REF!</definedName>
    <definedName name="ОБЛАСТЬ_ПЕЌАТИ" localSheetId="11">#REF!</definedName>
    <definedName name="ОБЛАСТЬ_ПЕЌАТИ">#REF!</definedName>
    <definedName name="ОБЛАСТЬ_ПЕЌАТИ_6" localSheetId="11">#REF!</definedName>
    <definedName name="ОБЛАСТЬ_ПЕЌАТИ_6">#REF!</definedName>
    <definedName name="_xlnm.Print_Area" localSheetId="0">list01!$A$1:$L$63</definedName>
    <definedName name="_xlnm.Print_Area" localSheetId="1">list02!$A$1:$D$53</definedName>
    <definedName name="_xlnm.Print_Area" localSheetId="2">list03!$A$1:$E$74</definedName>
    <definedName name="_xlnm.Print_Area" localSheetId="3">list04!$A$1:$E$71</definedName>
    <definedName name="_xlnm.Print_Area" localSheetId="4">list05!$A$1:$I$73</definedName>
    <definedName name="_xlnm.Print_Area" localSheetId="5">list06!$A$1:$H$64</definedName>
    <definedName name="_xlnm.Print_Area" localSheetId="6">list07!$A$1:$D$20</definedName>
    <definedName name="_xlnm.Print_Area" localSheetId="9">list10!$A$1:$F$39</definedName>
    <definedName name="_xlnm.Print_Area" localSheetId="11">#REF!</definedName>
    <definedName name="_xlnm.Print_Area" localSheetId="12">list13!$A$2:$K$19</definedName>
    <definedName name="_xlnm.Print_Area" localSheetId="13">list14!$A$1:$D$21</definedName>
    <definedName name="_xlnm.Print_Area" localSheetId="14">list15!$A$1:$D$34</definedName>
    <definedName name="_xlnm.Print_Area">#REF!</definedName>
    <definedName name="областя" localSheetId="4"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бластя" localSheetId="5"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бластя" localSheetId="11"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бластя"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бъем_МПК" localSheetId="4">#REF!</definedName>
    <definedName name="объем_МПК" localSheetId="5">#REF!</definedName>
    <definedName name="объем_МПК" localSheetId="11">#REF!</definedName>
    <definedName name="объем_МПК">#REF!</definedName>
    <definedName name="объем_нац.вал." localSheetId="4">#REF!</definedName>
    <definedName name="объем_нац.вал." localSheetId="5">#REF!</definedName>
    <definedName name="объем_нац.вал." localSheetId="11">#REF!</definedName>
    <definedName name="объем_нац.вал.">#REF!</definedName>
    <definedName name="Объем_Нефть" localSheetId="4" hidden="1">{#N/A,#N/A,FALSE,"인원";#N/A,#N/A,FALSE,"비용2";#N/A,#N/A,FALSE,"비용1";#N/A,#N/A,FALSE,"비용";#N/A,#N/A,FALSE,"보증2";#N/A,#N/A,FALSE,"보증1";#N/A,#N/A,FALSE,"보증";#N/A,#N/A,FALSE,"손익1";#N/A,#N/A,FALSE,"손익";#N/A,#N/A,FALSE,"부서별매출";#N/A,#N/A,FALSE,"매출"}</definedName>
    <definedName name="Объем_Нефть" localSheetId="5" hidden="1">{#N/A,#N/A,FALSE,"인원";#N/A,#N/A,FALSE,"비용2";#N/A,#N/A,FALSE,"비용1";#N/A,#N/A,FALSE,"비용";#N/A,#N/A,FALSE,"보증2";#N/A,#N/A,FALSE,"보증1";#N/A,#N/A,FALSE,"보증";#N/A,#N/A,FALSE,"손익1";#N/A,#N/A,FALSE,"손익";#N/A,#N/A,FALSE,"부서별매출";#N/A,#N/A,FALSE,"매출"}</definedName>
    <definedName name="Объем_Нефть" localSheetId="11" hidden="1">{#N/A,#N/A,FALSE,"인원";#N/A,#N/A,FALSE,"비용2";#N/A,#N/A,FALSE,"비용1";#N/A,#N/A,FALSE,"비용";#N/A,#N/A,FALSE,"보증2";#N/A,#N/A,FALSE,"보증1";#N/A,#N/A,FALSE,"보증";#N/A,#N/A,FALSE,"손익1";#N/A,#N/A,FALSE,"손익";#N/A,#N/A,FALSE,"부서별매출";#N/A,#N/A,FALSE,"매출"}</definedName>
    <definedName name="Объем_Нефть" hidden="1">{#N/A,#N/A,FALSE,"인원";#N/A,#N/A,FALSE,"비용2";#N/A,#N/A,FALSE,"비용1";#N/A,#N/A,FALSE,"비용";#N/A,#N/A,FALSE,"보증2";#N/A,#N/A,FALSE,"보증1";#N/A,#N/A,FALSE,"보증";#N/A,#N/A,FALSE,"손익1";#N/A,#N/A,FALSE,"손익";#N/A,#N/A,FALSE,"부서별매출";#N/A,#N/A,FALSE,"매출"}</definedName>
    <definedName name="объем_экспорт" localSheetId="4">#REF!</definedName>
    <definedName name="объем_экспорт" localSheetId="5">#REF!</definedName>
    <definedName name="объем_экспорт" localSheetId="11">#REF!</definedName>
    <definedName name="объем_экспорт">#REF!</definedName>
    <definedName name="овкей" localSheetId="4">#REF!</definedName>
    <definedName name="овкей" localSheetId="5">#REF!</definedName>
    <definedName name="овкей" localSheetId="11">#REF!</definedName>
    <definedName name="овкей">#REF!</definedName>
    <definedName name="ОИОАМИВ" localSheetId="4">#REF!</definedName>
    <definedName name="ОИОАМИВ" localSheetId="5">#REF!</definedName>
    <definedName name="ОИОАМИВ" localSheetId="11">#REF!</definedName>
    <definedName name="ОИОАМИВ">#REF!</definedName>
    <definedName name="октябрь" localSheetId="11">#REF!</definedName>
    <definedName name="октябрь">#REF!</definedName>
    <definedName name="ол" localSheetId="4">{30,140,350,160,"",""}</definedName>
    <definedName name="ол" localSheetId="5">{30,140,350,160,"",""}</definedName>
    <definedName name="ол" localSheetId="11">{30,140,350,160,"",""}</definedName>
    <definedName name="ол">{30,140,350,160,"",""}</definedName>
    <definedName name="олг" localSheetId="4">#REF!</definedName>
    <definedName name="олг" localSheetId="5">#REF!</definedName>
    <definedName name="олг" localSheetId="11">#REF!</definedName>
    <definedName name="олг">#REF!</definedName>
    <definedName name="олдл" localSheetId="4">{30,140,350,160,"",""}</definedName>
    <definedName name="олдл" localSheetId="5">{30,140,350,160,"",""}</definedName>
    <definedName name="олдл" localSheetId="11">{30,140,350,160,"",""}</definedName>
    <definedName name="олдл">{30,140,350,160,"",""}</definedName>
    <definedName name="олл" localSheetId="4">#REF!,#REF!,#REF!,#REF!,#REF!,#REF!,#REF!,#REF!,#REF!</definedName>
    <definedName name="олл" localSheetId="5">#REF!,#REF!,#REF!,#REF!,#REF!,#REF!,#REF!,#REF!,#REF!</definedName>
    <definedName name="олл" localSheetId="11">#REF!,#REF!,#REF!,#REF!,#REF!,#REF!,#REF!,#REF!,#REF!</definedName>
    <definedName name="олл">#REF!,#REF!,#REF!,#REF!,#REF!,#REF!,#REF!,#REF!,#REF!</definedName>
    <definedName name="олма" localSheetId="4" hidden="1">#REF!</definedName>
    <definedName name="олма" localSheetId="5" hidden="1">#REF!</definedName>
    <definedName name="олма" localSheetId="11" hidden="1">#REF!</definedName>
    <definedName name="олма" hidden="1">#REF!</definedName>
    <definedName name="олмалик" localSheetId="4" hidden="1">#REF!</definedName>
    <definedName name="олмалик" localSheetId="5" hidden="1">#REF!</definedName>
    <definedName name="олмалик" localSheetId="11" hidden="1">#REF!</definedName>
    <definedName name="олмалик" hidden="1">#REF!</definedName>
    <definedName name="олол" localSheetId="4">{30,140,350,160,"",""}</definedName>
    <definedName name="олол" localSheetId="5">{30,140,350,160,"",""}</definedName>
    <definedName name="олол" localSheetId="11">{30,140,350,160,"",""}</definedName>
    <definedName name="олол">{30,140,350,160,"",""}</definedName>
    <definedName name="олтин_дала" localSheetId="4">#REF!</definedName>
    <definedName name="олтин_дала" localSheetId="5">#REF!</definedName>
    <definedName name="олтин_дала" localSheetId="11">#REF!</definedName>
    <definedName name="олтин_дала">#REF!</definedName>
    <definedName name="ольга" localSheetId="4" hidden="1">{#N/A,#N/A,FALSE,"BODY"}</definedName>
    <definedName name="ольга" localSheetId="5" hidden="1">{#N/A,#N/A,FALSE,"BODY"}</definedName>
    <definedName name="ольга" localSheetId="11" hidden="1">{#N/A,#N/A,FALSE,"BODY"}</definedName>
    <definedName name="ольга" hidden="1">{#N/A,#N/A,FALSE,"BODY"}</definedName>
    <definedName name="оля" localSheetId="4">#REF!</definedName>
    <definedName name="оля" localSheetId="5">#REF!</definedName>
    <definedName name="оля" localSheetId="11">#REF!</definedName>
    <definedName name="оля">#REF!</definedName>
    <definedName name="оо"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оо"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оо"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оо"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ооо" localSheetId="4">#REF!</definedName>
    <definedName name="ооо" localSheetId="5">#REF!</definedName>
    <definedName name="ооо" localSheetId="11">#REF!</definedName>
    <definedName name="ооо">#REF!</definedName>
    <definedName name="оооо" localSheetId="4">TRUNC((oy-1)/3+1)</definedName>
    <definedName name="оооо" localSheetId="5">TRUNC((oy-1)/3+1)</definedName>
    <definedName name="оооо" localSheetId="11">TRUNC((oy-1)/3+1)</definedName>
    <definedName name="оооо">TRUNC((oy-1)/3+1)</definedName>
    <definedName name="ооооо"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ооооо"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ооооо"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ооооо"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оперативно" localSheetId="4">#REF!</definedName>
    <definedName name="оперативно" localSheetId="5">#REF!</definedName>
    <definedName name="оперативно" localSheetId="11">#REF!</definedName>
    <definedName name="оперативно">#REF!</definedName>
    <definedName name="ор" localSheetId="4">#REF!,#REF!,#REF!</definedName>
    <definedName name="ор" localSheetId="5">#REF!,#REF!,#REF!</definedName>
    <definedName name="ор" localSheetId="11">#REF!,#REF!,#REF!</definedName>
    <definedName name="ор">#REF!,#REF!,#REF!</definedName>
    <definedName name="орде" localSheetId="4">#REF!</definedName>
    <definedName name="орде" localSheetId="5">#REF!</definedName>
    <definedName name="орде" localSheetId="11">#REF!</definedName>
    <definedName name="орде">#REF!</definedName>
    <definedName name="орлролр" localSheetId="4">#REF!</definedName>
    <definedName name="орлролр" localSheetId="5">#REF!</definedName>
    <definedName name="орлролр" localSheetId="11">#REF!</definedName>
    <definedName name="орлролр">#REF!</definedName>
    <definedName name="ОРОРО1" localSheetId="4">#REF!</definedName>
    <definedName name="ОРОРО1" localSheetId="5">#REF!</definedName>
    <definedName name="ОРОРО1" localSheetId="11">#REF!</definedName>
    <definedName name="ОРОРО1">#REF!</definedName>
    <definedName name="ОСТ">0</definedName>
    <definedName name="оьтлодламп" localSheetId="4">{30,140,350,160,"",""}</definedName>
    <definedName name="оьтлодламп" localSheetId="5">{30,140,350,160,"",""}</definedName>
    <definedName name="оьтлодламп" localSheetId="11">{30,140,350,160,"",""}</definedName>
    <definedName name="оьтлодламп">{30,140,350,160,"",""}</definedName>
    <definedName name="п" localSheetId="4">#REF!</definedName>
    <definedName name="п" localSheetId="5">#REF!</definedName>
    <definedName name="п" localSheetId="11">#REF!</definedName>
    <definedName name="п">#REF!</definedName>
    <definedName name="пап" localSheetId="4">#REF!</definedName>
    <definedName name="пап" localSheetId="5">#REF!</definedName>
    <definedName name="пап" localSheetId="11">#REF!</definedName>
    <definedName name="пап">#REF!</definedName>
    <definedName name="Папка" localSheetId="4">{30,140,350,160,"",""}</definedName>
    <definedName name="Папка" localSheetId="5">{30,140,350,160,"",""}</definedName>
    <definedName name="Папка" localSheetId="11">{30,140,350,160,"",""}</definedName>
    <definedName name="Папка">{30,140,350,160,"",""}</definedName>
    <definedName name="паур" localSheetId="4">#REF!</definedName>
    <definedName name="паур" localSheetId="5">#REF!</definedName>
    <definedName name="паур" localSheetId="11">#REF!</definedName>
    <definedName name="паур">#REF!</definedName>
    <definedName name="пах" localSheetId="4">#REF!</definedName>
    <definedName name="пах" localSheetId="5">#REF!</definedName>
    <definedName name="пах" localSheetId="11">#REF!</definedName>
    <definedName name="пах">#REF!</definedName>
    <definedName name="пахта" localSheetId="4">{30,140,350,160,"",""}</definedName>
    <definedName name="пахта" localSheetId="5">{30,140,350,160,"",""}</definedName>
    <definedName name="пахта" localSheetId="11">{30,140,350,160,"",""}</definedName>
    <definedName name="пахта">{30,140,350,160,"",""}</definedName>
    <definedName name="пахта2" localSheetId="4">{30,140,350,160,"",""}</definedName>
    <definedName name="пахта2" localSheetId="5">{30,140,350,160,"",""}</definedName>
    <definedName name="пахта2" localSheetId="11">{30,140,350,160,"",""}</definedName>
    <definedName name="пахта2">{30,140,350,160,"",""}</definedName>
    <definedName name="пахта3" localSheetId="4">{30,140,350,160,"",""}</definedName>
    <definedName name="пахта3" localSheetId="5">{30,140,350,160,"",""}</definedName>
    <definedName name="пахта3" localSheetId="11">{30,140,350,160,"",""}</definedName>
    <definedName name="пахта3">{30,140,350,160,"",""}</definedName>
    <definedName name="пе">#N/A</definedName>
    <definedName name="ПЕНСИЯ" localSheetId="4">#REF!</definedName>
    <definedName name="ПЕНСИЯ" localSheetId="5">#REF!</definedName>
    <definedName name="ПЕНСИЯ" localSheetId="11">#REF!</definedName>
    <definedName name="ПЕНСИЯ">#REF!</definedName>
    <definedName name="период">1</definedName>
    <definedName name="печать" localSheetId="4">#REF!</definedName>
    <definedName name="печать" localSheetId="5">#REF!</definedName>
    <definedName name="печать" localSheetId="11">#REF!</definedName>
    <definedName name="печать">#REF!</definedName>
    <definedName name="пж" localSheetId="4">#REF!</definedName>
    <definedName name="пж" localSheetId="5">#REF!</definedName>
    <definedName name="пж" localSheetId="11">#REF!</definedName>
    <definedName name="пж">#REF!</definedName>
    <definedName name="ПИР" localSheetId="4">#REF!</definedName>
    <definedName name="ПИР" localSheetId="5">#REF!</definedName>
    <definedName name="ПИР" localSheetId="11">#REF!</definedName>
    <definedName name="ПИР">#REF!</definedName>
    <definedName name="ПИРА" localSheetId="11">#REF!</definedName>
    <definedName name="ПИРА">#REF!</definedName>
    <definedName name="Полигон" localSheetId="11">#REF!</definedName>
    <definedName name="Полигон">#REF!</definedName>
    <definedName name="пор" localSheetId="11">#REF!</definedName>
    <definedName name="пор">#REF!</definedName>
    <definedName name="посл.вар" localSheetId="11">#REF!</definedName>
    <definedName name="посл.вар">#REF!</definedName>
    <definedName name="поступило">36525</definedName>
    <definedName name="Поток2004" localSheetId="4">#REF!</definedName>
    <definedName name="Поток2004" localSheetId="5">#REF!</definedName>
    <definedName name="Поток2004" localSheetId="11">#REF!</definedName>
    <definedName name="Поток2004">#REF!</definedName>
    <definedName name="потоки">#N/A</definedName>
    <definedName name="пп"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пп"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пп"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пп"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ппп" localSheetId="4">#REF!</definedName>
    <definedName name="ппп" localSheetId="5">#REF!</definedName>
    <definedName name="ппп" localSheetId="11">#REF!</definedName>
    <definedName name="ппп">#REF!</definedName>
    <definedName name="пппп">#N/A</definedName>
    <definedName name="ппппп">#N/A</definedName>
    <definedName name="пппппп" localSheetId="3">прилож3/1000</definedName>
    <definedName name="пппппп" localSheetId="4">прилож3/1000</definedName>
    <definedName name="пппппп" localSheetId="5">прилож3/1000</definedName>
    <definedName name="пппппп" localSheetId="11">прилож3/1000</definedName>
    <definedName name="пппппп">прилож3/1000</definedName>
    <definedName name="ппр">#N/A</definedName>
    <definedName name="пр" localSheetId="4">#REF!</definedName>
    <definedName name="пр" localSheetId="5">#REF!</definedName>
    <definedName name="пр" localSheetId="11">#REF!</definedName>
    <definedName name="пр">#REF!</definedName>
    <definedName name="Представи2011" localSheetId="4">MATCH(0.01,End_Bal,-1)+1</definedName>
    <definedName name="Представи2011" localSheetId="5">MATCH(0.01,End_Bal,-1)+1</definedName>
    <definedName name="Представи2011" localSheetId="11">MATCH(0.01,list12!End_Bal,-1)+1</definedName>
    <definedName name="Представи2011">MATCH(0.01,End_Bal,-1)+1</definedName>
    <definedName name="Прил3" localSheetId="3">[0]!прилож3/1000</definedName>
    <definedName name="Прил3" localSheetId="4">[0]!прилож3/1000</definedName>
    <definedName name="Прил3" localSheetId="5">[0]!прилож3/1000</definedName>
    <definedName name="Прил3" localSheetId="11">[0]!прилож3/1000</definedName>
    <definedName name="Прил3">[0]!прилож3/1000</definedName>
    <definedName name="Прил5" localSheetId="3">дел/1000</definedName>
    <definedName name="Прил5" localSheetId="4">дел/1000</definedName>
    <definedName name="Прил5" localSheetId="5">дел/1000</definedName>
    <definedName name="Прил5" localSheetId="11">дел/1000</definedName>
    <definedName name="Прил5">дел/1000</definedName>
    <definedName name="приложение" localSheetId="3">дел/1000</definedName>
    <definedName name="приложение" localSheetId="4">дел/1000</definedName>
    <definedName name="приложение" localSheetId="5">дел/1000</definedName>
    <definedName name="приложение" localSheetId="11">дел/1000</definedName>
    <definedName name="приложение">дел/1000</definedName>
    <definedName name="ПРИХ">35000</definedName>
    <definedName name="про" localSheetId="4">#REF!</definedName>
    <definedName name="про" localSheetId="5">#REF!</definedName>
    <definedName name="про" localSheetId="11">#REF!</definedName>
    <definedName name="про">#REF!</definedName>
    <definedName name="Прог" localSheetId="4">TRUNC((oy-1)/3+1)</definedName>
    <definedName name="Прог" localSheetId="5">TRUNC((oy-1)/3+1)</definedName>
    <definedName name="Прог" localSheetId="11">TRUNC((oy-1)/3+1)</definedName>
    <definedName name="Прог">TRUNC((oy-1)/3+1)</definedName>
    <definedName name="ПРОГНОЗНЫЕ_ПАРАМЕТРЫ_РАСХОДОВ" localSheetId="4">#REF!</definedName>
    <definedName name="ПРОГНОЗНЫЕ_ПАРАМЕТРЫ_РАСХОДОВ" localSheetId="5">#REF!</definedName>
    <definedName name="ПРОГНОЗНЫЕ_ПАРАМЕТРЫ_РАСХОДОВ" localSheetId="11">#REF!</definedName>
    <definedName name="ПРОГНОЗНЫЕ_ПАРАМЕТРЫ_РАСХОДОВ">#REF!</definedName>
    <definedName name="программа" localSheetId="4">TRUNC((oy-1)/3+1)</definedName>
    <definedName name="программа" localSheetId="5">TRUNC((oy-1)/3+1)</definedName>
    <definedName name="программа" localSheetId="11">TRUNC((oy-1)/3+1)</definedName>
    <definedName name="программа">TRUNC((oy-1)/3+1)</definedName>
    <definedName name="прок" localSheetId="4">#REF!</definedName>
    <definedName name="прок" localSheetId="5">#REF!</definedName>
    <definedName name="прок" localSheetId="11">#REF!</definedName>
    <definedName name="прок">#REF!</definedName>
    <definedName name="ПРОМ" localSheetId="4" hidden="1">#REF!</definedName>
    <definedName name="ПРОМ" localSheetId="5" hidden="1">#REF!</definedName>
    <definedName name="ПРОМ" localSheetId="11" hidden="1">#REF!</definedName>
    <definedName name="ПРОМ" hidden="1">#REF!</definedName>
    <definedName name="пром2" localSheetId="4">TRUNC((oy-1)/3+1)</definedName>
    <definedName name="пром2" localSheetId="5">TRUNC((oy-1)/3+1)</definedName>
    <definedName name="пром2" localSheetId="11">TRUNC((oy-1)/3+1)</definedName>
    <definedName name="пром2">TRUNC((oy-1)/3+1)</definedName>
    <definedName name="проч" localSheetId="4">TRUNC((oy-1)/3+1)</definedName>
    <definedName name="проч" localSheetId="5">TRUNC((oy-1)/3+1)</definedName>
    <definedName name="проч" localSheetId="11">TRUNC((oy-1)/3+1)</definedName>
    <definedName name="проч">TRUNC((oy-1)/3+1)</definedName>
    <definedName name="прпрпр" localSheetId="4">TRUNC((oy-1)/3+1)</definedName>
    <definedName name="прпрпр" localSheetId="5">TRUNC((oy-1)/3+1)</definedName>
    <definedName name="прпрпр" localSheetId="11">TRUNC((oy-1)/3+1)</definedName>
    <definedName name="прпрпр">TRUNC((oy-1)/3+1)</definedName>
    <definedName name="прпрпрпр" localSheetId="4">#REF!</definedName>
    <definedName name="прпрпрпр" localSheetId="5">#REF!</definedName>
    <definedName name="прпрпрпр" localSheetId="11">#REF!</definedName>
    <definedName name="прпрпрпр">#REF!</definedName>
    <definedName name="прпрпрпрпрпрпрпрпрп" localSheetId="4" hidden="1">{"'Monthly 1997'!$A$3:$S$89"}</definedName>
    <definedName name="прпрпрпрпрпрпрпрпрп" localSheetId="5" hidden="1">{"'Monthly 1997'!$A$3:$S$89"}</definedName>
    <definedName name="прпрпрпрпрпрпрпрпрп" localSheetId="11" hidden="1">{"'Monthly 1997'!$A$3:$S$89"}</definedName>
    <definedName name="прпрпрпрпрпрпрпрпрп" hidden="1">{"'Monthly 1997'!$A$3:$S$89"}</definedName>
    <definedName name="прро" localSheetId="11">#REF!</definedName>
    <definedName name="прро">#REF!</definedName>
    <definedName name="псб" localSheetId="11">#REF!</definedName>
    <definedName name="псб">#REF!</definedName>
    <definedName name="р" localSheetId="11">#REF!</definedName>
    <definedName name="р">#REF!</definedName>
    <definedName name="район" localSheetId="4">{30,140,350,160,"",""}</definedName>
    <definedName name="район" localSheetId="5">{30,140,350,160,"",""}</definedName>
    <definedName name="район" localSheetId="11">{30,140,350,160,"",""}</definedName>
    <definedName name="район">{30,140,350,160,"",""}</definedName>
    <definedName name="рассмотрительная2" localSheetId="4">#REF!</definedName>
    <definedName name="рассмотрительная2" localSheetId="5">#REF!</definedName>
    <definedName name="рассмотрительная2" localSheetId="11">#REF!</definedName>
    <definedName name="рассмотрительная2">#REF!</definedName>
    <definedName name="РАСХ">0</definedName>
    <definedName name="Расход_2004_Лист3__2__Таблица" localSheetId="4">#REF!</definedName>
    <definedName name="Расход_2004_Лист3__2__Таблица" localSheetId="5">#REF!</definedName>
    <definedName name="Расход_2004_Лист3__2__Таблица" localSheetId="11">#REF!</definedName>
    <definedName name="Расход_2004_Лист3__2__Таблица">#REF!</definedName>
    <definedName name="Расход_2004_Лист3__2__Таблица1" localSheetId="4">#REF!</definedName>
    <definedName name="Расход_2004_Лист3__2__Таблица1" localSheetId="5">#REF!</definedName>
    <definedName name="Расход_2004_Лист3__2__Таблица1" localSheetId="11">#REF!</definedName>
    <definedName name="Расход_2004_Лист3__2__Таблица1">#REF!</definedName>
    <definedName name="Расход_2004_Лист3__2__Таблица2" localSheetId="4">#REF!,#REF!</definedName>
    <definedName name="Расход_2004_Лист3__2__Таблица2" localSheetId="5">#REF!,#REF!</definedName>
    <definedName name="Расход_2004_Лист3__2__Таблица2" localSheetId="11">#REF!,#REF!</definedName>
    <definedName name="Расход_2004_Лист3__2__Таблица2">#REF!,#REF!</definedName>
    <definedName name="расчет" localSheetId="3">дел/1000</definedName>
    <definedName name="расчет" localSheetId="4">дел/1000</definedName>
    <definedName name="расчет" localSheetId="5">дел/1000</definedName>
    <definedName name="расчет" localSheetId="11">дел/1000</definedName>
    <definedName name="расчет">дел/1000</definedName>
    <definedName name="расчета">36465</definedName>
    <definedName name="Рахбарга" localSheetId="4">#REF!</definedName>
    <definedName name="Рахбарга" localSheetId="5">#REF!</definedName>
    <definedName name="Рахбарга" localSheetId="11">#REF!</definedName>
    <definedName name="Рахбарга">#REF!</definedName>
    <definedName name="рег" localSheetId="4">#REF!</definedName>
    <definedName name="рег" localSheetId="5">#REF!</definedName>
    <definedName name="рег" localSheetId="11">#REF!</definedName>
    <definedName name="рег">#REF!</definedName>
    <definedName name="рег_1" localSheetId="4">#REF!</definedName>
    <definedName name="рег_1" localSheetId="5">#REF!</definedName>
    <definedName name="рег_1" localSheetId="11">#REF!</definedName>
    <definedName name="рег_1">#REF!</definedName>
    <definedName name="рег_2" localSheetId="11">#REF!</definedName>
    <definedName name="рег_2">#REF!</definedName>
    <definedName name="рег1" localSheetId="11">#REF!</definedName>
    <definedName name="рег1">#REF!</definedName>
    <definedName name="рег2" localSheetId="11">#REF!</definedName>
    <definedName name="рег2">#REF!</definedName>
    <definedName name="рег22222" localSheetId="11">#REF!</definedName>
    <definedName name="рег22222">#REF!</definedName>
    <definedName name="рег5" localSheetId="11">#REF!</definedName>
    <definedName name="рег5">#REF!</definedName>
    <definedName name="режа" localSheetId="4">{30,140,350,160,"",""}</definedName>
    <definedName name="режа" localSheetId="5">{30,140,350,160,"",""}</definedName>
    <definedName name="режа" localSheetId="11">{30,140,350,160,"",""}</definedName>
    <definedName name="режа">{30,140,350,160,"",""}</definedName>
    <definedName name="Рек" localSheetId="4">#REF!</definedName>
    <definedName name="Рек" localSheetId="5">#REF!</definedName>
    <definedName name="Рек" localSheetId="11">#REF!</definedName>
    <definedName name="Рек">#REF!</definedName>
    <definedName name="рек.эс" localSheetId="4">#REF!</definedName>
    <definedName name="рек.эс" localSheetId="5">#REF!</definedName>
    <definedName name="рек.эс" localSheetId="11">#REF!</definedName>
    <definedName name="рек.эс">#REF!</definedName>
    <definedName name="_xlnm.Recorder" localSheetId="4">#REF!</definedName>
    <definedName name="_xlnm.Recorder" localSheetId="5">#REF!</definedName>
    <definedName name="_xlnm.Recorder" localSheetId="11">#REF!</definedName>
    <definedName name="_xlnm.Recorder">#REF!</definedName>
    <definedName name="рес" localSheetId="4">TRUNC((oy-1)/3+1)</definedName>
    <definedName name="рес" localSheetId="5">TRUNC((oy-1)/3+1)</definedName>
    <definedName name="рес" localSheetId="11">TRUNC((oy-1)/3+1)</definedName>
    <definedName name="рес">TRUNC((oy-1)/3+1)</definedName>
    <definedName name="респ" localSheetId="4">TRUNC((oy-1)/3+1)</definedName>
    <definedName name="респ" localSheetId="5">TRUNC((oy-1)/3+1)</definedName>
    <definedName name="респ" localSheetId="11">TRUNC((oy-1)/3+1)</definedName>
    <definedName name="респ">TRUNC((oy-1)/3+1)</definedName>
    <definedName name="рлр" localSheetId="4">TRUNC((oy-1)/3+1)</definedName>
    <definedName name="рлр" localSheetId="5">TRUNC((oy-1)/3+1)</definedName>
    <definedName name="рлр" localSheetId="11">TRUNC((oy-1)/3+1)</definedName>
    <definedName name="рлр">TRUNC((oy-1)/3+1)</definedName>
    <definedName name="роол" localSheetId="4">#REF!</definedName>
    <definedName name="роол" localSheetId="5">#REF!</definedName>
    <definedName name="роол" localSheetId="11">#REF!</definedName>
    <definedName name="роол">#REF!</definedName>
    <definedName name="роопропроп" localSheetId="4">TRUNC((oy-1)/3+1)</definedName>
    <definedName name="роопропроп" localSheetId="5">TRUNC((oy-1)/3+1)</definedName>
    <definedName name="роопропроп" localSheetId="11">TRUNC((oy-1)/3+1)</definedName>
    <definedName name="роопропроп">TRUNC((oy-1)/3+1)</definedName>
    <definedName name="ропо" localSheetId="4">{30,140,350,160,"",""}</definedName>
    <definedName name="ропо" localSheetId="5">{30,140,350,160,"",""}</definedName>
    <definedName name="ропо" localSheetId="11">{30,140,350,160,"",""}</definedName>
    <definedName name="ропо">{30,140,350,160,"",""}</definedName>
    <definedName name="рорпрр" localSheetId="4">{30,140,350,160,"",""}</definedName>
    <definedName name="рорпрр" localSheetId="5">{30,140,350,160,"",""}</definedName>
    <definedName name="рорпрр" localSheetId="11">{30,140,350,160,"",""}</definedName>
    <definedName name="рорпрр">{30,140,350,160,"",""}</definedName>
    <definedName name="рорро" localSheetId="4" hidden="1">{#N/A,#N/A,FALSE,"BODY"}</definedName>
    <definedName name="рорро" localSheetId="5" hidden="1">{#N/A,#N/A,FALSE,"BODY"}</definedName>
    <definedName name="рорро" localSheetId="11" hidden="1">{#N/A,#N/A,FALSE,"BODY"}</definedName>
    <definedName name="рорро" hidden="1">{#N/A,#N/A,FALSE,"BODY"}</definedName>
    <definedName name="рпаврпаравравр" localSheetId="4">#REF!</definedName>
    <definedName name="рпаврпаравравр" localSheetId="5">#REF!</definedName>
    <definedName name="рпаврпаравравр" localSheetId="11">#REF!</definedName>
    <definedName name="рпаврпаравравр">#REF!</definedName>
    <definedName name="рполпролпол" localSheetId="4">#REF!</definedName>
    <definedName name="рполпролпол" localSheetId="5">#REF!</definedName>
    <definedName name="рполпролпол" localSheetId="11">#REF!</definedName>
    <definedName name="рполпролпол">#REF!</definedName>
    <definedName name="РПРПРРПР" localSheetId="4">#REF!</definedName>
    <definedName name="РПРПРРПР" localSheetId="5">#REF!</definedName>
    <definedName name="РПРПРРПР" localSheetId="11">#REF!</definedName>
    <definedName name="РПРПРРПР">#REF!</definedName>
    <definedName name="рр" localSheetId="4" hidden="1">{#N/A,#N/A,TRUE,"일정"}</definedName>
    <definedName name="рр" localSheetId="5" hidden="1">{#N/A,#N/A,TRUE,"일정"}</definedName>
    <definedName name="рр" localSheetId="11" hidden="1">{#N/A,#N/A,TRUE,"일정"}</definedName>
    <definedName name="рр" hidden="1">{#N/A,#N/A,TRUE,"일정"}</definedName>
    <definedName name="ррпррапр" localSheetId="4">{30,140,350,160,"",""}</definedName>
    <definedName name="ррпррапр" localSheetId="5">{30,140,350,160,"",""}</definedName>
    <definedName name="ррпррапр" localSheetId="11">{30,140,350,160,"",""}</definedName>
    <definedName name="ррпррапр">{30,140,350,160,"",""}</definedName>
    <definedName name="ррр" localSheetId="4">#REF!</definedName>
    <definedName name="ррр" localSheetId="5">#REF!</definedName>
    <definedName name="ррр" localSheetId="11">#REF!</definedName>
    <definedName name="ррр">#REF!</definedName>
    <definedName name="рррррр" localSheetId="3">[0]!дел/1000</definedName>
    <definedName name="рррррр" localSheetId="4">[0]!дел/1000</definedName>
    <definedName name="рррррр" localSheetId="5">[0]!дел/1000</definedName>
    <definedName name="рррррр" localSheetId="11">[0]!дел/1000</definedName>
    <definedName name="рррррр">[0]!дел/1000</definedName>
    <definedName name="ррррррррррр" localSheetId="3">прилож3/1000</definedName>
    <definedName name="ррррррррррр" localSheetId="4">прилож3/1000</definedName>
    <definedName name="ррррррррррр" localSheetId="5">прилож3/1000</definedName>
    <definedName name="ррррррррррр" localSheetId="11">прилож3/1000</definedName>
    <definedName name="ррррррррррр">прилож3/1000</definedName>
    <definedName name="рфььук" localSheetId="3">дел/1000</definedName>
    <definedName name="рфььук" localSheetId="4">дел/1000</definedName>
    <definedName name="рфььук" localSheetId="5">дел/1000</definedName>
    <definedName name="рфььук" localSheetId="11">дел/1000</definedName>
    <definedName name="рфььук">дел/1000</definedName>
    <definedName name="рыва" localSheetId="4">#REF!</definedName>
    <definedName name="рыва" localSheetId="5">#REF!</definedName>
    <definedName name="рыва" localSheetId="11">#REF!</definedName>
    <definedName name="рыва">#REF!</definedName>
    <definedName name="рывр" localSheetId="4">#REF!</definedName>
    <definedName name="рывр" localSheetId="5">#REF!</definedName>
    <definedName name="рывр" localSheetId="11">#REF!</definedName>
    <definedName name="рывр">#REF!</definedName>
    <definedName name="с" localSheetId="4" hidden="1">#REF!</definedName>
    <definedName name="с" localSheetId="5" hidden="1">#REF!</definedName>
    <definedName name="с" localSheetId="11" hidden="1">#REF!</definedName>
    <definedName name="с" hidden="1">#REF!</definedName>
    <definedName name="С29" localSheetId="11">#REF!</definedName>
    <definedName name="С29">#REF!</definedName>
    <definedName name="с519" localSheetId="11">#REF!</definedName>
    <definedName name="с519">#REF!</definedName>
    <definedName name="с52" localSheetId="11">#REF!</definedName>
    <definedName name="с52">#REF!</definedName>
    <definedName name="с86" localSheetId="11">#REF!</definedName>
    <definedName name="с86">#REF!</definedName>
    <definedName name="сам" localSheetId="4">{30,140,350,160,"",""}</definedName>
    <definedName name="сам" localSheetId="5">{30,140,350,160,"",""}</definedName>
    <definedName name="сам" localSheetId="11">{30,140,350,160,"",""}</definedName>
    <definedName name="сам">{30,140,350,160,"",""}</definedName>
    <definedName name="Самигову" localSheetId="4">#REF!</definedName>
    <definedName name="Самигову" localSheetId="5">#REF!</definedName>
    <definedName name="Самигову" localSheetId="11">#REF!</definedName>
    <definedName name="Самигову">#REF!</definedName>
    <definedName name="Санжар" localSheetId="4">{30,140,350,160,"",""}</definedName>
    <definedName name="Санжар" localSheetId="5">{30,140,350,160,"",""}</definedName>
    <definedName name="Санжар" localSheetId="11">{30,140,350,160,"",""}</definedName>
    <definedName name="Санжар">{30,140,350,160,"",""}</definedName>
    <definedName name="Св" localSheetId="3">дел/1000</definedName>
    <definedName name="Св" localSheetId="4">дел/1000</definedName>
    <definedName name="Св" localSheetId="5">дел/1000</definedName>
    <definedName name="Св" localSheetId="11">дел/1000</definedName>
    <definedName name="Св">дел/1000</definedName>
    <definedName name="свод" localSheetId="4">#REF!,#REF!,#REF!</definedName>
    <definedName name="свод" localSheetId="5">#REF!,#REF!,#REF!</definedName>
    <definedName name="свод" localSheetId="11">#REF!,#REF!,#REF!</definedName>
    <definedName name="свод">#REF!,#REF!,#REF!</definedName>
    <definedName name="свод_кор" localSheetId="3">дел/1000</definedName>
    <definedName name="свод_кор" localSheetId="4">дел/1000</definedName>
    <definedName name="свод_кор" localSheetId="5">дел/1000</definedName>
    <definedName name="свод_кор" localSheetId="11">дел/1000</definedName>
    <definedName name="свод_кор">дел/1000</definedName>
    <definedName name="сводка" localSheetId="4">{30,140,350,160,"",""}</definedName>
    <definedName name="сводка" localSheetId="5">{30,140,350,160,"",""}</definedName>
    <definedName name="сводка" localSheetId="11">{30,140,350,160,"",""}</definedName>
    <definedName name="сводка">{30,140,350,160,"",""}</definedName>
    <definedName name="свока" localSheetId="4">#REF!</definedName>
    <definedName name="свока" localSheetId="5">#REF!</definedName>
    <definedName name="свока" localSheetId="11">#REF!</definedName>
    <definedName name="свока">#REF!</definedName>
    <definedName name="себестоимость_внут.рын._долл" localSheetId="4">#REF!</definedName>
    <definedName name="себестоимость_внут.рын._долл" localSheetId="5">#REF!</definedName>
    <definedName name="себестоимость_внут.рын._долл" localSheetId="11">#REF!</definedName>
    <definedName name="себестоимость_внут.рын._долл">#REF!</definedName>
    <definedName name="себестоимость_внут.рын._сум" localSheetId="4">#REF!</definedName>
    <definedName name="себестоимость_внут.рын._сум" localSheetId="5">#REF!</definedName>
    <definedName name="себестоимость_внут.рын._сум" localSheetId="11">#REF!</definedName>
    <definedName name="себестоимость_внут.рын._сум">#REF!</definedName>
    <definedName name="себестоимость_экспорт_долл" localSheetId="11">#REF!</definedName>
    <definedName name="себестоимость_экспорт_долл">#REF!</definedName>
    <definedName name="себестоимость_экспорт_сум" localSheetId="11">#REF!</definedName>
    <definedName name="себестоимость_экспорт_сум">#REF!</definedName>
    <definedName name="себестоимость2" localSheetId="11">#REF!</definedName>
    <definedName name="себестоимость2">#REF!</definedName>
    <definedName name="сел" localSheetId="4">{30,140,350,160,"",""}</definedName>
    <definedName name="сел" localSheetId="5">{30,140,350,160,"",""}</definedName>
    <definedName name="сел" localSheetId="11">{30,140,350,160,"",""}</definedName>
    <definedName name="сел">{30,140,350,160,"",""}</definedName>
    <definedName name="Сельхоз" localSheetId="4">#REF!</definedName>
    <definedName name="Сельхоз" localSheetId="5">#REF!</definedName>
    <definedName name="Сельхоз" localSheetId="11">#REF!</definedName>
    <definedName name="Сельхоз">#REF!</definedName>
    <definedName name="Сентябрь" localSheetId="4">#REF!</definedName>
    <definedName name="Сентябрь" localSheetId="5">#REF!</definedName>
    <definedName name="Сентябрь" localSheetId="11">#REF!</definedName>
    <definedName name="Сентябрь">#REF!</definedName>
    <definedName name="см">#N/A</definedName>
    <definedName name="смавввсмсм" localSheetId="4">{30,140,350,160,"",""}</definedName>
    <definedName name="смавввсмсм" localSheetId="5">{30,140,350,160,"",""}</definedName>
    <definedName name="смавввсмсм" localSheetId="11">{30,140,350,160,"",""}</definedName>
    <definedName name="смавввсмсм">{30,140,350,160,"",""}</definedName>
    <definedName name="смимими" localSheetId="4">{30,140,350,160,"",""}</definedName>
    <definedName name="смимими" localSheetId="5">{30,140,350,160,"",""}</definedName>
    <definedName name="смимими" localSheetId="11">{30,140,350,160,"",""}</definedName>
    <definedName name="смимими">{30,140,350,160,"",""}</definedName>
    <definedName name="сокр">#N/A</definedName>
    <definedName name="сопос" localSheetId="4">#REF!</definedName>
    <definedName name="сопос" localSheetId="5">#REF!</definedName>
    <definedName name="сопос" localSheetId="11">#REF!</definedName>
    <definedName name="сопос">#REF!</definedName>
    <definedName name="сохалар" localSheetId="4" hidden="1">#REF!</definedName>
    <definedName name="сохалар" localSheetId="5" hidden="1">#REF!</definedName>
    <definedName name="сохалар" localSheetId="11" hidden="1">#REF!</definedName>
    <definedName name="сохалар" hidden="1">#REF!</definedName>
    <definedName name="спирт" localSheetId="4">IF(list05!Loan_Amount*list05!Interest_Rate*list05!Loan_Years*list05!Loan_Start&gt;0,1,0)</definedName>
    <definedName name="спирт" localSheetId="5">IF(list06!Loan_Amount*list06!Interest_Rate*list06!Loan_Years*list06!Loan_Start&gt;0,1,0)</definedName>
    <definedName name="спирт" localSheetId="11">IF(list12!Loan_Amount*list12!Interest_Rate*list12!Loan_Years*list12!Loan_Start&gt;0,1,0)</definedName>
    <definedName name="спирт">IF(Loan_Amount*Interest_Rate*Loan_Years*Loan_Start&gt;0,1,0)</definedName>
    <definedName name="спн" localSheetId="4">#REF!</definedName>
    <definedName name="спн" localSheetId="5">#REF!</definedName>
    <definedName name="спн" localSheetId="11">#REF!</definedName>
    <definedName name="спн">#REF!</definedName>
    <definedName name="Спорт" localSheetId="4">#REF!</definedName>
    <definedName name="Спорт" localSheetId="5">#REF!</definedName>
    <definedName name="Спорт" localSheetId="11">#REF!</definedName>
    <definedName name="Спорт">#REF!</definedName>
    <definedName name="Спортлар" localSheetId="4">#REF!</definedName>
    <definedName name="Спортлар" localSheetId="5">#REF!</definedName>
    <definedName name="Спортлар" localSheetId="11">#REF!</definedName>
    <definedName name="Спортлар">#REF!</definedName>
    <definedName name="справочник" localSheetId="11">#REF!</definedName>
    <definedName name="справочник">#REF!</definedName>
    <definedName name="Срок" localSheetId="11">#REF!</definedName>
    <definedName name="Срок">#REF!</definedName>
    <definedName name="срочно" localSheetId="11">#REF!</definedName>
    <definedName name="срочно">#REF!</definedName>
    <definedName name="Сртук_ДАгр" localSheetId="4">#REF!,#REF!,#REF!,#REF!,#REF!,#REF!,#REF!,#REF!,#REF!</definedName>
    <definedName name="Сртук_ДАгр" localSheetId="5">#REF!,#REF!,#REF!,#REF!,#REF!,#REF!,#REF!,#REF!,#REF!</definedName>
    <definedName name="Сртук_ДАгр" localSheetId="11">#REF!,#REF!,#REF!,#REF!,#REF!,#REF!,#REF!,#REF!,#REF!</definedName>
    <definedName name="Сртук_ДАгр">#REF!,#REF!,#REF!,#REF!,#REF!,#REF!,#REF!,#REF!,#REF!</definedName>
    <definedName name="сс" localSheetId="4">#REF!</definedName>
    <definedName name="сс" localSheetId="5">#REF!</definedName>
    <definedName name="сс" localSheetId="11">#REF!</definedName>
    <definedName name="сс">#REF!</definedName>
    <definedName name="сс1" localSheetId="4" hidden="1">{"'Monthly 1997'!$A$3:$S$89"}</definedName>
    <definedName name="сс1" localSheetId="5" hidden="1">{"'Monthly 1997'!$A$3:$S$89"}</definedName>
    <definedName name="сс1" localSheetId="11" hidden="1">{"'Monthly 1997'!$A$3:$S$89"}</definedName>
    <definedName name="сс1" hidden="1">{"'Monthly 1997'!$A$3:$S$89"}</definedName>
    <definedName name="сс2" localSheetId="4" hidden="1">{"'Monthly 1997'!$A$3:$S$89"}</definedName>
    <definedName name="сс2" localSheetId="5" hidden="1">{"'Monthly 1997'!$A$3:$S$89"}</definedName>
    <definedName name="сс2" localSheetId="11" hidden="1">{"'Monthly 1997'!$A$3:$S$89"}</definedName>
    <definedName name="сс2" hidden="1">{"'Monthly 1997'!$A$3:$S$89"}</definedName>
    <definedName name="ссмсмва" localSheetId="4">{30,140,350,160,"",""}</definedName>
    <definedName name="ссмсмва" localSheetId="5">{30,140,350,160,"",""}</definedName>
    <definedName name="ссмсмва" localSheetId="11">{30,140,350,160,"",""}</definedName>
    <definedName name="ссмсмва">{30,140,350,160,"",""}</definedName>
    <definedName name="ссмсчисисисим" localSheetId="4">{30,140,350,160,"",""}</definedName>
    <definedName name="ссмсчисисисим" localSheetId="5">{30,140,350,160,"",""}</definedName>
    <definedName name="ссмсчисисисим" localSheetId="11">{30,140,350,160,"",""}</definedName>
    <definedName name="ссмсчисисисим">{30,140,350,160,"",""}</definedName>
    <definedName name="ставка_05_2_1" localSheetId="4">#REF!</definedName>
    <definedName name="ставка_05_2_1" localSheetId="5">#REF!</definedName>
    <definedName name="ставка_05_2_1" localSheetId="11">#REF!</definedName>
    <definedName name="ставка_05_2_1">#REF!</definedName>
    <definedName name="ставка_05_2_10" localSheetId="4">#REF!</definedName>
    <definedName name="ставка_05_2_10" localSheetId="5">#REF!</definedName>
    <definedName name="ставка_05_2_10" localSheetId="11">#REF!</definedName>
    <definedName name="ставка_05_2_10">#REF!</definedName>
    <definedName name="ставка_05_2_2" localSheetId="4">#REF!</definedName>
    <definedName name="ставка_05_2_2" localSheetId="5">#REF!</definedName>
    <definedName name="ставка_05_2_2" localSheetId="11">#REF!</definedName>
    <definedName name="ставка_05_2_2">#REF!</definedName>
    <definedName name="ставка_05_2_3" localSheetId="11">#REF!</definedName>
    <definedName name="ставка_05_2_3">#REF!</definedName>
    <definedName name="ставка_05_2_4" localSheetId="11">#REF!</definedName>
    <definedName name="ставка_05_2_4">#REF!</definedName>
    <definedName name="ставка_05_2_5" localSheetId="11">#REF!</definedName>
    <definedName name="ставка_05_2_5">#REF!</definedName>
    <definedName name="ставка_05_2_6" localSheetId="11">#REF!</definedName>
    <definedName name="ставка_05_2_6">#REF!</definedName>
    <definedName name="ставка_05_2_7" localSheetId="11">#REF!</definedName>
    <definedName name="ставка_05_2_7">#REF!</definedName>
    <definedName name="ставка_05_2_8" localSheetId="11">#REF!</definedName>
    <definedName name="ставка_05_2_8">#REF!</definedName>
    <definedName name="ставка_05_2_9" localSheetId="11">#REF!</definedName>
    <definedName name="ставка_05_2_9">#REF!</definedName>
    <definedName name="ставка_05_3_1" localSheetId="11">#REF!</definedName>
    <definedName name="ставка_05_3_1">#REF!</definedName>
    <definedName name="ставка_05_3_10" localSheetId="11">#REF!</definedName>
    <definedName name="ставка_05_3_10">#REF!</definedName>
    <definedName name="ставка_05_3_2" localSheetId="11">#REF!</definedName>
    <definedName name="ставка_05_3_2">#REF!</definedName>
    <definedName name="ставка_05_3_3" localSheetId="11">#REF!</definedName>
    <definedName name="ставка_05_3_3">#REF!</definedName>
    <definedName name="ставка_05_3_4" localSheetId="11">#REF!</definedName>
    <definedName name="ставка_05_3_4">#REF!</definedName>
    <definedName name="ставка_05_3_5" localSheetId="11">#REF!</definedName>
    <definedName name="ставка_05_3_5">#REF!</definedName>
    <definedName name="ставка_05_3_6" localSheetId="11">#REF!</definedName>
    <definedName name="ставка_05_3_6">#REF!</definedName>
    <definedName name="ставка_05_3_7" localSheetId="11">#REF!</definedName>
    <definedName name="ставка_05_3_7">#REF!</definedName>
    <definedName name="ставка_05_3_8" localSheetId="11">#REF!</definedName>
    <definedName name="ставка_05_3_8">#REF!</definedName>
    <definedName name="ставка_05_3_9" localSheetId="11">#REF!</definedName>
    <definedName name="ставка_05_3_9">#REF!</definedName>
    <definedName name="ставка_06_2_1" localSheetId="11">#REF!</definedName>
    <definedName name="ставка_06_2_1">#REF!</definedName>
    <definedName name="ставка_06_2_10" localSheetId="11">#REF!</definedName>
    <definedName name="ставка_06_2_10">#REF!</definedName>
    <definedName name="ставка_06_2_2" localSheetId="11">#REF!</definedName>
    <definedName name="ставка_06_2_2">#REF!</definedName>
    <definedName name="ставка_06_2_3" localSheetId="11">#REF!</definedName>
    <definedName name="ставка_06_2_3">#REF!</definedName>
    <definedName name="ставка_06_2_4" localSheetId="11">#REF!</definedName>
    <definedName name="ставка_06_2_4">#REF!</definedName>
    <definedName name="ставка_06_2_5" localSheetId="11">#REF!</definedName>
    <definedName name="ставка_06_2_5">#REF!</definedName>
    <definedName name="ставка_06_2_6" localSheetId="11">#REF!</definedName>
    <definedName name="ставка_06_2_6">#REF!</definedName>
    <definedName name="ставка_06_2_7" localSheetId="11">#REF!</definedName>
    <definedName name="ставка_06_2_7">#REF!</definedName>
    <definedName name="ставка_06_2_8" localSheetId="11">#REF!</definedName>
    <definedName name="ставка_06_2_8">#REF!</definedName>
    <definedName name="ставка_06_2_9" localSheetId="11">#REF!</definedName>
    <definedName name="ставка_06_2_9">#REF!</definedName>
    <definedName name="ставка_06_3_1" localSheetId="11">#REF!</definedName>
    <definedName name="ставка_06_3_1">#REF!</definedName>
    <definedName name="ставка_06_3_10" localSheetId="11">#REF!</definedName>
    <definedName name="ставка_06_3_10">#REF!</definedName>
    <definedName name="ставка_06_3_2" localSheetId="11">#REF!</definedName>
    <definedName name="ставка_06_3_2">#REF!</definedName>
    <definedName name="ставка_06_3_3" localSheetId="11">#REF!</definedName>
    <definedName name="ставка_06_3_3">#REF!</definedName>
    <definedName name="ставка_06_3_4" localSheetId="11">#REF!</definedName>
    <definedName name="ставка_06_3_4">#REF!</definedName>
    <definedName name="ставка_06_3_5" localSheetId="11">#REF!</definedName>
    <definedName name="ставка_06_3_5">#REF!</definedName>
    <definedName name="ставка_06_3_6" localSheetId="11">#REF!</definedName>
    <definedName name="ставка_06_3_6">#REF!</definedName>
    <definedName name="ставка_06_3_7" localSheetId="11">#REF!</definedName>
    <definedName name="ставка_06_3_7">#REF!</definedName>
    <definedName name="ставка_06_3_8" localSheetId="11">#REF!</definedName>
    <definedName name="ставка_06_3_8">#REF!</definedName>
    <definedName name="ставка_06_3_9" localSheetId="11">#REF!</definedName>
    <definedName name="ставка_06_3_9">#REF!</definedName>
    <definedName name="ставка_07_2_1" localSheetId="11">#REF!</definedName>
    <definedName name="ставка_07_2_1">#REF!</definedName>
    <definedName name="ставка_07_2_10" localSheetId="11">#REF!</definedName>
    <definedName name="ставка_07_2_10">#REF!</definedName>
    <definedName name="ставка_07_2_2" localSheetId="11">#REF!</definedName>
    <definedName name="ставка_07_2_2">#REF!</definedName>
    <definedName name="ставка_07_2_3" localSheetId="11">#REF!</definedName>
    <definedName name="ставка_07_2_3">#REF!</definedName>
    <definedName name="ставка_07_2_4" localSheetId="11">#REF!</definedName>
    <definedName name="ставка_07_2_4">#REF!</definedName>
    <definedName name="ставка_07_2_5" localSheetId="11">#REF!</definedName>
    <definedName name="ставка_07_2_5">#REF!</definedName>
    <definedName name="ставка_07_2_6" localSheetId="11">#REF!</definedName>
    <definedName name="ставка_07_2_6">#REF!</definedName>
    <definedName name="ставка_07_2_7" localSheetId="11">#REF!</definedName>
    <definedName name="ставка_07_2_7">#REF!</definedName>
    <definedName name="ставка_07_2_8" localSheetId="11">#REF!</definedName>
    <definedName name="ставка_07_2_8">#REF!</definedName>
    <definedName name="ставка_07_2_9" localSheetId="11">#REF!</definedName>
    <definedName name="ставка_07_2_9">#REF!</definedName>
    <definedName name="ставка_07_3_1" localSheetId="11">#REF!</definedName>
    <definedName name="ставка_07_3_1">#REF!</definedName>
    <definedName name="ставка_07_3_10" localSheetId="11">#REF!</definedName>
    <definedName name="ставка_07_3_10">#REF!</definedName>
    <definedName name="ставка_07_3_2" localSheetId="11">#REF!</definedName>
    <definedName name="ставка_07_3_2">#REF!</definedName>
    <definedName name="ставка_07_3_3" localSheetId="11">#REF!</definedName>
    <definedName name="ставка_07_3_3">#REF!</definedName>
    <definedName name="ставка_07_3_4" localSheetId="11">#REF!</definedName>
    <definedName name="ставка_07_3_4">#REF!</definedName>
    <definedName name="ставка_07_3_5" localSheetId="11">#REF!</definedName>
    <definedName name="ставка_07_3_5">#REF!</definedName>
    <definedName name="ставка_07_3_6" localSheetId="11">#REF!</definedName>
    <definedName name="ставка_07_3_6">#REF!</definedName>
    <definedName name="ставка_07_3_7" localSheetId="11">#REF!</definedName>
    <definedName name="ставка_07_3_7">#REF!</definedName>
    <definedName name="ставка_07_3_8" localSheetId="11">#REF!</definedName>
    <definedName name="ставка_07_3_8">#REF!</definedName>
    <definedName name="ставка_07_3_9" localSheetId="11">#REF!</definedName>
    <definedName name="ставка_07_3_9">#REF!</definedName>
    <definedName name="Ставки2011" localSheetId="4">IF(list05!Values_Entered,Header_Row+list05!Представи2011,Header_Row)</definedName>
    <definedName name="Ставки2011" localSheetId="5">IF(list06!Values_Entered,Header_Row+list06!Представи2011,Header_Row)</definedName>
    <definedName name="Ставки2011" localSheetId="11">IF(list12!Values_Entered,Header_Row+list12!Представи2011,Header_Row)</definedName>
    <definedName name="Ставки2011">IF(Values_Entered,Header_Row+Представи2011,Header_Row)</definedName>
    <definedName name="сто" localSheetId="4">#REF!</definedName>
    <definedName name="сто" localSheetId="5">#REF!</definedName>
    <definedName name="сто" localSheetId="11">#REF!</definedName>
    <definedName name="сто">#REF!</definedName>
    <definedName name="стоимость">43508</definedName>
    <definedName name="страхов" localSheetId="4">#REF!</definedName>
    <definedName name="страхов" localSheetId="5">#REF!</definedName>
    <definedName name="страхов" localSheetId="11">#REF!</definedName>
    <definedName name="страхов">#REF!</definedName>
    <definedName name="сувД" localSheetId="4">#REF!</definedName>
    <definedName name="сувД" localSheetId="5">#REF!</definedName>
    <definedName name="сувД" localSheetId="11">#REF!</definedName>
    <definedName name="сувД">#REF!</definedName>
    <definedName name="сугор" localSheetId="4">{30,140,350,160,"",""}</definedName>
    <definedName name="сугор" localSheetId="5">{30,140,350,160,"",""}</definedName>
    <definedName name="сугор" localSheetId="11">{30,140,350,160,"",""}</definedName>
    <definedName name="сугор">{30,140,350,160,"",""}</definedName>
    <definedName name="сугориш" localSheetId="4">{30,140,350,160,"",""}</definedName>
    <definedName name="сугориш" localSheetId="5">{30,140,350,160,"",""}</definedName>
    <definedName name="сугориш" localSheetId="11">{30,140,350,160,"",""}</definedName>
    <definedName name="сугориш">{30,140,350,160,"",""}</definedName>
    <definedName name="Сфакторы" localSheetId="4">TRUNC((oy-1)/3+1)</definedName>
    <definedName name="Сфакторы" localSheetId="5">TRUNC((oy-1)/3+1)</definedName>
    <definedName name="Сфакторы" localSheetId="11">TRUNC((oy-1)/3+1)</definedName>
    <definedName name="Сфакторы">TRUNC((oy-1)/3+1)</definedName>
    <definedName name="сФЙЧВФвчыфсч" localSheetId="4">{30,140,350,160,"",""}</definedName>
    <definedName name="сФЙЧВФвчыфсч" localSheetId="5">{30,140,350,160,"",""}</definedName>
    <definedName name="сФЙЧВФвчыфсч" localSheetId="11">{30,140,350,160,"",""}</definedName>
    <definedName name="сФЙЧВФвчыфсч">{30,140,350,160,"",""}</definedName>
    <definedName name="счмипсмти" localSheetId="4">{30,140,350,160,"",""}</definedName>
    <definedName name="счмипсмти" localSheetId="5">{30,140,350,160,"",""}</definedName>
    <definedName name="счмипсмти" localSheetId="11">{30,140,350,160,"",""}</definedName>
    <definedName name="счмипсмти">{30,140,350,160,"",""}</definedName>
    <definedName name="т" localSheetId="3">[0]!_a1Z,[0]!_a2Z</definedName>
    <definedName name="т" localSheetId="4">[0]!_a1Z,[0]!_a2Z</definedName>
    <definedName name="т" localSheetId="5">[0]!_a1Z,[0]!_a2Z</definedName>
    <definedName name="т" localSheetId="11">[0]!_a1Z,[0]!_a2Z</definedName>
    <definedName name="т">[0]!_a1Z,[0]!_a2Z</definedName>
    <definedName name="таблица11"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таблица11"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таблица11"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таблица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тара" localSheetId="4">{30,140,350,160,"",""}</definedName>
    <definedName name="тара" localSheetId="5">{30,140,350,160,"",""}</definedName>
    <definedName name="тара" localSheetId="11">{30,140,350,160,"",""}</definedName>
    <definedName name="тара">{30,140,350,160,"",""}</definedName>
    <definedName name="тахлил" localSheetId="4">{30,140,350,160,"",""}</definedName>
    <definedName name="тахлил" localSheetId="5">{30,140,350,160,"",""}</definedName>
    <definedName name="тахлил" localSheetId="11">{30,140,350,160,"",""}</definedName>
    <definedName name="тахлил">{30,140,350,160,"",""}</definedName>
    <definedName name="Ташкилий_чора_тадбирлар__номи_ва_ишлаб_чиўариладиганг_маҳсулот" localSheetId="4">#REF!</definedName>
    <definedName name="Ташкилий_чора_тадбирлар__номи_ва_ишлаб_чиўариладиганг_маҳсулот" localSheetId="5">#REF!</definedName>
    <definedName name="Ташкилий_чора_тадбирлар__номи_ва_ишлаб_чиўариладиганг_маҳсулот" localSheetId="11">#REF!</definedName>
    <definedName name="Ташкилий_чора_тадбирлар__номи_ва_ишлаб_чиўариладиганг_маҳсулот">#REF!</definedName>
    <definedName name="тб5" localSheetId="4">#REF!</definedName>
    <definedName name="тб5" localSheetId="5">#REF!</definedName>
    <definedName name="тб5" localSheetId="11">#REF!</definedName>
    <definedName name="тб5">#REF!</definedName>
    <definedName name="ТекПерес" localSheetId="4">#REF!</definedName>
    <definedName name="ТекПерес" localSheetId="5">#REF!</definedName>
    <definedName name="ТекПерес" localSheetId="11">#REF!</definedName>
    <definedName name="ТекПерес">#REF!</definedName>
    <definedName name="ТермоКузов35" localSheetId="11">#REF!</definedName>
    <definedName name="ТермоКузов35">#REF!</definedName>
    <definedName name="ти" localSheetId="4">{30,140,350,160,"",""}</definedName>
    <definedName name="ти" localSheetId="5">{30,140,350,160,"",""}</definedName>
    <definedName name="ти" localSheetId="11">{30,140,350,160,"",""}</definedName>
    <definedName name="ти">{30,140,350,160,"",""}</definedName>
    <definedName name="ТНВЭД" localSheetId="4">#REF!</definedName>
    <definedName name="ТНВЭД" localSheetId="5">#REF!</definedName>
    <definedName name="ТНВЭД" localSheetId="11">#REF!</definedName>
    <definedName name="ТНВЭД">#REF!</definedName>
    <definedName name="тов" localSheetId="4">#REF!</definedName>
    <definedName name="тов" localSheetId="5">#REF!</definedName>
    <definedName name="тов" localSheetId="11">#REF!</definedName>
    <definedName name="тов">#REF!</definedName>
    <definedName name="Товар" localSheetId="4">#REF!</definedName>
    <definedName name="Товар" localSheetId="5">#REF!</definedName>
    <definedName name="Товар" localSheetId="11">#REF!</definedName>
    <definedName name="Товар">#REF!</definedName>
    <definedName name="тога" localSheetId="11">#REF!</definedName>
    <definedName name="тога">#REF!</definedName>
    <definedName name="тт" localSheetId="11">#REF!</definedName>
    <definedName name="тт">#REF!</definedName>
    <definedName name="тушум." localSheetId="11">#REF!</definedName>
    <definedName name="тушум.">#REF!</definedName>
    <definedName name="Ћ__ЂЃ_Ѓ_Џ_ОЂ__" localSheetId="11">#REF!</definedName>
    <definedName name="Ћ__ЂЃ_Ѓ_Џ_ОЂ__">#REF!</definedName>
    <definedName name="у" localSheetId="11">#REF!</definedName>
    <definedName name="у">#REF!</definedName>
    <definedName name="уапукпаа" localSheetId="4">{30,140,350,160,"",""}</definedName>
    <definedName name="уапукпаа" localSheetId="5">{30,140,350,160,"",""}</definedName>
    <definedName name="уапукпаа" localSheetId="11">{30,140,350,160,"",""}</definedName>
    <definedName name="уапукпаа">{30,140,350,160,"",""}</definedName>
    <definedName name="ув" localSheetId="4">#REF!</definedName>
    <definedName name="ув" localSheetId="5">#REF!</definedName>
    <definedName name="ув" localSheetId="11">#REF!</definedName>
    <definedName name="ув">#REF!</definedName>
    <definedName name="узи" localSheetId="4">{30,140,350,160,"",""}</definedName>
    <definedName name="узи" localSheetId="5">{30,140,350,160,"",""}</definedName>
    <definedName name="узи" localSheetId="11">{30,140,350,160,"",""}</definedName>
    <definedName name="узи">{30,140,350,160,"",""}</definedName>
    <definedName name="ук" localSheetId="4">{30,140,350,160,"",""}</definedName>
    <definedName name="ук" localSheetId="5">{30,140,350,160,"",""}</definedName>
    <definedName name="ук" localSheetId="11">{30,140,350,160,"",""}</definedName>
    <definedName name="ук">{30,140,350,160,"",""}</definedName>
    <definedName name="УКС" localSheetId="4">#REF!</definedName>
    <definedName name="УКС" localSheetId="5">#REF!</definedName>
    <definedName name="УКС" localSheetId="11">#REF!</definedName>
    <definedName name="УКС">#REF!</definedName>
    <definedName name="укц" localSheetId="4">{30,140,350,160,"",""}</definedName>
    <definedName name="укц" localSheetId="5">{30,140,350,160,"",""}</definedName>
    <definedName name="укц" localSheetId="11">{30,140,350,160,"",""}</definedName>
    <definedName name="укц">{30,140,350,160,"",""}</definedName>
    <definedName name="улм" localSheetId="4">{30,140,350,160,"",""}</definedName>
    <definedName name="улм" localSheetId="5">{30,140,350,160,"",""}</definedName>
    <definedName name="улм" localSheetId="11">{30,140,350,160,"",""}</definedName>
    <definedName name="улм">{30,140,350,160,"",""}</definedName>
    <definedName name="улмас" localSheetId="4">{30,140,350,160,"",""}</definedName>
    <definedName name="улмас" localSheetId="5">{30,140,350,160,"",""}</definedName>
    <definedName name="улмас" localSheetId="11">{30,140,350,160,"",""}</definedName>
    <definedName name="улмас">{30,140,350,160,"",""}</definedName>
    <definedName name="улу" localSheetId="4">{30,140,350,160,"",""}</definedName>
    <definedName name="улу" localSheetId="5">{30,140,350,160,"",""}</definedName>
    <definedName name="улу" localSheetId="11">{30,140,350,160,"",""}</definedName>
    <definedName name="улу">{30,140,350,160,"",""}</definedName>
    <definedName name="УРГАНЧТУМАН" localSheetId="4">#REF!</definedName>
    <definedName name="УРГАНЧТУМАН" localSheetId="5">#REF!</definedName>
    <definedName name="УРГАНЧТУМАН" localSheetId="11">#REF!</definedName>
    <definedName name="УРГАНЧТУМАН">#REF!</definedName>
    <definedName name="УРГАНЧШАХАР" localSheetId="4">#REF!</definedName>
    <definedName name="УРГАНЧШАХАР" localSheetId="5">#REF!</definedName>
    <definedName name="УРГАНЧШАХАР" localSheetId="11">#REF!</definedName>
    <definedName name="УРГАНЧШАХАР">#REF!</definedName>
    <definedName name="уровень" localSheetId="4">#REF!</definedName>
    <definedName name="уровень" localSheetId="5">#REF!</definedName>
    <definedName name="уровень" localSheetId="11">#REF!</definedName>
    <definedName name="уровень">#REF!</definedName>
    <definedName name="урта" localSheetId="11" hidden="1">#REF!</definedName>
    <definedName name="урта" hidden="1">#REF!</definedName>
    <definedName name="уртачирчик" localSheetId="11" hidden="1">#REF!</definedName>
    <definedName name="уртачирчик" hidden="1">#REF!</definedName>
    <definedName name="ўртачирчик" localSheetId="11" hidden="1">#REF!</definedName>
    <definedName name="ўртачирчик" hidden="1">#REF!</definedName>
    <definedName name="утв1" localSheetId="11">#REF!</definedName>
    <definedName name="утв1">#REF!</definedName>
    <definedName name="утв2" localSheetId="11">#REF!</definedName>
    <definedName name="утв2">#REF!</definedName>
    <definedName name="утв3" localSheetId="11">#REF!</definedName>
    <definedName name="утв3">#REF!</definedName>
    <definedName name="утв4" localSheetId="11">#REF!</definedName>
    <definedName name="утв4">#REF!</definedName>
    <definedName name="Уткир" localSheetId="4">{30,140,350,160,"",""}</definedName>
    <definedName name="Уткир" localSheetId="5">{30,140,350,160,"",""}</definedName>
    <definedName name="Уткир" localSheetId="11">{30,140,350,160,"",""}</definedName>
    <definedName name="Уткир">{30,140,350,160,"",""}</definedName>
    <definedName name="уточ2" localSheetId="4">#REF!</definedName>
    <definedName name="уточ2" localSheetId="5">#REF!</definedName>
    <definedName name="уточ2" localSheetId="11">#REF!</definedName>
    <definedName name="уточ2">#REF!</definedName>
    <definedName name="уточ4" localSheetId="4">#REF!</definedName>
    <definedName name="уточ4" localSheetId="5">#REF!</definedName>
    <definedName name="уточ4" localSheetId="11">#REF!</definedName>
    <definedName name="уточ4">#REF!</definedName>
    <definedName name="уточгод" localSheetId="4">#REF!</definedName>
    <definedName name="уточгод" localSheetId="5">#REF!</definedName>
    <definedName name="уточгод" localSheetId="11">#REF!</definedName>
    <definedName name="уточгод">#REF!</definedName>
    <definedName name="уу" localSheetId="4" hidden="1">{#N/A,#N/A,FALSE,"인원";#N/A,#N/A,FALSE,"비용2";#N/A,#N/A,FALSE,"비용1";#N/A,#N/A,FALSE,"비용";#N/A,#N/A,FALSE,"보증2";#N/A,#N/A,FALSE,"보증1";#N/A,#N/A,FALSE,"보증";#N/A,#N/A,FALSE,"손익1";#N/A,#N/A,FALSE,"손익";#N/A,#N/A,FALSE,"부서별매출";#N/A,#N/A,FALSE,"매출"}</definedName>
    <definedName name="уу" localSheetId="5" hidden="1">{#N/A,#N/A,FALSE,"인원";#N/A,#N/A,FALSE,"비용2";#N/A,#N/A,FALSE,"비용1";#N/A,#N/A,FALSE,"비용";#N/A,#N/A,FALSE,"보증2";#N/A,#N/A,FALSE,"보증1";#N/A,#N/A,FALSE,"보증";#N/A,#N/A,FALSE,"손익1";#N/A,#N/A,FALSE,"손익";#N/A,#N/A,FALSE,"부서별매출";#N/A,#N/A,FALSE,"매출"}</definedName>
    <definedName name="уу" localSheetId="11" hidden="1">{#N/A,#N/A,FALSE,"인원";#N/A,#N/A,FALSE,"비용2";#N/A,#N/A,FALSE,"비용1";#N/A,#N/A,FALSE,"비용";#N/A,#N/A,FALSE,"보증2";#N/A,#N/A,FALSE,"보증1";#N/A,#N/A,FALSE,"보증";#N/A,#N/A,FALSE,"손익1";#N/A,#N/A,FALSE,"손익";#N/A,#N/A,FALSE,"부서별매출";#N/A,#N/A,FALSE,"매출"}</definedName>
    <definedName name="уу" hidden="1">{#N/A,#N/A,FALSE,"인원";#N/A,#N/A,FALSE,"비용2";#N/A,#N/A,FALSE,"비용1";#N/A,#N/A,FALSE,"비용";#N/A,#N/A,FALSE,"보증2";#N/A,#N/A,FALSE,"보증1";#N/A,#N/A,FALSE,"보증";#N/A,#N/A,FALSE,"손익1";#N/A,#N/A,FALSE,"손익";#N/A,#N/A,FALSE,"부서별매출";#N/A,#N/A,FALSE,"매출"}</definedName>
    <definedName name="ууу" localSheetId="4">#REF!</definedName>
    <definedName name="ууу" localSheetId="5">#REF!</definedName>
    <definedName name="ууу" localSheetId="11">#REF!</definedName>
    <definedName name="ууу">#REF!</definedName>
    <definedName name="уууу" localSheetId="4">{30,140,350,160,"",""}</definedName>
    <definedName name="уууу" localSheetId="5">{30,140,350,160,"",""}</definedName>
    <definedName name="уууу" localSheetId="11">{30,140,350,160,"",""}</definedName>
    <definedName name="уууу">{30,140,350,160,"",""}</definedName>
    <definedName name="ууууу" localSheetId="3">[0]!дел/1000</definedName>
    <definedName name="ууууу" localSheetId="4">[0]!дел/1000</definedName>
    <definedName name="ууууу" localSheetId="5">[0]!дел/1000</definedName>
    <definedName name="ууууу" localSheetId="11">[0]!дел/1000</definedName>
    <definedName name="ууууу">[0]!дел/1000</definedName>
    <definedName name="уууууу" localSheetId="4">TRUNC((oy-1)/3+1)</definedName>
    <definedName name="уууууу" localSheetId="5">TRUNC((oy-1)/3+1)</definedName>
    <definedName name="уууууу" localSheetId="11">TRUNC((oy-1)/3+1)</definedName>
    <definedName name="уууууу">TRUNC((oy-1)/3+1)</definedName>
    <definedName name="уууууууууууууууууу" localSheetId="4">DATE(yil,oy,1)</definedName>
    <definedName name="уууууууууууууууууу" localSheetId="5">DATE(yil,oy,1)</definedName>
    <definedName name="уууууууууууууууууу" localSheetId="11">DATE(yil,oy,1)</definedName>
    <definedName name="уууууууууууууууууу">DATE(yil,oy,1)</definedName>
    <definedName name="уууууууууууууууууууу" localSheetId="4">TRUNC((oy-1)/3+1)</definedName>
    <definedName name="уууууууууууууууууууу" localSheetId="5">TRUNC((oy-1)/3+1)</definedName>
    <definedName name="уууууууууууууууууууу" localSheetId="11">TRUNC((oy-1)/3+1)</definedName>
    <definedName name="уууууууууууууууууууу">TRUNC((oy-1)/3+1)</definedName>
    <definedName name="ууууууууууууууууууууу" localSheetId="4">TRUNC((oy-1)/3+1)</definedName>
    <definedName name="ууууууууууууууууууууу" localSheetId="5">TRUNC((oy-1)/3+1)</definedName>
    <definedName name="ууууууууууууууууууууу" localSheetId="11">TRUNC((oy-1)/3+1)</definedName>
    <definedName name="ууууууууууууууууууууу">TRUNC((oy-1)/3+1)</definedName>
    <definedName name="ууууууууууууууууууууууу" localSheetId="4">TRUNC((oy-1)/3+1)</definedName>
    <definedName name="ууууууууууууууууууууууу" localSheetId="5">TRUNC((oy-1)/3+1)</definedName>
    <definedName name="ууууууууууууууууууууууу" localSheetId="11">TRUNC((oy-1)/3+1)</definedName>
    <definedName name="ууууууууууууууууууууууу">TRUNC((oy-1)/3+1)</definedName>
    <definedName name="уц" localSheetId="4">{30,140,350,160,"",""}</definedName>
    <definedName name="уц" localSheetId="5">{30,140,350,160,"",""}</definedName>
    <definedName name="уц" localSheetId="11">{30,140,350,160,"",""}</definedName>
    <definedName name="уц">{30,140,350,160,"",""}</definedName>
    <definedName name="ф" localSheetId="4">#REF!</definedName>
    <definedName name="ф" localSheetId="5">#REF!</definedName>
    <definedName name="ф" localSheetId="11">#REF!</definedName>
    <definedName name="ф">#REF!</definedName>
    <definedName name="ф5" localSheetId="4" hidden="1">{#N/A,#N/A,FALSE,"인원";#N/A,#N/A,FALSE,"비용2";#N/A,#N/A,FALSE,"비용1";#N/A,#N/A,FALSE,"비용";#N/A,#N/A,FALSE,"보증2";#N/A,#N/A,FALSE,"보증1";#N/A,#N/A,FALSE,"보증";#N/A,#N/A,FALSE,"손익1";#N/A,#N/A,FALSE,"손익";#N/A,#N/A,FALSE,"부서별매출";#N/A,#N/A,FALSE,"매출"}</definedName>
    <definedName name="ф5" localSheetId="5" hidden="1">{#N/A,#N/A,FALSE,"인원";#N/A,#N/A,FALSE,"비용2";#N/A,#N/A,FALSE,"비용1";#N/A,#N/A,FALSE,"비용";#N/A,#N/A,FALSE,"보증2";#N/A,#N/A,FALSE,"보증1";#N/A,#N/A,FALSE,"보증";#N/A,#N/A,FALSE,"손익1";#N/A,#N/A,FALSE,"손익";#N/A,#N/A,FALSE,"부서별매출";#N/A,#N/A,FALSE,"매출"}</definedName>
    <definedName name="ф5" localSheetId="11" hidden="1">{#N/A,#N/A,FALSE,"인원";#N/A,#N/A,FALSE,"비용2";#N/A,#N/A,FALSE,"비용1";#N/A,#N/A,FALSE,"비용";#N/A,#N/A,FALSE,"보증2";#N/A,#N/A,FALSE,"보증1";#N/A,#N/A,FALSE,"보증";#N/A,#N/A,FALSE,"손익1";#N/A,#N/A,FALSE,"손익";#N/A,#N/A,FALSE,"부서별매출";#N/A,#N/A,FALSE,"매출"}</definedName>
    <definedName name="ф5" hidden="1">{#N/A,#N/A,FALSE,"인원";#N/A,#N/A,FALSE,"비용2";#N/A,#N/A,FALSE,"비용1";#N/A,#N/A,FALSE,"비용";#N/A,#N/A,FALSE,"보증2";#N/A,#N/A,FALSE,"보증1";#N/A,#N/A,FALSE,"보증";#N/A,#N/A,FALSE,"손익1";#N/A,#N/A,FALSE,"손익";#N/A,#N/A,FALSE,"부서별매출";#N/A,#N/A,FALSE,"매출"}</definedName>
    <definedName name="ФА" localSheetId="4">#REF!</definedName>
    <definedName name="ФА" localSheetId="5">#REF!</definedName>
    <definedName name="ФА" localSheetId="11">#REF!</definedName>
    <definedName name="ФА">#REF!</definedName>
    <definedName name="Факторы" localSheetId="4">TRUNC((oy-1)/3+1)</definedName>
    <definedName name="Факторы" localSheetId="5">TRUNC((oy-1)/3+1)</definedName>
    <definedName name="Факторы" localSheetId="11">TRUNC((oy-1)/3+1)</definedName>
    <definedName name="Факторы">TRUNC((oy-1)/3+1)</definedName>
    <definedName name="фвыавп" localSheetId="4">{30,140,350,160,"",""}</definedName>
    <definedName name="фвыавп" localSheetId="5">{30,140,350,160,"",""}</definedName>
    <definedName name="фвыавп" localSheetId="11">{30,140,350,160,"",""}</definedName>
    <definedName name="фвыавп">{30,140,350,160,"",""}</definedName>
    <definedName name="февраль_фактор" localSheetId="4">TRUNC((oy-1)/3+1)</definedName>
    <definedName name="февраль_фактор" localSheetId="5">TRUNC((oy-1)/3+1)</definedName>
    <definedName name="февраль_фактор" localSheetId="11">TRUNC((oy-1)/3+1)</definedName>
    <definedName name="февраль_фактор">TRUNC((oy-1)/3+1)</definedName>
    <definedName name="ФЗСЖЧШ__ХЛЭЖШО" localSheetId="4">#REF!</definedName>
    <definedName name="ФЗСЖЧШ__ХЛЭЖШО" localSheetId="5">#REF!</definedName>
    <definedName name="ФЗСЖЧШ__ХЛЭЖШО" localSheetId="11">#REF!</definedName>
    <definedName name="ФЗСЖЧШ__ХЛЭЖШО">#REF!</definedName>
    <definedName name="фин" localSheetId="4">#REF!</definedName>
    <definedName name="фин" localSheetId="5">#REF!</definedName>
    <definedName name="фин" localSheetId="11">#REF!</definedName>
    <definedName name="фин">#REF!</definedName>
    <definedName name="флт" localSheetId="4">{30,140,350,160,"",""}</definedName>
    <definedName name="флт" localSheetId="5">{30,140,350,160,"",""}</definedName>
    <definedName name="флт" localSheetId="11">{30,140,350,160,"",""}</definedName>
    <definedName name="флт">{30,140,350,160,"",""}</definedName>
    <definedName name="форма_таб01" localSheetId="4" hidden="1">{#N/A,#N/A,FALSE,"인원";#N/A,#N/A,FALSE,"비용2";#N/A,#N/A,FALSE,"비용1";#N/A,#N/A,FALSE,"비용";#N/A,#N/A,FALSE,"보증2";#N/A,#N/A,FALSE,"보증1";#N/A,#N/A,FALSE,"보증";#N/A,#N/A,FALSE,"손익1";#N/A,#N/A,FALSE,"손익";#N/A,#N/A,FALSE,"부서별매출";#N/A,#N/A,FALSE,"매출"}</definedName>
    <definedName name="форма_таб01" localSheetId="5" hidden="1">{#N/A,#N/A,FALSE,"인원";#N/A,#N/A,FALSE,"비용2";#N/A,#N/A,FALSE,"비용1";#N/A,#N/A,FALSE,"비용";#N/A,#N/A,FALSE,"보증2";#N/A,#N/A,FALSE,"보증1";#N/A,#N/A,FALSE,"보증";#N/A,#N/A,FALSE,"손익1";#N/A,#N/A,FALSE,"손익";#N/A,#N/A,FALSE,"부서별매출";#N/A,#N/A,FALSE,"매출"}</definedName>
    <definedName name="форма_таб01" localSheetId="11" hidden="1">{#N/A,#N/A,FALSE,"인원";#N/A,#N/A,FALSE,"비용2";#N/A,#N/A,FALSE,"비용1";#N/A,#N/A,FALSE,"비용";#N/A,#N/A,FALSE,"보증2";#N/A,#N/A,FALSE,"보증1";#N/A,#N/A,FALSE,"보증";#N/A,#N/A,FALSE,"손익1";#N/A,#N/A,FALSE,"손익";#N/A,#N/A,FALSE,"부서별매출";#N/A,#N/A,FALSE,"매출"}</definedName>
    <definedName name="форма_таб01" hidden="1">{#N/A,#N/A,FALSE,"인원";#N/A,#N/A,FALSE,"비용2";#N/A,#N/A,FALSE,"비용1";#N/A,#N/A,FALSE,"비용";#N/A,#N/A,FALSE,"보증2";#N/A,#N/A,FALSE,"보증1";#N/A,#N/A,FALSE,"보증";#N/A,#N/A,FALSE,"손익1";#N/A,#N/A,FALSE,"손익";#N/A,#N/A,FALSE,"부서별매출";#N/A,#N/A,FALSE,"매출"}</definedName>
    <definedName name="фу" localSheetId="4">#REF!</definedName>
    <definedName name="фу" localSheetId="5">#REF!</definedName>
    <definedName name="фу" localSheetId="11">#REF!</definedName>
    <definedName name="фу">#REF!</definedName>
    <definedName name="фф"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фф"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фф"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ф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ффф" localSheetId="4">#REF!</definedName>
    <definedName name="ффф" localSheetId="5">#REF!</definedName>
    <definedName name="ффф" localSheetId="11">#REF!</definedName>
    <definedName name="ффф">#REF!</definedName>
    <definedName name="ФФФФФФ" localSheetId="4">#REF!</definedName>
    <definedName name="ФФФФФФ" localSheetId="5">#REF!</definedName>
    <definedName name="ФФФФФФ" localSheetId="11">#REF!</definedName>
    <definedName name="ФФФФФФ">#REF!</definedName>
    <definedName name="фыавыфа" localSheetId="4">{30,140,350,160,"",""}</definedName>
    <definedName name="фыавыфа" localSheetId="5">{30,140,350,160,"",""}</definedName>
    <definedName name="фыавыфа" localSheetId="11">{30,140,350,160,"",""}</definedName>
    <definedName name="фыавыфа">{30,140,350,160,"",""}</definedName>
    <definedName name="ФЫВА" localSheetId="4">#REF!</definedName>
    <definedName name="ФЫВА" localSheetId="5">#REF!</definedName>
    <definedName name="ФЫВА" localSheetId="11">#REF!</definedName>
    <definedName name="ФЫВА">#REF!</definedName>
    <definedName name="фывчыйывчйы" localSheetId="4">{30,140,350,160,"",""}</definedName>
    <definedName name="фывчыйывчйы" localSheetId="5">{30,140,350,160,"",""}</definedName>
    <definedName name="фывчыйывчйы" localSheetId="11">{30,140,350,160,"",""}</definedName>
    <definedName name="фывчыйывчйы">{30,140,350,160,"",""}</definedName>
    <definedName name="фыфы" localSheetId="4">#REF!</definedName>
    <definedName name="фыфы" localSheetId="5">#REF!</definedName>
    <definedName name="фыфы" localSheetId="11">#REF!</definedName>
    <definedName name="фыфы">#REF!</definedName>
    <definedName name="фыы" localSheetId="4">TRUNC((oy-1)/3+1)</definedName>
    <definedName name="фыы" localSheetId="5">TRUNC((oy-1)/3+1)</definedName>
    <definedName name="фыы" localSheetId="11">TRUNC((oy-1)/3+1)</definedName>
    <definedName name="фыы">TRUNC((oy-1)/3+1)</definedName>
    <definedName name="фяфчфчфч" localSheetId="4">{30,140,350,160,"",""}</definedName>
    <definedName name="фяфчфчфч" localSheetId="5">{30,140,350,160,"",""}</definedName>
    <definedName name="фяфчфчфч" localSheetId="11">{30,140,350,160,"",""}</definedName>
    <definedName name="фяфчфчфч">{30,140,350,160,"",""}</definedName>
    <definedName name="Хатлов" localSheetId="4">#REF!</definedName>
    <definedName name="Хатлов" localSheetId="5">#REF!</definedName>
    <definedName name="Хатлов" localSheetId="11">#REF!</definedName>
    <definedName name="Хатлов">#REF!</definedName>
    <definedName name="хж" localSheetId="4">#REF!</definedName>
    <definedName name="хж" localSheetId="5">#REF!</definedName>
    <definedName name="хж" localSheetId="11">#REF!</definedName>
    <definedName name="хж">#REF!</definedName>
    <definedName name="хз" localSheetId="4">{30,140,350,160,"",""}</definedName>
    <definedName name="хз" localSheetId="5">{30,140,350,160,"",""}</definedName>
    <definedName name="хз" localSheetId="11">{30,140,350,160,"",""}</definedName>
    <definedName name="хз">{30,140,350,160,"",""}</definedName>
    <definedName name="ХИВАТУМАН" localSheetId="4">#REF!</definedName>
    <definedName name="ХИВАТУМАН" localSheetId="5">#REF!</definedName>
    <definedName name="ХИВАТУМАН" localSheetId="11">#REF!</definedName>
    <definedName name="ХИВАТУМАН">#REF!</definedName>
    <definedName name="ХОНКАТУМАН" localSheetId="4">#REF!</definedName>
    <definedName name="ХОНКАТУМАН" localSheetId="5">#REF!</definedName>
    <definedName name="ХОНКАТУМАН" localSheetId="11">#REF!</definedName>
    <definedName name="ХОНКАТУМАН">#REF!</definedName>
    <definedName name="хоразм">#N/A</definedName>
    <definedName name="ХУДУДЛАР_СОНИ" localSheetId="4">#REF!</definedName>
    <definedName name="ХУДУДЛАР_СОНИ" localSheetId="5">#REF!</definedName>
    <definedName name="ХУДУДЛАР_СОНИ" localSheetId="11">#REF!</definedName>
    <definedName name="ХУДУДЛАР_СОНИ">#REF!</definedName>
    <definedName name="хуршид"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хуршид"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хуршид"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хуршид"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ххх" localSheetId="4" hidden="1">{"'Monthly 1997'!$A$3:$S$89"}</definedName>
    <definedName name="ххх" localSheetId="5" hidden="1">{"'Monthly 1997'!$A$3:$S$89"}</definedName>
    <definedName name="ххх" localSheetId="11" hidden="1">{"'Monthly 1997'!$A$3:$S$89"}</definedName>
    <definedName name="ххх" hidden="1">{"'Monthly 1997'!$A$3:$S$89"}</definedName>
    <definedName name="ц" localSheetId="11">#REF!</definedName>
    <definedName name="ц">#REF!</definedName>
    <definedName name="ц_вл" localSheetId="11">#REF!</definedName>
    <definedName name="ц_вл">#REF!</definedName>
    <definedName name="ц2" localSheetId="11">#REF!</definedName>
    <definedName name="ц2">#REF!</definedName>
    <definedName name="цена_МПК_долл" localSheetId="11">#REF!</definedName>
    <definedName name="цена_МПК_долл">#REF!</definedName>
    <definedName name="цена_МПК_сум" localSheetId="11">#REF!</definedName>
    <definedName name="цена_МПК_сум">#REF!</definedName>
    <definedName name="цена_нац.вал._долл" localSheetId="11">#REF!</definedName>
    <definedName name="цена_нац.вал._долл">#REF!</definedName>
    <definedName name="цена_нац.вал._сум" localSheetId="11">#REF!</definedName>
    <definedName name="цена_нац.вал._сум">#REF!</definedName>
    <definedName name="цена_экспорт_долл" localSheetId="11">#REF!</definedName>
    <definedName name="цена_экспорт_долл">#REF!</definedName>
    <definedName name="цена_экспорт_сум" localSheetId="11">#REF!</definedName>
    <definedName name="цена_экспорт_сум">#REF!</definedName>
    <definedName name="ЦенаЗакоытого" localSheetId="11">#REF!</definedName>
    <definedName name="ЦенаЗакоытого">#REF!</definedName>
    <definedName name="ЦенаЗакрытого" localSheetId="11">#REF!</definedName>
    <definedName name="ЦенаЗакрытого">#REF!</definedName>
    <definedName name="центр" localSheetId="11">#REF!</definedName>
    <definedName name="центр">#REF!</definedName>
    <definedName name="центр1" localSheetId="11">#REF!</definedName>
    <definedName name="центр1">#REF!</definedName>
    <definedName name="цй" localSheetId="4">{30,140,350,160,"",""}</definedName>
    <definedName name="цй" localSheetId="5">{30,140,350,160,"",""}</definedName>
    <definedName name="цй" localSheetId="11">{30,140,350,160,"",""}</definedName>
    <definedName name="цй">{30,140,350,160,"",""}</definedName>
    <definedName name="цйц" localSheetId="4">{30,140,350,160,"",""}</definedName>
    <definedName name="цйц" localSheetId="5">{30,140,350,160,"",""}</definedName>
    <definedName name="цйц" localSheetId="11">{30,140,350,160,"",""}</definedName>
    <definedName name="цйц">{30,140,350,160,"",""}</definedName>
    <definedName name="цс" localSheetId="4">#REF!</definedName>
    <definedName name="цс" localSheetId="5">#REF!</definedName>
    <definedName name="цс" localSheetId="11">#REF!</definedName>
    <definedName name="цс">#REF!</definedName>
    <definedName name="ЦУК" localSheetId="4"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ЦУК" localSheetId="5"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ЦУК" localSheetId="11"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ЦУК"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цук2" localSheetId="4">{30,140,350,160,"",""}</definedName>
    <definedName name="цук2" localSheetId="5">{30,140,350,160,"",""}</definedName>
    <definedName name="цук2" localSheetId="11">{30,140,350,160,"",""}</definedName>
    <definedName name="цук2">{30,140,350,160,"",""}</definedName>
    <definedName name="цукцкцк" localSheetId="4" hidden="1">#REF!</definedName>
    <definedName name="цукцкцк" localSheetId="5" hidden="1">#REF!</definedName>
    <definedName name="цукцкцк" localSheetId="11" hidden="1">#REF!</definedName>
    <definedName name="цукцкцк" hidden="1">#REF!</definedName>
    <definedName name="цукцу" localSheetId="4">#REF!</definedName>
    <definedName name="цукцу" localSheetId="5">#REF!</definedName>
    <definedName name="цукцу" localSheetId="11">#REF!</definedName>
    <definedName name="цукцу">#REF!</definedName>
    <definedName name="цц"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цц"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цц"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цц"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ццц" localSheetId="4">#REF!</definedName>
    <definedName name="ццц" localSheetId="5">#REF!</definedName>
    <definedName name="ццц" localSheetId="11">#REF!</definedName>
    <definedName name="ццц">#REF!</definedName>
    <definedName name="ЦЦЦЦ" localSheetId="4">TRUNC((oy-1)/3+1)</definedName>
    <definedName name="ЦЦЦЦ" localSheetId="5">TRUNC((oy-1)/3+1)</definedName>
    <definedName name="ЦЦЦЦ" localSheetId="11">TRUNC((oy-1)/3+1)</definedName>
    <definedName name="ЦЦЦЦ">TRUNC((oy-1)/3+1)</definedName>
    <definedName name="ч" localSheetId="4">#REF!</definedName>
    <definedName name="ч" localSheetId="5">#REF!</definedName>
    <definedName name="ч" localSheetId="11">#REF!</definedName>
    <definedName name="ч">#REF!</definedName>
    <definedName name="чл" localSheetId="4">#REF!</definedName>
    <definedName name="чл" localSheetId="5">#REF!</definedName>
    <definedName name="чл" localSheetId="11">#REF!</definedName>
    <definedName name="чл">#REF!</definedName>
    <definedName name="чмсмичтмит" localSheetId="4">{30,140,350,160,"",""}</definedName>
    <definedName name="чмсмичтмит" localSheetId="5">{30,140,350,160,"",""}</definedName>
    <definedName name="чмсмичтмит" localSheetId="11">{30,140,350,160,"",""}</definedName>
    <definedName name="чмсмичтмит">{30,140,350,160,"",""}</definedName>
    <definedName name="чс" localSheetId="4">{30,140,350,160,"",""}</definedName>
    <definedName name="чс" localSheetId="5">{30,140,350,160,"",""}</definedName>
    <definedName name="чс" localSheetId="11">{30,140,350,160,"",""}</definedName>
    <definedName name="чс">{30,140,350,160,"",""}</definedName>
    <definedName name="чсм" localSheetId="4">{30,140,350,160,"",""}</definedName>
    <definedName name="чсм" localSheetId="5">{30,140,350,160,"",""}</definedName>
    <definedName name="чсм" localSheetId="11">{30,140,350,160,"",""}</definedName>
    <definedName name="чсм">{30,140,350,160,"",""}</definedName>
    <definedName name="чукур" localSheetId="4">{30,140,350,160,"",""}</definedName>
    <definedName name="чукур" localSheetId="5">{30,140,350,160,"",""}</definedName>
    <definedName name="чукур" localSheetId="11">{30,140,350,160,"",""}</definedName>
    <definedName name="чукур">{30,140,350,160,"",""}</definedName>
    <definedName name="чч" localSheetId="3">[0]!_a1Z,[0]!_a2Z</definedName>
    <definedName name="чч" localSheetId="4">[0]!_a1Z,[0]!_a2Z</definedName>
    <definedName name="чч" localSheetId="5">[0]!_a1Z,[0]!_a2Z</definedName>
    <definedName name="чч" localSheetId="11">[0]!_a1Z,[0]!_a2Z</definedName>
    <definedName name="чч">[0]!_a1Z,[0]!_a2Z</definedName>
    <definedName name="ш"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ш"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ш"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ш.ж._счетчик__сиз" localSheetId="4">#REF!</definedName>
    <definedName name="ш.ж._счетчик__сиз" localSheetId="5">#REF!</definedName>
    <definedName name="ш.ж._счетчик__сиз" localSheetId="11">#REF!</definedName>
    <definedName name="ш.ж._счетчик__сиз">#REF!</definedName>
    <definedName name="шарбат" localSheetId="4">{30,140,350,160,"",""}</definedName>
    <definedName name="шарбат" localSheetId="5">{30,140,350,160,"",""}</definedName>
    <definedName name="шарбат" localSheetId="11">{30,140,350,160,"",""}</definedName>
    <definedName name="шарбат">{30,140,350,160,"",""}</definedName>
    <definedName name="шгн" localSheetId="4">{30,140,350,160,"",""}</definedName>
    <definedName name="шгн" localSheetId="5">{30,140,350,160,"",""}</definedName>
    <definedName name="шгн" localSheetId="11">{30,140,350,160,"",""}</definedName>
    <definedName name="шгн">{30,140,350,160,"",""}</definedName>
    <definedName name="шгщ">#N/A</definedName>
    <definedName name="шж" localSheetId="4">#REF!</definedName>
    <definedName name="шж" localSheetId="5">#REF!</definedName>
    <definedName name="шж" localSheetId="11">#REF!</definedName>
    <definedName name="шж">#REF!</definedName>
    <definedName name="шо" localSheetId="4">#REF!</definedName>
    <definedName name="шо" localSheetId="5">#REF!</definedName>
    <definedName name="шо" localSheetId="11">#REF!</definedName>
    <definedName name="шо">#REF!</definedName>
    <definedName name="шур" localSheetId="4">{30,140,350,160,"",""}</definedName>
    <definedName name="шур" localSheetId="5">{30,140,350,160,"",""}</definedName>
    <definedName name="шур" localSheetId="11">{30,140,350,160,"",""}</definedName>
    <definedName name="шур">{30,140,350,160,"",""}</definedName>
    <definedName name="шурик" localSheetId="4">#REF!</definedName>
    <definedName name="шурик" localSheetId="5">#REF!</definedName>
    <definedName name="шурик" localSheetId="11">#REF!</definedName>
    <definedName name="шурик">#REF!</definedName>
    <definedName name="шухрат" localSheetId="4">#REF!</definedName>
    <definedName name="шухрат" localSheetId="5">#REF!</definedName>
    <definedName name="шухрат" localSheetId="11">#REF!</definedName>
    <definedName name="шухрат">#REF!</definedName>
    <definedName name="шш"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шш"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шш"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ш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шщз" localSheetId="4">#REF!</definedName>
    <definedName name="шщз" localSheetId="5">#REF!</definedName>
    <definedName name="шщз" localSheetId="11">#REF!</definedName>
    <definedName name="шщз">#REF!</definedName>
    <definedName name="щ" localSheetId="4">#REF!</definedName>
    <definedName name="щ" localSheetId="5">#REF!</definedName>
    <definedName name="щ" localSheetId="11">#REF!</definedName>
    <definedName name="щ">#REF!</definedName>
    <definedName name="щд" localSheetId="4">#REF!</definedName>
    <definedName name="щд" localSheetId="5">#REF!</definedName>
    <definedName name="щд" localSheetId="11">#REF!</definedName>
    <definedName name="щд">#REF!</definedName>
    <definedName name="щзш" localSheetId="11">#REF!</definedName>
    <definedName name="щзш">#REF!</definedName>
    <definedName name="щщ" localSheetId="4" hidden="1">{#N/A,#N/A,FALSE,"인원";#N/A,#N/A,FALSE,"비용2";#N/A,#N/A,FALSE,"비용1";#N/A,#N/A,FALSE,"비용";#N/A,#N/A,FALSE,"보증2";#N/A,#N/A,FALSE,"보증1";#N/A,#N/A,FALSE,"보증";#N/A,#N/A,FALSE,"손익1";#N/A,#N/A,FALSE,"손익";#N/A,#N/A,FALSE,"부서별매출";#N/A,#N/A,FALSE,"매출"}</definedName>
    <definedName name="щщ" localSheetId="5" hidden="1">{#N/A,#N/A,FALSE,"인원";#N/A,#N/A,FALSE,"비용2";#N/A,#N/A,FALSE,"비용1";#N/A,#N/A,FALSE,"비용";#N/A,#N/A,FALSE,"보증2";#N/A,#N/A,FALSE,"보증1";#N/A,#N/A,FALSE,"보증";#N/A,#N/A,FALSE,"손익1";#N/A,#N/A,FALSE,"손익";#N/A,#N/A,FALSE,"부서별매출";#N/A,#N/A,FALSE,"매출"}</definedName>
    <definedName name="щщ" localSheetId="11" hidden="1">{#N/A,#N/A,FALSE,"인원";#N/A,#N/A,FALSE,"비용2";#N/A,#N/A,FALSE,"비용1";#N/A,#N/A,FALSE,"비용";#N/A,#N/A,FALSE,"보증2";#N/A,#N/A,FALSE,"보증1";#N/A,#N/A,FALSE,"보증";#N/A,#N/A,FALSE,"손익1";#N/A,#N/A,FALSE,"손익";#N/A,#N/A,FALSE,"부서별매출";#N/A,#N/A,FALSE,"매출"}</definedName>
    <definedName name="щщ" hidden="1">{#N/A,#N/A,FALSE,"인원";#N/A,#N/A,FALSE,"비용2";#N/A,#N/A,FALSE,"비용1";#N/A,#N/A,FALSE,"비용";#N/A,#N/A,FALSE,"보증2";#N/A,#N/A,FALSE,"보증1";#N/A,#N/A,FALSE,"보증";#N/A,#N/A,FALSE,"손익1";#N/A,#N/A,FALSE,"손익";#N/A,#N/A,FALSE,"부서별매출";#N/A,#N/A,FALSE,"매출"}</definedName>
    <definedName name="щщщщ" localSheetId="4">#REF!</definedName>
    <definedName name="щщщщ" localSheetId="5">#REF!</definedName>
    <definedName name="щщщщ" localSheetId="11">#REF!</definedName>
    <definedName name="щщщщ">#REF!</definedName>
    <definedName name="ъ" localSheetId="4">#REF!</definedName>
    <definedName name="ъ" localSheetId="5">#REF!</definedName>
    <definedName name="ъ" localSheetId="11">#REF!</definedName>
    <definedName name="ъ">#REF!</definedName>
    <definedName name="ы" localSheetId="4">#REF!</definedName>
    <definedName name="ы" localSheetId="5">#REF!</definedName>
    <definedName name="ы" localSheetId="11">#REF!</definedName>
    <definedName name="ы">#REF!</definedName>
    <definedName name="ыв" localSheetId="4">{30,140,350,160,"",""}</definedName>
    <definedName name="ыв" localSheetId="5">{30,140,350,160,"",""}</definedName>
    <definedName name="ыв" localSheetId="11">{30,140,350,160,"",""}</definedName>
    <definedName name="ыв">{30,140,350,160,"",""}</definedName>
    <definedName name="ыва" localSheetId="4">{30,140,350,160,"",""}</definedName>
    <definedName name="ыва" localSheetId="5">{30,140,350,160,"",""}</definedName>
    <definedName name="ыва" localSheetId="11">{30,140,350,160,"",""}</definedName>
    <definedName name="ыва">{30,140,350,160,"",""}</definedName>
    <definedName name="ывап" localSheetId="4">#REF!</definedName>
    <definedName name="ывап" localSheetId="5">#REF!</definedName>
    <definedName name="ывап" localSheetId="11">#REF!</definedName>
    <definedName name="ывап">#REF!</definedName>
    <definedName name="ывапролд" localSheetId="4">#REF!</definedName>
    <definedName name="ывапролд" localSheetId="5">#REF!</definedName>
    <definedName name="ывапролд" localSheetId="11">#REF!</definedName>
    <definedName name="ывапролд">#REF!</definedName>
    <definedName name="ывкпирц" localSheetId="4" hidden="1">{#N/A,#N/A,FALSE,"인원";#N/A,#N/A,FALSE,"비용2";#N/A,#N/A,FALSE,"비용1";#N/A,#N/A,FALSE,"비용";#N/A,#N/A,FALSE,"보증2";#N/A,#N/A,FALSE,"보증1";#N/A,#N/A,FALSE,"보증";#N/A,#N/A,FALSE,"손익1";#N/A,#N/A,FALSE,"손익";#N/A,#N/A,FALSE,"부서별매출";#N/A,#N/A,FALSE,"매출"}</definedName>
    <definedName name="ывкпирц" localSheetId="5" hidden="1">{#N/A,#N/A,FALSE,"인원";#N/A,#N/A,FALSE,"비용2";#N/A,#N/A,FALSE,"비용1";#N/A,#N/A,FALSE,"비용";#N/A,#N/A,FALSE,"보증2";#N/A,#N/A,FALSE,"보증1";#N/A,#N/A,FALSE,"보증";#N/A,#N/A,FALSE,"손익1";#N/A,#N/A,FALSE,"손익";#N/A,#N/A,FALSE,"부서별매출";#N/A,#N/A,FALSE,"매출"}</definedName>
    <definedName name="ывкпирц" localSheetId="11" hidden="1">{#N/A,#N/A,FALSE,"인원";#N/A,#N/A,FALSE,"비용2";#N/A,#N/A,FALSE,"비용1";#N/A,#N/A,FALSE,"비용";#N/A,#N/A,FALSE,"보증2";#N/A,#N/A,FALSE,"보증1";#N/A,#N/A,FALSE,"보증";#N/A,#N/A,FALSE,"손익1";#N/A,#N/A,FALSE,"손익";#N/A,#N/A,FALSE,"부서별매출";#N/A,#N/A,FALSE,"매출"}</definedName>
    <definedName name="ывкпирц" hidden="1">{#N/A,#N/A,FALSE,"인원";#N/A,#N/A,FALSE,"비용2";#N/A,#N/A,FALSE,"비용1";#N/A,#N/A,FALSE,"비용";#N/A,#N/A,FALSE,"보증2";#N/A,#N/A,FALSE,"보증1";#N/A,#N/A,FALSE,"보증";#N/A,#N/A,FALSE,"손익1";#N/A,#N/A,FALSE,"손익";#N/A,#N/A,FALSE,"부서별매출";#N/A,#N/A,FALSE,"매출"}</definedName>
    <definedName name="ывсвапть" localSheetId="4">{30,140,350,160,"",""}</definedName>
    <definedName name="ывсвапть" localSheetId="5">{30,140,350,160,"",""}</definedName>
    <definedName name="ывсвапть" localSheetId="11">{30,140,350,160,"",""}</definedName>
    <definedName name="ывсвапть">{30,140,350,160,"",""}</definedName>
    <definedName name="ывсы" localSheetId="4">#REF!</definedName>
    <definedName name="ывсы" localSheetId="5">#REF!</definedName>
    <definedName name="ывсы" localSheetId="11">#REF!</definedName>
    <definedName name="ывсы">#REF!</definedName>
    <definedName name="ывывавававав" localSheetId="4">#REF!</definedName>
    <definedName name="ывывавававав" localSheetId="5">#REF!</definedName>
    <definedName name="ывывавававав" localSheetId="11">#REF!</definedName>
    <definedName name="ывывавававав">#REF!</definedName>
    <definedName name="ынролрл" localSheetId="4">#REF!</definedName>
    <definedName name="ынролрл" localSheetId="5">#REF!</definedName>
    <definedName name="ынролрл" localSheetId="11">#REF!</definedName>
    <definedName name="ынролрл">#REF!</definedName>
    <definedName name="ыр" localSheetId="11">#REF!</definedName>
    <definedName name="ыр">#REF!</definedName>
    <definedName name="ЫСЫСЫС" localSheetId="4">{30,140,350,160,"",""}</definedName>
    <definedName name="ЫСЫСЫС" localSheetId="5">{30,140,350,160,"",""}</definedName>
    <definedName name="ЫСЫСЫС" localSheetId="11">{30,140,350,160,"",""}</definedName>
    <definedName name="ЫСЫСЫС">{30,140,350,160,"",""}</definedName>
    <definedName name="ыфв" localSheetId="4">{30,140,350,160,"",""}</definedName>
    <definedName name="ыфв" localSheetId="5">{30,140,350,160,"",""}</definedName>
    <definedName name="ыфв" localSheetId="11">{30,140,350,160,"",""}</definedName>
    <definedName name="ыфв">{30,140,350,160,"",""}</definedName>
    <definedName name="ыцвуц" localSheetId="4">#REF!</definedName>
    <definedName name="ыцвуц" localSheetId="5">#REF!</definedName>
    <definedName name="ыцвуц" localSheetId="11">#REF!</definedName>
    <definedName name="ыцвуц">#REF!</definedName>
    <definedName name="ыцйц" localSheetId="4">TRUNC((oy-1)/3+1)</definedName>
    <definedName name="ыцйц" localSheetId="5">TRUNC((oy-1)/3+1)</definedName>
    <definedName name="ыцйц" localSheetId="11">TRUNC((oy-1)/3+1)</definedName>
    <definedName name="ыцйц">TRUNC((oy-1)/3+1)</definedName>
    <definedName name="ыы" localSheetId="4" hidden="1">{#N/A,#N/A,FALSE,"SUMMARIZATION";#N/A,#N/A,FALSE,"INC_STAT";#N/A,#N/A,FALSE,"2 Sales &amp; Stock";#N/A,#N/A,FALSE,"3 Forecast98";#N/A,#N/A,FALSE,"4 Plan99";#N/A,#N/A,FALSE,"5 Purchase_Plan";#N/A,#N/A,FALSE,"7 Marketing";#N/A,#N/A,FALSE,"8 Non Op Inc Exp";#N/A,#N/A,FALSE,"9 Extord Gain &amp; Loss";#N/A,#N/A,FALSE,"Bal Sheet";#N/A,#N/A,FALSE,"Investment";#N/A,#N/A,FALSE,"Cash_Flow";#N/A,#N/A,FALSE,"IV Organisation";#N/A,#N/A,FALSE,"V Price Struct";#N/A,#N/A,FALSE,"V Bus Performance";#N/A,#N/A,FALSE,"V 5 Year Plan"}</definedName>
    <definedName name="ыы" localSheetId="5" hidden="1">{#N/A,#N/A,FALSE,"SUMMARIZATION";#N/A,#N/A,FALSE,"INC_STAT";#N/A,#N/A,FALSE,"2 Sales &amp; Stock";#N/A,#N/A,FALSE,"3 Forecast98";#N/A,#N/A,FALSE,"4 Plan99";#N/A,#N/A,FALSE,"5 Purchase_Plan";#N/A,#N/A,FALSE,"7 Marketing";#N/A,#N/A,FALSE,"8 Non Op Inc Exp";#N/A,#N/A,FALSE,"9 Extord Gain &amp; Loss";#N/A,#N/A,FALSE,"Bal Sheet";#N/A,#N/A,FALSE,"Investment";#N/A,#N/A,FALSE,"Cash_Flow";#N/A,#N/A,FALSE,"IV Organisation";#N/A,#N/A,FALSE,"V Price Struct";#N/A,#N/A,FALSE,"V Bus Performance";#N/A,#N/A,FALSE,"V 5 Year Plan"}</definedName>
    <definedName name="ыы" localSheetId="11" hidden="1">{#N/A,#N/A,FALSE,"SUMMARIZATION";#N/A,#N/A,FALSE,"INC_STAT";#N/A,#N/A,FALSE,"2 Sales &amp; Stock";#N/A,#N/A,FALSE,"3 Forecast98";#N/A,#N/A,FALSE,"4 Plan99";#N/A,#N/A,FALSE,"5 Purchase_Plan";#N/A,#N/A,FALSE,"7 Marketing";#N/A,#N/A,FALSE,"8 Non Op Inc Exp";#N/A,#N/A,FALSE,"9 Extord Gain &amp; Loss";#N/A,#N/A,FALSE,"Bal Sheet";#N/A,#N/A,FALSE,"Investment";#N/A,#N/A,FALSE,"Cash_Flow";#N/A,#N/A,FALSE,"IV Organisation";#N/A,#N/A,FALSE,"V Price Struct";#N/A,#N/A,FALSE,"V Bus Performance";#N/A,#N/A,FALSE,"V 5 Year Plan"}</definedName>
    <definedName name="ыы" hidden="1">{#N/A,#N/A,FALSE,"SUMMARIZATION";#N/A,#N/A,FALSE,"INC_STAT";#N/A,#N/A,FALSE,"2 Sales &amp; Stock";#N/A,#N/A,FALSE,"3 Forecast98";#N/A,#N/A,FALSE,"4 Plan99";#N/A,#N/A,FALSE,"5 Purchase_Plan";#N/A,#N/A,FALSE,"7 Marketing";#N/A,#N/A,FALSE,"8 Non Op Inc Exp";#N/A,#N/A,FALSE,"9 Extord Gain &amp; Loss";#N/A,#N/A,FALSE,"Bal Sheet";#N/A,#N/A,FALSE,"Investment";#N/A,#N/A,FALSE,"Cash_Flow";#N/A,#N/A,FALSE,"IV Organisation";#N/A,#N/A,FALSE,"V Price Struct";#N/A,#N/A,FALSE,"V Bus Performance";#N/A,#N/A,FALSE,"V 5 Year Plan"}</definedName>
    <definedName name="ЫЫЫЫ" localSheetId="4">#REF!</definedName>
    <definedName name="ЫЫЫЫ" localSheetId="5">#REF!</definedName>
    <definedName name="ЫЫЫЫ" localSheetId="11">#REF!</definedName>
    <definedName name="ЫЫЫЫ">#REF!</definedName>
    <definedName name="ыыыыыыыыыы" localSheetId="4">TRUNC((oy-1)/3+1)</definedName>
    <definedName name="ыыыыыыыыыы" localSheetId="5">TRUNC((oy-1)/3+1)</definedName>
    <definedName name="ыыыыыыыыыы" localSheetId="11">TRUNC((oy-1)/3+1)</definedName>
    <definedName name="ыыыыыыыыыы">TRUNC((oy-1)/3+1)</definedName>
    <definedName name="ь"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ь"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ь"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ь"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ьд" localSheetId="4">#REF!</definedName>
    <definedName name="ьд" localSheetId="5">#REF!</definedName>
    <definedName name="ьд" localSheetId="11">#REF!</definedName>
    <definedName name="ьд">#REF!</definedName>
    <definedName name="ьь" localSheetId="4" hidden="1">{#N/A,#N/A,FALSE,"인원";#N/A,#N/A,FALSE,"비용2";#N/A,#N/A,FALSE,"비용1";#N/A,#N/A,FALSE,"비용";#N/A,#N/A,FALSE,"보증2";#N/A,#N/A,FALSE,"보증1";#N/A,#N/A,FALSE,"보증";#N/A,#N/A,FALSE,"손익1";#N/A,#N/A,FALSE,"손익";#N/A,#N/A,FALSE,"부서별매출";#N/A,#N/A,FALSE,"매출"}</definedName>
    <definedName name="ьь" localSheetId="5" hidden="1">{#N/A,#N/A,FALSE,"인원";#N/A,#N/A,FALSE,"비용2";#N/A,#N/A,FALSE,"비용1";#N/A,#N/A,FALSE,"비용";#N/A,#N/A,FALSE,"보증2";#N/A,#N/A,FALSE,"보증1";#N/A,#N/A,FALSE,"보증";#N/A,#N/A,FALSE,"손익1";#N/A,#N/A,FALSE,"손익";#N/A,#N/A,FALSE,"부서별매출";#N/A,#N/A,FALSE,"매출"}</definedName>
    <definedName name="ьь" localSheetId="11" hidden="1">{#N/A,#N/A,FALSE,"인원";#N/A,#N/A,FALSE,"비용2";#N/A,#N/A,FALSE,"비용1";#N/A,#N/A,FALSE,"비용";#N/A,#N/A,FALSE,"보증2";#N/A,#N/A,FALSE,"보증1";#N/A,#N/A,FALSE,"보증";#N/A,#N/A,FALSE,"손익1";#N/A,#N/A,FALSE,"손익";#N/A,#N/A,FALSE,"부서별매출";#N/A,#N/A,FALSE,"매출"}</definedName>
    <definedName name="ьь" hidden="1">{#N/A,#N/A,FALSE,"인원";#N/A,#N/A,FALSE,"비용2";#N/A,#N/A,FALSE,"비용1";#N/A,#N/A,FALSE,"비용";#N/A,#N/A,FALSE,"보증2";#N/A,#N/A,FALSE,"보증1";#N/A,#N/A,FALSE,"보증";#N/A,#N/A,FALSE,"손익1";#N/A,#N/A,FALSE,"손익";#N/A,#N/A,FALSE,"부서별매출";#N/A,#N/A,FALSE,"매출"}</definedName>
    <definedName name="ьььь" localSheetId="4">TRUNC((oy-1)/3+1)</definedName>
    <definedName name="ьььь" localSheetId="5">TRUNC((oy-1)/3+1)</definedName>
    <definedName name="ьььь" localSheetId="11">TRUNC((oy-1)/3+1)</definedName>
    <definedName name="ьььь">TRUNC((oy-1)/3+1)</definedName>
    <definedName name="э" localSheetId="4">DATE(yil,oy,1)</definedName>
    <definedName name="э" localSheetId="5">DATE(yil,oy,1)</definedName>
    <definedName name="э" localSheetId="11">DATE(yil,oy,1)</definedName>
    <definedName name="э">DATE(yil,oy,1)</definedName>
    <definedName name="эгамов" localSheetId="4">{30,140,350,160,"",""}</definedName>
    <definedName name="эгамов" localSheetId="5">{30,140,350,160,"",""}</definedName>
    <definedName name="эгамов" localSheetId="11">{30,140,350,160,"",""}</definedName>
    <definedName name="эгамов">{30,140,350,160,"",""}</definedName>
    <definedName name="экс" localSheetId="4">TRUNC((oy-1)/3+1)</definedName>
    <definedName name="экс" localSheetId="5">TRUNC((oy-1)/3+1)</definedName>
    <definedName name="экс" localSheetId="11">TRUNC((oy-1)/3+1)</definedName>
    <definedName name="экс">TRUNC((oy-1)/3+1)</definedName>
    <definedName name="экспор" localSheetId="4">TRUNC((oy-1)/3+1)</definedName>
    <definedName name="экспор" localSheetId="5">TRUNC((oy-1)/3+1)</definedName>
    <definedName name="экспор" localSheetId="11">TRUNC((oy-1)/3+1)</definedName>
    <definedName name="экспор">TRUNC((oy-1)/3+1)</definedName>
    <definedName name="экспорт" localSheetId="4">TRUNC((oy-1)/3+1)</definedName>
    <definedName name="экспорт" localSheetId="5">TRUNC((oy-1)/3+1)</definedName>
    <definedName name="экспорт" localSheetId="11">TRUNC((oy-1)/3+1)</definedName>
    <definedName name="экспорт">TRUNC((oy-1)/3+1)</definedName>
    <definedName name="Электр" localSheetId="4">#REF!</definedName>
    <definedName name="Электр" localSheetId="5">#REF!</definedName>
    <definedName name="Электр" localSheetId="11">#REF!</definedName>
    <definedName name="Электр">#REF!</definedName>
    <definedName name="ЭХА" localSheetId="4">#REF!</definedName>
    <definedName name="ЭХА" localSheetId="5">#REF!</definedName>
    <definedName name="ЭХА" localSheetId="11">#REF!</definedName>
    <definedName name="ЭХА">#REF!</definedName>
    <definedName name="юб" localSheetId="4">#REF!</definedName>
    <definedName name="юб" localSheetId="5">#REF!</definedName>
    <definedName name="юб" localSheetId="11">#REF!</definedName>
    <definedName name="юб">#REF!</definedName>
    <definedName name="юкори" localSheetId="11" hidden="1">#REF!</definedName>
    <definedName name="юкори" hidden="1">#REF!</definedName>
    <definedName name="юля" localSheetId="11">#REF!</definedName>
    <definedName name="юля">#REF!</definedName>
    <definedName name="юмшатиш" localSheetId="4">{30,140,350,160,"",""}</definedName>
    <definedName name="юмшатиш" localSheetId="5">{30,140,350,160,"",""}</definedName>
    <definedName name="юмшатиш" localSheetId="11">{30,140,350,160,"",""}</definedName>
    <definedName name="юмшатиш">{30,140,350,160,"",""}</definedName>
    <definedName name="юмшок" localSheetId="4">{30,140,350,160,"",""}</definedName>
    <definedName name="юмшок" localSheetId="5">{30,140,350,160,"",""}</definedName>
    <definedName name="юмшок" localSheetId="11">{30,140,350,160,"",""}</definedName>
    <definedName name="юмшок">{30,140,350,160,"",""}</definedName>
    <definedName name="юод" localSheetId="4">{30,140,350,160,"",""}</definedName>
    <definedName name="юод" localSheetId="5">{30,140,350,160,"",""}</definedName>
    <definedName name="юод" localSheetId="11">{30,140,350,160,"",""}</definedName>
    <definedName name="юод">{30,140,350,160,"",""}</definedName>
    <definedName name="юю" localSheetId="4">#REF!</definedName>
    <definedName name="юю" localSheetId="5">#REF!</definedName>
    <definedName name="юю" localSheetId="11">#REF!</definedName>
    <definedName name="юю">#REF!</definedName>
    <definedName name="я"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я"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я"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я"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ягана" localSheetId="4">{30,140,350,160,"",""}</definedName>
    <definedName name="ягана" localSheetId="5">{30,140,350,160,"",""}</definedName>
    <definedName name="ягана" localSheetId="11">{30,140,350,160,"",""}</definedName>
    <definedName name="ягана">{30,140,350,160,"",""}</definedName>
    <definedName name="январь">#N/A</definedName>
    <definedName name="янги" localSheetId="4">#REF!</definedName>
    <definedName name="янги" localSheetId="5">#REF!</definedName>
    <definedName name="янги" localSheetId="11">#REF!</definedName>
    <definedName name="янги">#REF!</definedName>
    <definedName name="янгиааа" localSheetId="4">{30,140,350,160,"",""}</definedName>
    <definedName name="янгиааа" localSheetId="5">{30,140,350,160,"",""}</definedName>
    <definedName name="янгиааа" localSheetId="11">{30,140,350,160,"",""}</definedName>
    <definedName name="янгиааа">{30,140,350,160,"",""}</definedName>
    <definedName name="янгиаааа" localSheetId="4">{30,140,350,160,"",""}</definedName>
    <definedName name="янгиаааа" localSheetId="5">{30,140,350,160,"",""}</definedName>
    <definedName name="янгиаааа" localSheetId="11">{30,140,350,160,"",""}</definedName>
    <definedName name="янгиаааа">{30,140,350,160,"",""}</definedName>
    <definedName name="ЯНГИАРИКТУМАН" localSheetId="4">#REF!</definedName>
    <definedName name="ЯНГИАРИКТУМАН" localSheetId="5">#REF!</definedName>
    <definedName name="ЯНГИАРИКТУМАН" localSheetId="11">#REF!</definedName>
    <definedName name="ЯНГИАРИКТУМАН">#REF!</definedName>
    <definedName name="ЯНГИБОЗОРТУМАН" localSheetId="4">#REF!</definedName>
    <definedName name="ЯНГИБОЗОРТУМАН" localSheetId="5">#REF!</definedName>
    <definedName name="ЯНГИБОЗОРТУМАН" localSheetId="11">#REF!</definedName>
    <definedName name="ЯНГИБОЗОРТУМАН">#REF!</definedName>
    <definedName name="ЯЧС" localSheetId="4">#REF!</definedName>
    <definedName name="ЯЧС" localSheetId="5">#REF!</definedName>
    <definedName name="ЯЧС" localSheetId="11">#REF!</definedName>
    <definedName name="ЯЧС">#REF!</definedName>
    <definedName name="ячфячфф" localSheetId="4">{30,140,350,160,"",""}</definedName>
    <definedName name="ячфячфф" localSheetId="5">{30,140,350,160,"",""}</definedName>
    <definedName name="ячфячфф" localSheetId="11">{30,140,350,160,"",""}</definedName>
    <definedName name="ячфячфф">{30,140,350,160,"",""}</definedName>
    <definedName name="яя" localSheetId="3">[0]!_a1Z,[0]!_a2Z</definedName>
    <definedName name="яя" localSheetId="4">[0]!_a1Z,[0]!_a2Z</definedName>
    <definedName name="яя" localSheetId="5">[0]!_a1Z,[0]!_a2Z</definedName>
    <definedName name="яя" localSheetId="11">[0]!_a1Z,[0]!_a2Z</definedName>
    <definedName name="яя">[0]!_a1Z,[0]!_a2Z</definedName>
    <definedName name="яяя" localSheetId="4">#REF!</definedName>
    <definedName name="яяя" localSheetId="5">#REF!</definedName>
    <definedName name="яяя" localSheetId="11">#REF!</definedName>
    <definedName name="яяя">#REF!</definedName>
    <definedName name="ㄱㄱㄱ"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ㄱㄱㄱ"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ㄱㄱㄱ"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ㄱㄱ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ㄱㄱㄱ3"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ㄱㄱㄱ3"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ㄱㄱㄱ3"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ㄱㄱㄱ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ㄱㄷㄱㄱ" localSheetId="4" hidden="1">{#N/A,#N/A,TRUE,"일정"}</definedName>
    <definedName name="ㄱㄷㄱㄱ" localSheetId="5" hidden="1">{#N/A,#N/A,TRUE,"일정"}</definedName>
    <definedName name="ㄱㄷㄱㄱ" localSheetId="11" hidden="1">{#N/A,#N/A,TRUE,"일정"}</definedName>
    <definedName name="ㄱㄷㄱㄱ" hidden="1">{#N/A,#N/A,TRUE,"일정"}</definedName>
    <definedName name="가격" localSheetId="4">#REF!</definedName>
    <definedName name="가격" localSheetId="5">#REF!</definedName>
    <definedName name="가격" localSheetId="11">#REF!</definedName>
    <definedName name="가격">#REF!</definedName>
    <definedName name="개발차종">#N/A</definedName>
    <definedName name="검구"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검구"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검구"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검구"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검구1"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검구1"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검구1"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검구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검토중QC"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검토중QC"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검토중QC"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검토중QC"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영계획" localSheetId="4">#REF!</definedName>
    <definedName name="경영계획" localSheetId="5">#REF!</definedName>
    <definedName name="경영계획" localSheetId="11">#REF!</definedName>
    <definedName name="경영계획">#REF!</definedName>
    <definedName name="경영환경" localSheetId="4" hidden="1">{#N/A,#N/A,TRUE,"일정"}</definedName>
    <definedName name="경영환경" localSheetId="5" hidden="1">{#N/A,#N/A,TRUE,"일정"}</definedName>
    <definedName name="경영환경" localSheetId="11" hidden="1">{#N/A,#N/A,TRUE,"일정"}</definedName>
    <definedName name="경영환경" hidden="1">{#N/A,#N/A,TRUE,"일정"}</definedName>
    <definedName name="경쟁2"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쟁2"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쟁2"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쟁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계획" localSheetId="4" hidden="1">#REF!</definedName>
    <definedName name="계획" localSheetId="5" hidden="1">#REF!</definedName>
    <definedName name="계획" localSheetId="11" hidden="1">#REF!</definedName>
    <definedName name="계획" hidden="1">#REF!</definedName>
    <definedName name="고로" localSheetId="4" hidden="1">{#N/A,#N/A,TRUE,"일정"}</definedName>
    <definedName name="고로" localSheetId="5" hidden="1">{#N/A,#N/A,TRUE,"일정"}</definedName>
    <definedName name="고로" localSheetId="11" hidden="1">{#N/A,#N/A,TRUE,"일정"}</definedName>
    <definedName name="고로" hidden="1">{#N/A,#N/A,TRUE,"일정"}</definedName>
    <definedName name="공기"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공기"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공기"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공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구조조정계획"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1"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1"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1"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권">#N/A</definedName>
    <definedName name="권종원">#N/A</definedName>
    <definedName name="금형" localSheetId="4"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금형" localSheetId="5"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금형" localSheetId="1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금형"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금형상세" localSheetId="4" hidden="1">{#N/A,#N/A,TRUE,"일정"}</definedName>
    <definedName name="금형상세" localSheetId="5" hidden="1">{#N/A,#N/A,TRUE,"일정"}</definedName>
    <definedName name="금형상세" localSheetId="11" hidden="1">{#N/A,#N/A,TRUE,"일정"}</definedName>
    <definedName name="금형상세" hidden="1">{#N/A,#N/A,TRUE,"일정"}</definedName>
    <definedName name="기"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본계획"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본계획"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본계획"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본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긴"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긴"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긴"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 localSheetId="4">#REF!</definedName>
    <definedName name="김" localSheetId="5">#REF!</definedName>
    <definedName name="김" localSheetId="11">#REF!</definedName>
    <definedName name="김">#REF!</definedName>
    <definedName name="김두만"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두만"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두만"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두만"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두만님"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두만님"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두만님"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두만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성냔" localSheetId="4" hidden="1">{#N/A,#N/A,FALSE,"단축1";#N/A,#N/A,FALSE,"단축2";#N/A,#N/A,FALSE,"단축3";#N/A,#N/A,FALSE,"장축";#N/A,#N/A,FALSE,"4WD"}</definedName>
    <definedName name="김성냔" localSheetId="5" hidden="1">{#N/A,#N/A,FALSE,"단축1";#N/A,#N/A,FALSE,"단축2";#N/A,#N/A,FALSE,"단축3";#N/A,#N/A,FALSE,"장축";#N/A,#N/A,FALSE,"4WD"}</definedName>
    <definedName name="김성냔" localSheetId="11" hidden="1">{#N/A,#N/A,FALSE,"단축1";#N/A,#N/A,FALSE,"단축2";#N/A,#N/A,FALSE,"단축3";#N/A,#N/A,FALSE,"장축";#N/A,#N/A,FALSE,"4WD"}</definedName>
    <definedName name="김성냔" hidden="1">{#N/A,#N/A,FALSE,"단축1";#N/A,#N/A,FALSE,"단축2";#N/A,#N/A,FALSE,"단축3";#N/A,#N/A,FALSE,"장축";#N/A,#N/A,FALSE,"4WD"}</definedName>
    <definedName name="김세일">#N/A</definedName>
    <definedName name="김일">#N/A</definedName>
    <definedName name="김일기"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일기"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일기"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일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정룡"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정룡"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정룡"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정룡"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ㄴㄴㄴㄴ"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ㄴㄴㄴㄴ"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ㄴㄴㄴㄴ"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ㄴㄴㄴ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ㅇㅁㄹㄴㄹ" localSheetId="4" hidden="1">{#N/A,#N/A,TRUE,"일정"}</definedName>
    <definedName name="ㄴㅇㅁㄹㄴㄹ" localSheetId="5" hidden="1">{#N/A,#N/A,TRUE,"일정"}</definedName>
    <definedName name="ㄴㅇㅁㄹㄴㄹ" localSheetId="11" hidden="1">{#N/A,#N/A,TRUE,"일정"}</definedName>
    <definedName name="ㄴㅇㅁㄹㄴㄹ" hidden="1">{#N/A,#N/A,TRUE,"일정"}</definedName>
    <definedName name="너" localSheetId="4" hidden="1">{#N/A,#N/A,FALSE,"인원";#N/A,#N/A,FALSE,"비용2";#N/A,#N/A,FALSE,"비용1";#N/A,#N/A,FALSE,"비용";#N/A,#N/A,FALSE,"보증2";#N/A,#N/A,FALSE,"보증1";#N/A,#N/A,FALSE,"보증";#N/A,#N/A,FALSE,"손익1";#N/A,#N/A,FALSE,"손익";#N/A,#N/A,FALSE,"부서별매출";#N/A,#N/A,FALSE,"매출"}</definedName>
    <definedName name="너" localSheetId="5" hidden="1">{#N/A,#N/A,FALSE,"인원";#N/A,#N/A,FALSE,"비용2";#N/A,#N/A,FALSE,"비용1";#N/A,#N/A,FALSE,"비용";#N/A,#N/A,FALSE,"보증2";#N/A,#N/A,FALSE,"보증1";#N/A,#N/A,FALSE,"보증";#N/A,#N/A,FALSE,"손익1";#N/A,#N/A,FALSE,"손익";#N/A,#N/A,FALSE,"부서별매출";#N/A,#N/A,FALSE,"매출"}</definedName>
    <definedName name="너" localSheetId="11" hidden="1">{#N/A,#N/A,FALSE,"인원";#N/A,#N/A,FALSE,"비용2";#N/A,#N/A,FALSE,"비용1";#N/A,#N/A,FALSE,"비용";#N/A,#N/A,FALSE,"보증2";#N/A,#N/A,FALSE,"보증1";#N/A,#N/A,FALSE,"보증";#N/A,#N/A,FALSE,"손익1";#N/A,#N/A,FALSE,"손익";#N/A,#N/A,FALSE,"부서별매출";#N/A,#N/A,FALSE,"매출"}</definedName>
    <definedName name="너" hidden="1">{#N/A,#N/A,FALSE,"인원";#N/A,#N/A,FALSE,"비용2";#N/A,#N/A,FALSE,"비용1";#N/A,#N/A,FALSE,"비용";#N/A,#N/A,FALSE,"보증2";#N/A,#N/A,FALSE,"보증1";#N/A,#N/A,FALSE,"보증";#N/A,#N/A,FALSE,"손익1";#N/A,#N/A,FALSE,"손익";#N/A,#N/A,FALSE,"부서별매출";#N/A,#N/A,FALSE,"매출"}</definedName>
    <definedName name="년도"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년도"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년도"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년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노ㄷㄷㅅ" localSheetId="4" hidden="1">{#N/A,#N/A,TRUE,"일정"}</definedName>
    <definedName name="노ㄷㄷㅅ" localSheetId="5" hidden="1">{#N/A,#N/A,TRUE,"일정"}</definedName>
    <definedName name="노ㄷㄷㅅ" localSheetId="11" hidden="1">{#N/A,#N/A,TRUE,"일정"}</definedName>
    <definedName name="노ㄷㄷㅅ" hidden="1">{#N/A,#N/A,TRUE,"일정"}</definedName>
    <definedName name="ㄷㅈ"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ㄷㅈ"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ㄷㅈ"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ㄷ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단가" localSheetId="4" hidden="1">{#N/A,#N/A,FALSE,"BODY"}</definedName>
    <definedName name="단가" localSheetId="5" hidden="1">{#N/A,#N/A,FALSE,"BODY"}</definedName>
    <definedName name="단가" localSheetId="11" hidden="1">{#N/A,#N/A,FALSE,"BODY"}</definedName>
    <definedName name="단가" hidden="1">{#N/A,#N/A,FALSE,"BODY"}</definedName>
    <definedName name="도"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도"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도"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도장"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도장"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도장"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도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로"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로"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로"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라ㅣ"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라ㅣ"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라ㅣ"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라ㅣ"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로커커버" localSheetId="4" hidden="1">{#N/A,#N/A,FALSE,"단축1";#N/A,#N/A,FALSE,"단축2";#N/A,#N/A,FALSE,"단축3";#N/A,#N/A,FALSE,"장축";#N/A,#N/A,FALSE,"4WD"}</definedName>
    <definedName name="로커커버" localSheetId="5" hidden="1">{#N/A,#N/A,FALSE,"단축1";#N/A,#N/A,FALSE,"단축2";#N/A,#N/A,FALSE,"단축3";#N/A,#N/A,FALSE,"장축";#N/A,#N/A,FALSE,"4WD"}</definedName>
    <definedName name="로커커버" localSheetId="11" hidden="1">{#N/A,#N/A,FALSE,"단축1";#N/A,#N/A,FALSE,"단축2";#N/A,#N/A,FALSE,"단축3";#N/A,#N/A,FALSE,"장축";#N/A,#N/A,FALSE,"4WD"}</definedName>
    <definedName name="로커커버" hidden="1">{#N/A,#N/A,FALSE,"단축1";#N/A,#N/A,FALSE,"단축2";#N/A,#N/A,FALSE,"단축3";#N/A,#N/A,FALSE,"장축";#N/A,#N/A,FALSE,"4WD"}</definedName>
    <definedName name="루프"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루프"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루프"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루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ㄺㅅ"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ㄺㅅ"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ㄺㅅ"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ㄺㅅ"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 localSheetId="4" hidden="1">{#N/A,#N/A,FALSE,"신규dep";#N/A,#N/A,FALSE,"신규dep-금형상각후";#N/A,#N/A,FALSE,"신규dep-연구비상각후";#N/A,#N/A,FALSE,"신규dep-기계,공구상각후"}</definedName>
    <definedName name="ㅁ" localSheetId="5" hidden="1">{#N/A,#N/A,FALSE,"신규dep";#N/A,#N/A,FALSE,"신규dep-금형상각후";#N/A,#N/A,FALSE,"신규dep-연구비상각후";#N/A,#N/A,FALSE,"신규dep-기계,공구상각후"}</definedName>
    <definedName name="ㅁ" localSheetId="11" hidden="1">{#N/A,#N/A,FALSE,"신규dep";#N/A,#N/A,FALSE,"신규dep-금형상각후";#N/A,#N/A,FALSE,"신규dep-연구비상각후";#N/A,#N/A,FALSE,"신규dep-기계,공구상각후"}</definedName>
    <definedName name="ㅁ" hidden="1">{#N/A,#N/A,FALSE,"신규dep";#N/A,#N/A,FALSE,"신규dep-금형상각후";#N/A,#N/A,FALSE,"신규dep-연구비상각후";#N/A,#N/A,FALSE,"신규dep-기계,공구상각후"}</definedName>
    <definedName name="ㅁㄴ"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ㄴ"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ㄴ"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ㄹㄻㅈㄹ" localSheetId="4" hidden="1">{#N/A,#N/A,FALSE,"신규dep";#N/A,#N/A,FALSE,"신규dep-금형상각후";#N/A,#N/A,FALSE,"신규dep-연구비상각후";#N/A,#N/A,FALSE,"신규dep-기계,공구상각후"}</definedName>
    <definedName name="ㅁㄹㄻㅈㄹ" localSheetId="5" hidden="1">{#N/A,#N/A,FALSE,"신규dep";#N/A,#N/A,FALSE,"신규dep-금형상각후";#N/A,#N/A,FALSE,"신규dep-연구비상각후";#N/A,#N/A,FALSE,"신규dep-기계,공구상각후"}</definedName>
    <definedName name="ㅁㄹㄻㅈㄹ" localSheetId="11" hidden="1">{#N/A,#N/A,FALSE,"신규dep";#N/A,#N/A,FALSE,"신규dep-금형상각후";#N/A,#N/A,FALSE,"신규dep-연구비상각후";#N/A,#N/A,FALSE,"신규dep-기계,공구상각후"}</definedName>
    <definedName name="ㅁㄹㄻㅈㄹ" hidden="1">{#N/A,#N/A,FALSE,"신규dep";#N/A,#N/A,FALSE,"신규dep-금형상각후";#N/A,#N/A,FALSE,"신규dep-연구비상각후";#N/A,#N/A,FALSE,"신규dep-기계,공구상각후"}</definedName>
    <definedName name="ㅁㅁ"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ㅁ"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ㅁ"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ㅇㄹㄹㄼㅂㅈㄷ1132"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ㅇㄹㄹㄼㅂㅈㄷ1132"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ㅇㄹㄹㄼㅂㅈㄷ1132"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ㅇㄹㄹㄼㅂㅈㄷ113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메인"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메인"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메인"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메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목차" localSheetId="4" hidden="1">{#N/A,#N/A,FALSE,"단축1";#N/A,#N/A,FALSE,"단축2";#N/A,#N/A,FALSE,"단축3";#N/A,#N/A,FALSE,"장축";#N/A,#N/A,FALSE,"4WD"}</definedName>
    <definedName name="목차" localSheetId="5" hidden="1">{#N/A,#N/A,FALSE,"단축1";#N/A,#N/A,FALSE,"단축2";#N/A,#N/A,FALSE,"단축3";#N/A,#N/A,FALSE,"장축";#N/A,#N/A,FALSE,"4WD"}</definedName>
    <definedName name="목차" localSheetId="11" hidden="1">{#N/A,#N/A,FALSE,"단축1";#N/A,#N/A,FALSE,"단축2";#N/A,#N/A,FALSE,"단축3";#N/A,#N/A,FALSE,"장축";#N/A,#N/A,FALSE,"4WD"}</definedName>
    <definedName name="목차" hidden="1">{#N/A,#N/A,FALSE,"단축1";#N/A,#N/A,FALSE,"단축2";#N/A,#N/A,FALSE,"단축3";#N/A,#N/A,FALSE,"장축";#N/A,#N/A,FALSE,"4WD"}</definedName>
    <definedName name="목표예산참조" localSheetId="4" hidden="1">{#N/A,#N/A,FALSE,"인원";#N/A,#N/A,FALSE,"비용2";#N/A,#N/A,FALSE,"비용1";#N/A,#N/A,FALSE,"비용";#N/A,#N/A,FALSE,"보증2";#N/A,#N/A,FALSE,"보증1";#N/A,#N/A,FALSE,"보증";#N/A,#N/A,FALSE,"손익1";#N/A,#N/A,FALSE,"손익";#N/A,#N/A,FALSE,"부서별매출";#N/A,#N/A,FALSE,"매출"}</definedName>
    <definedName name="목표예산참조" localSheetId="5" hidden="1">{#N/A,#N/A,FALSE,"인원";#N/A,#N/A,FALSE,"비용2";#N/A,#N/A,FALSE,"비용1";#N/A,#N/A,FALSE,"비용";#N/A,#N/A,FALSE,"보증2";#N/A,#N/A,FALSE,"보증1";#N/A,#N/A,FALSE,"보증";#N/A,#N/A,FALSE,"손익1";#N/A,#N/A,FALSE,"손익";#N/A,#N/A,FALSE,"부서별매출";#N/A,#N/A,FALSE,"매출"}</definedName>
    <definedName name="목표예산참조" localSheetId="11" hidden="1">{#N/A,#N/A,FALSE,"인원";#N/A,#N/A,FALSE,"비용2";#N/A,#N/A,FALSE,"비용1";#N/A,#N/A,FALSE,"비용";#N/A,#N/A,FALSE,"보증2";#N/A,#N/A,FALSE,"보증1";#N/A,#N/A,FALSE,"보증";#N/A,#N/A,FALSE,"손익1";#N/A,#N/A,FALSE,"손익";#N/A,#N/A,FALSE,"부서별매출";#N/A,#N/A,FALSE,"매출"}</definedName>
    <definedName name="목표예산참조" hidden="1">{#N/A,#N/A,FALSE,"인원";#N/A,#N/A,FALSE,"비용2";#N/A,#N/A,FALSE,"비용1";#N/A,#N/A,FALSE,"비용";#N/A,#N/A,FALSE,"보증2";#N/A,#N/A,FALSE,"보증1";#N/A,#N/A,FALSE,"보증";#N/A,#N/A,FALSE,"손익1";#N/A,#N/A,FALSE,"손익";#N/A,#N/A,FALSE,"부서별매출";#N/A,#N/A,FALSE,"매출"}</definedName>
    <definedName name="몰라" localSheetId="4" hidden="1">{#N/A,#N/A,TRUE,"일정"}</definedName>
    <definedName name="몰라" localSheetId="5" hidden="1">{#N/A,#N/A,TRUE,"일정"}</definedName>
    <definedName name="몰라" localSheetId="11" hidden="1">{#N/A,#N/A,TRUE,"일정"}</definedName>
    <definedName name="몰라" hidden="1">{#N/A,#N/A,TRUE,"일정"}</definedName>
    <definedName name="문제점" localSheetId="4" hidden="1">{#N/A,#N/A,FALSE,"인원";#N/A,#N/A,FALSE,"비용2";#N/A,#N/A,FALSE,"비용1";#N/A,#N/A,FALSE,"비용";#N/A,#N/A,FALSE,"보증2";#N/A,#N/A,FALSE,"보증1";#N/A,#N/A,FALSE,"보증";#N/A,#N/A,FALSE,"손익1";#N/A,#N/A,FALSE,"손익";#N/A,#N/A,FALSE,"부서별매출";#N/A,#N/A,FALSE,"매출"}</definedName>
    <definedName name="문제점" localSheetId="5" hidden="1">{#N/A,#N/A,FALSE,"인원";#N/A,#N/A,FALSE,"비용2";#N/A,#N/A,FALSE,"비용1";#N/A,#N/A,FALSE,"비용";#N/A,#N/A,FALSE,"보증2";#N/A,#N/A,FALSE,"보증1";#N/A,#N/A,FALSE,"보증";#N/A,#N/A,FALSE,"손익1";#N/A,#N/A,FALSE,"손익";#N/A,#N/A,FALSE,"부서별매출";#N/A,#N/A,FALSE,"매출"}</definedName>
    <definedName name="문제점" localSheetId="11" hidden="1">{#N/A,#N/A,FALSE,"인원";#N/A,#N/A,FALSE,"비용2";#N/A,#N/A,FALSE,"비용1";#N/A,#N/A,FALSE,"비용";#N/A,#N/A,FALSE,"보증2";#N/A,#N/A,FALSE,"보증1";#N/A,#N/A,FALSE,"보증";#N/A,#N/A,FALSE,"손익1";#N/A,#N/A,FALSE,"손익";#N/A,#N/A,FALSE,"부서별매출";#N/A,#N/A,FALSE,"매출"}</definedName>
    <definedName name="문제점" hidden="1">{#N/A,#N/A,FALSE,"인원";#N/A,#N/A,FALSE,"비용2";#N/A,#N/A,FALSE,"비용1";#N/A,#N/A,FALSE,"비용";#N/A,#N/A,FALSE,"보증2";#N/A,#N/A,FALSE,"보증1";#N/A,#N/A,FALSE,"보증";#N/A,#N/A,FALSE,"손익1";#N/A,#N/A,FALSE,"손익";#N/A,#N/A,FALSE,"부서별매출";#N/A,#N/A,FALSE,"매출"}</definedName>
    <definedName name="물"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류" localSheetId="4" hidden="1">{#N/A,#N/A,TRUE,"일정"}</definedName>
    <definedName name="물류" localSheetId="5" hidden="1">{#N/A,#N/A,TRUE,"일정"}</definedName>
    <definedName name="물류" localSheetId="11" hidden="1">{#N/A,#N/A,TRUE,"일정"}</definedName>
    <definedName name="물류" hidden="1">{#N/A,#N/A,TRUE,"일정"}</definedName>
    <definedName name="물류혁신" localSheetId="4" hidden="1">{#N/A,#N/A,FALSE,"인원";#N/A,#N/A,FALSE,"비용2";#N/A,#N/A,FALSE,"비용1";#N/A,#N/A,FALSE,"비용";#N/A,#N/A,FALSE,"보증2";#N/A,#N/A,FALSE,"보증1";#N/A,#N/A,FALSE,"보증";#N/A,#N/A,FALSE,"손익1";#N/A,#N/A,FALSE,"손익";#N/A,#N/A,FALSE,"부서별매출";#N/A,#N/A,FALSE,"매출"}</definedName>
    <definedName name="물류혁신" localSheetId="5" hidden="1">{#N/A,#N/A,FALSE,"인원";#N/A,#N/A,FALSE,"비용2";#N/A,#N/A,FALSE,"비용1";#N/A,#N/A,FALSE,"비용";#N/A,#N/A,FALSE,"보증2";#N/A,#N/A,FALSE,"보증1";#N/A,#N/A,FALSE,"보증";#N/A,#N/A,FALSE,"손익1";#N/A,#N/A,FALSE,"손익";#N/A,#N/A,FALSE,"부서별매출";#N/A,#N/A,FALSE,"매출"}</definedName>
    <definedName name="물류혁신" localSheetId="11" hidden="1">{#N/A,#N/A,FALSE,"인원";#N/A,#N/A,FALSE,"비용2";#N/A,#N/A,FALSE,"비용1";#N/A,#N/A,FALSE,"비용";#N/A,#N/A,FALSE,"보증2";#N/A,#N/A,FALSE,"보증1";#N/A,#N/A,FALSE,"보증";#N/A,#N/A,FALSE,"손익1";#N/A,#N/A,FALSE,"손익";#N/A,#N/A,FALSE,"부서별매출";#N/A,#N/A,FALSE,"매출"}</definedName>
    <definedName name="물류혁신" hidden="1">{#N/A,#N/A,FALSE,"인원";#N/A,#N/A,FALSE,"비용2";#N/A,#N/A,FALSE,"비용1";#N/A,#N/A,FALSE,"비용";#N/A,#N/A,FALSE,"보증2";#N/A,#N/A,FALSE,"보증1";#N/A,#N/A,FALSE,"보증";#N/A,#N/A,FALSE,"손익1";#N/A,#N/A,FALSE,"손익";#N/A,#N/A,FALSE,"부서별매출";#N/A,#N/A,FALSE,"매출"}</definedName>
    <definedName name="물류혁신2"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류혁신2"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류혁신2"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류혁신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므" localSheetId="4" hidden="1">{#N/A,#N/A,TRUE,"일정"}</definedName>
    <definedName name="므" localSheetId="5" hidden="1">{#N/A,#N/A,TRUE,"일정"}</definedName>
    <definedName name="므" localSheetId="11" hidden="1">{#N/A,#N/A,TRUE,"일정"}</definedName>
    <definedName name="므" hidden="1">{#N/A,#N/A,TRUE,"일정"}</definedName>
    <definedName name="미" localSheetId="4" hidden="1">{#N/A,#N/A,TRUE,"일정"}</definedName>
    <definedName name="미" localSheetId="5" hidden="1">{#N/A,#N/A,TRUE,"일정"}</definedName>
    <definedName name="미" localSheetId="11" hidden="1">{#N/A,#N/A,TRUE,"일정"}</definedName>
    <definedName name="미" hidden="1">{#N/A,#N/A,TRUE,"일정"}</definedName>
    <definedName name="미승인"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ㅈㄷ"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ㅈㄷ"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ㅈㄷ"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ㅈㄷ"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바보" localSheetId="4" hidden="1">{#N/A,#N/A,FALSE,"인원";#N/A,#N/A,FALSE,"비용2";#N/A,#N/A,FALSE,"비용1";#N/A,#N/A,FALSE,"비용";#N/A,#N/A,FALSE,"보증2";#N/A,#N/A,FALSE,"보증1";#N/A,#N/A,FALSE,"보증";#N/A,#N/A,FALSE,"손익1";#N/A,#N/A,FALSE,"손익";#N/A,#N/A,FALSE,"부서별매출";#N/A,#N/A,FALSE,"매출"}</definedName>
    <definedName name="바보" localSheetId="5" hidden="1">{#N/A,#N/A,FALSE,"인원";#N/A,#N/A,FALSE,"비용2";#N/A,#N/A,FALSE,"비용1";#N/A,#N/A,FALSE,"비용";#N/A,#N/A,FALSE,"보증2";#N/A,#N/A,FALSE,"보증1";#N/A,#N/A,FALSE,"보증";#N/A,#N/A,FALSE,"손익1";#N/A,#N/A,FALSE,"손익";#N/A,#N/A,FALSE,"부서별매출";#N/A,#N/A,FALSE,"매출"}</definedName>
    <definedName name="바보" localSheetId="11" hidden="1">{#N/A,#N/A,FALSE,"인원";#N/A,#N/A,FALSE,"비용2";#N/A,#N/A,FALSE,"비용1";#N/A,#N/A,FALSE,"비용";#N/A,#N/A,FALSE,"보증2";#N/A,#N/A,FALSE,"보증1";#N/A,#N/A,FALSE,"보증";#N/A,#N/A,FALSE,"손익1";#N/A,#N/A,FALSE,"손익";#N/A,#N/A,FALSE,"부서별매출";#N/A,#N/A,FALSE,"매출"}</definedName>
    <definedName name="바보" hidden="1">{#N/A,#N/A,FALSE,"인원";#N/A,#N/A,FALSE,"비용2";#N/A,#N/A,FALSE,"비용1";#N/A,#N/A,FALSE,"비용";#N/A,#N/A,FALSE,"보증2";#N/A,#N/A,FALSE,"보증1";#N/A,#N/A,FALSE,"보증";#N/A,#N/A,FALSE,"손익1";#N/A,#N/A,FALSE,"손익";#N/A,#N/A,FALSE,"부서별매출";#N/A,#N/A,FALSE,"매출"}</definedName>
    <definedName name="바보1" localSheetId="4" hidden="1">{#N/A,#N/A,FALSE,"인원";#N/A,#N/A,FALSE,"비용2";#N/A,#N/A,FALSE,"비용1";#N/A,#N/A,FALSE,"비용";#N/A,#N/A,FALSE,"보증2";#N/A,#N/A,FALSE,"보증1";#N/A,#N/A,FALSE,"보증";#N/A,#N/A,FALSE,"손익1";#N/A,#N/A,FALSE,"손익";#N/A,#N/A,FALSE,"부서별매출";#N/A,#N/A,FALSE,"매출"}</definedName>
    <definedName name="바보1" localSheetId="5" hidden="1">{#N/A,#N/A,FALSE,"인원";#N/A,#N/A,FALSE,"비용2";#N/A,#N/A,FALSE,"비용1";#N/A,#N/A,FALSE,"비용";#N/A,#N/A,FALSE,"보증2";#N/A,#N/A,FALSE,"보증1";#N/A,#N/A,FALSE,"보증";#N/A,#N/A,FALSE,"손익1";#N/A,#N/A,FALSE,"손익";#N/A,#N/A,FALSE,"부서별매출";#N/A,#N/A,FALSE,"매출"}</definedName>
    <definedName name="바보1" localSheetId="11" hidden="1">{#N/A,#N/A,FALSE,"인원";#N/A,#N/A,FALSE,"비용2";#N/A,#N/A,FALSE,"비용1";#N/A,#N/A,FALSE,"비용";#N/A,#N/A,FALSE,"보증2";#N/A,#N/A,FALSE,"보증1";#N/A,#N/A,FALSE,"보증";#N/A,#N/A,FALSE,"손익1";#N/A,#N/A,FALSE,"손익";#N/A,#N/A,FALSE,"부서별매출";#N/A,#N/A,FALSE,"매출"}</definedName>
    <definedName name="바보1" hidden="1">{#N/A,#N/A,FALSE,"인원";#N/A,#N/A,FALSE,"비용2";#N/A,#N/A,FALSE,"비용1";#N/A,#N/A,FALSE,"비용";#N/A,#N/A,FALSE,"보증2";#N/A,#N/A,FALSE,"보증1";#N/A,#N/A,FALSE,"보증";#N/A,#N/A,FALSE,"손익1";#N/A,#N/A,FALSE,"손익";#N/A,#N/A,FALSE,"부서별매출";#N/A,#N/A,FALSE,"매출"}</definedName>
    <definedName name="바보2" localSheetId="4" hidden="1">{#N/A,#N/A,FALSE,"인원";#N/A,#N/A,FALSE,"비용2";#N/A,#N/A,FALSE,"비용1";#N/A,#N/A,FALSE,"비용";#N/A,#N/A,FALSE,"보증2";#N/A,#N/A,FALSE,"보증1";#N/A,#N/A,FALSE,"보증";#N/A,#N/A,FALSE,"손익1";#N/A,#N/A,FALSE,"손익";#N/A,#N/A,FALSE,"부서별매출";#N/A,#N/A,FALSE,"매출"}</definedName>
    <definedName name="바보2" localSheetId="5" hidden="1">{#N/A,#N/A,FALSE,"인원";#N/A,#N/A,FALSE,"비용2";#N/A,#N/A,FALSE,"비용1";#N/A,#N/A,FALSE,"비용";#N/A,#N/A,FALSE,"보증2";#N/A,#N/A,FALSE,"보증1";#N/A,#N/A,FALSE,"보증";#N/A,#N/A,FALSE,"손익1";#N/A,#N/A,FALSE,"손익";#N/A,#N/A,FALSE,"부서별매출";#N/A,#N/A,FALSE,"매출"}</definedName>
    <definedName name="바보2" localSheetId="11" hidden="1">{#N/A,#N/A,FALSE,"인원";#N/A,#N/A,FALSE,"비용2";#N/A,#N/A,FALSE,"비용1";#N/A,#N/A,FALSE,"비용";#N/A,#N/A,FALSE,"보증2";#N/A,#N/A,FALSE,"보증1";#N/A,#N/A,FALSE,"보증";#N/A,#N/A,FALSE,"손익1";#N/A,#N/A,FALSE,"손익";#N/A,#N/A,FALSE,"부서별매출";#N/A,#N/A,FALSE,"매출"}</definedName>
    <definedName name="바보2" hidden="1">{#N/A,#N/A,FALSE,"인원";#N/A,#N/A,FALSE,"비용2";#N/A,#N/A,FALSE,"비용1";#N/A,#N/A,FALSE,"비용";#N/A,#N/A,FALSE,"보증2";#N/A,#N/A,FALSE,"보증1";#N/A,#N/A,FALSE,"보증";#N/A,#N/A,FALSE,"손익1";#N/A,#N/A,FALSE,"손익";#N/A,#N/A,FALSE,"부서별매출";#N/A,#N/A,FALSE,"매출"}</definedName>
    <definedName name="바보3" localSheetId="4" hidden="1">{#N/A,#N/A,FALSE,"인원";#N/A,#N/A,FALSE,"비용2";#N/A,#N/A,FALSE,"비용1";#N/A,#N/A,FALSE,"비용";#N/A,#N/A,FALSE,"보증2";#N/A,#N/A,FALSE,"보증1";#N/A,#N/A,FALSE,"보증";#N/A,#N/A,FALSE,"손익1";#N/A,#N/A,FALSE,"손익";#N/A,#N/A,FALSE,"부서별매출";#N/A,#N/A,FALSE,"매출"}</definedName>
    <definedName name="바보3" localSheetId="5" hidden="1">{#N/A,#N/A,FALSE,"인원";#N/A,#N/A,FALSE,"비용2";#N/A,#N/A,FALSE,"비용1";#N/A,#N/A,FALSE,"비용";#N/A,#N/A,FALSE,"보증2";#N/A,#N/A,FALSE,"보증1";#N/A,#N/A,FALSE,"보증";#N/A,#N/A,FALSE,"손익1";#N/A,#N/A,FALSE,"손익";#N/A,#N/A,FALSE,"부서별매출";#N/A,#N/A,FALSE,"매출"}</definedName>
    <definedName name="바보3" localSheetId="11" hidden="1">{#N/A,#N/A,FALSE,"인원";#N/A,#N/A,FALSE,"비용2";#N/A,#N/A,FALSE,"비용1";#N/A,#N/A,FALSE,"비용";#N/A,#N/A,FALSE,"보증2";#N/A,#N/A,FALSE,"보증1";#N/A,#N/A,FALSE,"보증";#N/A,#N/A,FALSE,"손익1";#N/A,#N/A,FALSE,"손익";#N/A,#N/A,FALSE,"부서별매출";#N/A,#N/A,FALSE,"매출"}</definedName>
    <definedName name="바보3" hidden="1">{#N/A,#N/A,FALSE,"인원";#N/A,#N/A,FALSE,"비용2";#N/A,#N/A,FALSE,"비용1";#N/A,#N/A,FALSE,"비용";#N/A,#N/A,FALSE,"보증2";#N/A,#N/A,FALSE,"보증1";#N/A,#N/A,FALSE,"보증";#N/A,#N/A,FALSE,"손익1";#N/A,#N/A,FALSE,"손익";#N/A,#N/A,FALSE,"부서별매출";#N/A,#N/A,FALSE,"매출"}</definedName>
    <definedName name="바보4" localSheetId="4" hidden="1">{#N/A,#N/A,FALSE,"인원";#N/A,#N/A,FALSE,"비용2";#N/A,#N/A,FALSE,"비용1";#N/A,#N/A,FALSE,"비용";#N/A,#N/A,FALSE,"보증2";#N/A,#N/A,FALSE,"보증1";#N/A,#N/A,FALSE,"보증";#N/A,#N/A,FALSE,"손익1";#N/A,#N/A,FALSE,"손익";#N/A,#N/A,FALSE,"부서별매출";#N/A,#N/A,FALSE,"매출"}</definedName>
    <definedName name="바보4" localSheetId="5" hidden="1">{#N/A,#N/A,FALSE,"인원";#N/A,#N/A,FALSE,"비용2";#N/A,#N/A,FALSE,"비용1";#N/A,#N/A,FALSE,"비용";#N/A,#N/A,FALSE,"보증2";#N/A,#N/A,FALSE,"보증1";#N/A,#N/A,FALSE,"보증";#N/A,#N/A,FALSE,"손익1";#N/A,#N/A,FALSE,"손익";#N/A,#N/A,FALSE,"부서별매출";#N/A,#N/A,FALSE,"매출"}</definedName>
    <definedName name="바보4" localSheetId="11" hidden="1">{#N/A,#N/A,FALSE,"인원";#N/A,#N/A,FALSE,"비용2";#N/A,#N/A,FALSE,"비용1";#N/A,#N/A,FALSE,"비용";#N/A,#N/A,FALSE,"보증2";#N/A,#N/A,FALSE,"보증1";#N/A,#N/A,FALSE,"보증";#N/A,#N/A,FALSE,"손익1";#N/A,#N/A,FALSE,"손익";#N/A,#N/A,FALSE,"부서별매출";#N/A,#N/A,FALSE,"매출"}</definedName>
    <definedName name="바보4" hidden="1">{#N/A,#N/A,FALSE,"인원";#N/A,#N/A,FALSE,"비용2";#N/A,#N/A,FALSE,"비용1";#N/A,#N/A,FALSE,"비용";#N/A,#N/A,FALSE,"보증2";#N/A,#N/A,FALSE,"보증1";#N/A,#N/A,FALSE,"보증";#N/A,#N/A,FALSE,"손익1";#N/A,#N/A,FALSE,"손익";#N/A,#N/A,FALSE,"부서별매출";#N/A,#N/A,FALSE,"매출"}</definedName>
    <definedName name="바보5" localSheetId="4" hidden="1">{#N/A,#N/A,FALSE,"인원";#N/A,#N/A,FALSE,"비용2";#N/A,#N/A,FALSE,"비용1";#N/A,#N/A,FALSE,"비용";#N/A,#N/A,FALSE,"보증2";#N/A,#N/A,FALSE,"보증1";#N/A,#N/A,FALSE,"보증";#N/A,#N/A,FALSE,"손익1";#N/A,#N/A,FALSE,"손익";#N/A,#N/A,FALSE,"부서별매출";#N/A,#N/A,FALSE,"매출"}</definedName>
    <definedName name="바보5" localSheetId="5" hidden="1">{#N/A,#N/A,FALSE,"인원";#N/A,#N/A,FALSE,"비용2";#N/A,#N/A,FALSE,"비용1";#N/A,#N/A,FALSE,"비용";#N/A,#N/A,FALSE,"보증2";#N/A,#N/A,FALSE,"보증1";#N/A,#N/A,FALSE,"보증";#N/A,#N/A,FALSE,"손익1";#N/A,#N/A,FALSE,"손익";#N/A,#N/A,FALSE,"부서별매출";#N/A,#N/A,FALSE,"매출"}</definedName>
    <definedName name="바보5" localSheetId="11" hidden="1">{#N/A,#N/A,FALSE,"인원";#N/A,#N/A,FALSE,"비용2";#N/A,#N/A,FALSE,"비용1";#N/A,#N/A,FALSE,"비용";#N/A,#N/A,FALSE,"보증2";#N/A,#N/A,FALSE,"보증1";#N/A,#N/A,FALSE,"보증";#N/A,#N/A,FALSE,"손익1";#N/A,#N/A,FALSE,"손익";#N/A,#N/A,FALSE,"부서별매출";#N/A,#N/A,FALSE,"매출"}</definedName>
    <definedName name="바보5" hidden="1">{#N/A,#N/A,FALSE,"인원";#N/A,#N/A,FALSE,"비용2";#N/A,#N/A,FALSE,"비용1";#N/A,#N/A,FALSE,"비용";#N/A,#N/A,FALSE,"보증2";#N/A,#N/A,FALSE,"보증1";#N/A,#N/A,FALSE,"보증";#N/A,#N/A,FALSE,"손익1";#N/A,#N/A,FALSE,"손익";#N/A,#N/A,FALSE,"부서별매출";#N/A,#N/A,FALSE,"매출"}</definedName>
    <definedName name="바보6"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바보6"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바보6"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바보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바보7" localSheetId="4" hidden="1">{#N/A,#N/A,FALSE,"인원";#N/A,#N/A,FALSE,"비용2";#N/A,#N/A,FALSE,"비용1";#N/A,#N/A,FALSE,"비용";#N/A,#N/A,FALSE,"보증2";#N/A,#N/A,FALSE,"보증1";#N/A,#N/A,FALSE,"보증";#N/A,#N/A,FALSE,"손익1";#N/A,#N/A,FALSE,"손익";#N/A,#N/A,FALSE,"부서별매출";#N/A,#N/A,FALSE,"매출"}</definedName>
    <definedName name="바보7" localSheetId="5" hidden="1">{#N/A,#N/A,FALSE,"인원";#N/A,#N/A,FALSE,"비용2";#N/A,#N/A,FALSE,"비용1";#N/A,#N/A,FALSE,"비용";#N/A,#N/A,FALSE,"보증2";#N/A,#N/A,FALSE,"보증1";#N/A,#N/A,FALSE,"보증";#N/A,#N/A,FALSE,"손익1";#N/A,#N/A,FALSE,"손익";#N/A,#N/A,FALSE,"부서별매출";#N/A,#N/A,FALSE,"매출"}</definedName>
    <definedName name="바보7" localSheetId="11" hidden="1">{#N/A,#N/A,FALSE,"인원";#N/A,#N/A,FALSE,"비용2";#N/A,#N/A,FALSE,"비용1";#N/A,#N/A,FALSE,"비용";#N/A,#N/A,FALSE,"보증2";#N/A,#N/A,FALSE,"보증1";#N/A,#N/A,FALSE,"보증";#N/A,#N/A,FALSE,"손익1";#N/A,#N/A,FALSE,"손익";#N/A,#N/A,FALSE,"부서별매출";#N/A,#N/A,FALSE,"매출"}</definedName>
    <definedName name="바보7" hidden="1">{#N/A,#N/A,FALSE,"인원";#N/A,#N/A,FALSE,"비용2";#N/A,#N/A,FALSE,"비용1";#N/A,#N/A,FALSE,"비용";#N/A,#N/A,FALSE,"보증2";#N/A,#N/A,FALSE,"보증1";#N/A,#N/A,FALSE,"보증";#N/A,#N/A,FALSE,"손익1";#N/A,#N/A,FALSE,"손익";#N/A,#N/A,FALSE,"부서별매출";#N/A,#N/A,FALSE,"매출"}</definedName>
    <definedName name="바봅"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바봅"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바봅"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바봅"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박"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박"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박"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박정" localSheetId="4" hidden="1">{#N/A,#N/A,TRUE,"일정"}</definedName>
    <definedName name="박정" localSheetId="5" hidden="1">{#N/A,#N/A,TRUE,"일정"}</definedName>
    <definedName name="박정" localSheetId="11" hidden="1">{#N/A,#N/A,TRUE,"일정"}</definedName>
    <definedName name="박정" hidden="1">{#N/A,#N/A,TRUE,"일정"}</definedName>
    <definedName name="반영" localSheetId="4" hidden="1">{#N/A,#N/A,TRUE,"일정"}</definedName>
    <definedName name="반영" localSheetId="5" hidden="1">{#N/A,#N/A,TRUE,"일정"}</definedName>
    <definedName name="반영" localSheetId="11" hidden="1">{#N/A,#N/A,TRUE,"일정"}</definedName>
    <definedName name="반영" hidden="1">{#N/A,#N/A,TRUE,"일정"}</definedName>
    <definedName name="변경목차" localSheetId="4" hidden="1">{#N/A,#N/A,FALSE,"단축1";#N/A,#N/A,FALSE,"단축2";#N/A,#N/A,FALSE,"단축3";#N/A,#N/A,FALSE,"장축";#N/A,#N/A,FALSE,"4WD"}</definedName>
    <definedName name="변경목차" localSheetId="5" hidden="1">{#N/A,#N/A,FALSE,"단축1";#N/A,#N/A,FALSE,"단축2";#N/A,#N/A,FALSE,"단축3";#N/A,#N/A,FALSE,"장축";#N/A,#N/A,FALSE,"4WD"}</definedName>
    <definedName name="변경목차" localSheetId="11" hidden="1">{#N/A,#N/A,FALSE,"단축1";#N/A,#N/A,FALSE,"단축2";#N/A,#N/A,FALSE,"단축3";#N/A,#N/A,FALSE,"장축";#N/A,#N/A,FALSE,"4WD"}</definedName>
    <definedName name="변경목차" hidden="1">{#N/A,#N/A,FALSE,"단축1";#N/A,#N/A,FALSE,"단축2";#N/A,#N/A,FALSE,"단축3";#N/A,#N/A,FALSE,"장축";#N/A,#N/A,FALSE,"4WD"}</definedName>
    <definedName name="별"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병수3" localSheetId="4" hidden="1">{#N/A,#N/A,FALSE,"BODY"}</definedName>
    <definedName name="병수3" localSheetId="5" hidden="1">{#N/A,#N/A,FALSE,"BODY"}</definedName>
    <definedName name="병수3" localSheetId="11" hidden="1">{#N/A,#N/A,FALSE,"BODY"}</definedName>
    <definedName name="병수3" hidden="1">{#N/A,#N/A,FALSE,"BODY"}</definedName>
    <definedName name="보고"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보고"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보고"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보고"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부채현황">#N/A</definedName>
    <definedName name="분기"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분기"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분기"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분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분기투자"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분기투자"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분기투자"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분기투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비교2" localSheetId="4">#REF!</definedName>
    <definedName name="비교2" localSheetId="5">#REF!</definedName>
    <definedName name="비교2" localSheetId="11">#REF!</definedName>
    <definedName name="비교2">#REF!</definedName>
    <definedName name="ㅅㄹ녀ㅛㅅ누ㅛㅅㄴ구ㅛㅅㄱ누" localSheetId="4" hidden="1">{#N/A,#N/A,TRUE,"일정"}</definedName>
    <definedName name="ㅅㄹ녀ㅛㅅ누ㅛㅅㄴ구ㅛㅅㄱ누" localSheetId="5" hidden="1">{#N/A,#N/A,TRUE,"일정"}</definedName>
    <definedName name="ㅅㄹ녀ㅛㅅ누ㅛㅅㄴ구ㅛㅅㄱ누" localSheetId="11" hidden="1">{#N/A,#N/A,TRUE,"일정"}</definedName>
    <definedName name="ㅅㄹ녀ㅛㅅ누ㅛㅅㄴ구ㅛㅅㄱ누" hidden="1">{#N/A,#N/A,TRUE,"일정"}</definedName>
    <definedName name="ㅅㅅㅅ" localSheetId="4" hidden="1">{#N/A,#N/A,TRUE,"일정"}</definedName>
    <definedName name="ㅅㅅㅅ" localSheetId="5" hidden="1">{#N/A,#N/A,TRUE,"일정"}</definedName>
    <definedName name="ㅅㅅㅅ" localSheetId="11" hidden="1">{#N/A,#N/A,TRUE,"일정"}</definedName>
    <definedName name="ㅅㅅㅅ" hidden="1">{#N/A,#N/A,TRUE,"일정"}</definedName>
    <definedName name="사양비교"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양비교"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양비교"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양비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업환경" localSheetId="4" hidden="1">{#N/A,#N/A,FALSE,"BODY"}</definedName>
    <definedName name="사업환경" localSheetId="5" hidden="1">{#N/A,#N/A,FALSE,"BODY"}</definedName>
    <definedName name="사업환경" localSheetId="11" hidden="1">{#N/A,#N/A,FALSE,"BODY"}</definedName>
    <definedName name="사업환경" hidden="1">{#N/A,#N/A,FALSE,"BODY"}</definedName>
    <definedName name="새일정" localSheetId="4" hidden="1">{#N/A,#N/A,FALSE,"인원";#N/A,#N/A,FALSE,"비용2";#N/A,#N/A,FALSE,"비용1";#N/A,#N/A,FALSE,"비용";#N/A,#N/A,FALSE,"보증2";#N/A,#N/A,FALSE,"보증1";#N/A,#N/A,FALSE,"보증";#N/A,#N/A,FALSE,"손익1";#N/A,#N/A,FALSE,"손익";#N/A,#N/A,FALSE,"부서별매출";#N/A,#N/A,FALSE,"매출"}</definedName>
    <definedName name="새일정" localSheetId="5" hidden="1">{#N/A,#N/A,FALSE,"인원";#N/A,#N/A,FALSE,"비용2";#N/A,#N/A,FALSE,"비용1";#N/A,#N/A,FALSE,"비용";#N/A,#N/A,FALSE,"보증2";#N/A,#N/A,FALSE,"보증1";#N/A,#N/A,FALSE,"보증";#N/A,#N/A,FALSE,"손익1";#N/A,#N/A,FALSE,"손익";#N/A,#N/A,FALSE,"부서별매출";#N/A,#N/A,FALSE,"매출"}</definedName>
    <definedName name="새일정" localSheetId="11" hidden="1">{#N/A,#N/A,FALSE,"인원";#N/A,#N/A,FALSE,"비용2";#N/A,#N/A,FALSE,"비용1";#N/A,#N/A,FALSE,"비용";#N/A,#N/A,FALSE,"보증2";#N/A,#N/A,FALSE,"보증1";#N/A,#N/A,FALSE,"보증";#N/A,#N/A,FALSE,"손익1";#N/A,#N/A,FALSE,"손익";#N/A,#N/A,FALSE,"부서별매출";#N/A,#N/A,FALSE,"매출"}</definedName>
    <definedName name="새일정" hidden="1">{#N/A,#N/A,FALSE,"인원";#N/A,#N/A,FALSE,"비용2";#N/A,#N/A,FALSE,"비용1";#N/A,#N/A,FALSE,"비용";#N/A,#N/A,FALSE,"보증2";#N/A,#N/A,FALSE,"보증1";#N/A,#N/A,FALSE,"보증";#N/A,#N/A,FALSE,"손익1";#N/A,#N/A,FALSE,"손익";#N/A,#N/A,FALSE,"부서별매출";#N/A,#N/A,FALSE,"매출"}</definedName>
    <definedName name="생산"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3" localSheetId="4" hidden="1">{#N/A,#N/A,TRUE,"일정"}</definedName>
    <definedName name="생산3" localSheetId="5" hidden="1">{#N/A,#N/A,TRUE,"일정"}</definedName>
    <definedName name="생산3" localSheetId="11" hidden="1">{#N/A,#N/A,TRUE,"일정"}</definedName>
    <definedName name="생산3" hidden="1">{#N/A,#N/A,TRUE,"일정"}</definedName>
    <definedName name="생산능력" localSheetId="4">#REF!</definedName>
    <definedName name="생산능력" localSheetId="5">#REF!</definedName>
    <definedName name="생산능력" localSheetId="11">#REF!</definedName>
    <definedName name="생산능력">#REF!</definedName>
    <definedName name="생산일정"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일정"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일정"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준비일정"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준비일정"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준비일정"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준비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준비일정구판"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준비일정구판"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준비일정구판"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준비일정구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지시시스템"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지시시스템"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지시시스템"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지시시스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혁신"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혁신"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혁신"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혁신"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서비스" localSheetId="4" hidden="1">{#N/A,#N/A,FALSE,"인원";#N/A,#N/A,FALSE,"비용2";#N/A,#N/A,FALSE,"비용1";#N/A,#N/A,FALSE,"비용";#N/A,#N/A,FALSE,"보증2";#N/A,#N/A,FALSE,"보증1";#N/A,#N/A,FALSE,"보증";#N/A,#N/A,FALSE,"손익1";#N/A,#N/A,FALSE,"손익";#N/A,#N/A,FALSE,"부서별매출";#N/A,#N/A,FALSE,"매출"}</definedName>
    <definedName name="서비스" localSheetId="5" hidden="1">{#N/A,#N/A,FALSE,"인원";#N/A,#N/A,FALSE,"비용2";#N/A,#N/A,FALSE,"비용1";#N/A,#N/A,FALSE,"비용";#N/A,#N/A,FALSE,"보증2";#N/A,#N/A,FALSE,"보증1";#N/A,#N/A,FALSE,"보증";#N/A,#N/A,FALSE,"손익1";#N/A,#N/A,FALSE,"손익";#N/A,#N/A,FALSE,"부서별매출";#N/A,#N/A,FALSE,"매출"}</definedName>
    <definedName name="서비스" localSheetId="11" hidden="1">{#N/A,#N/A,FALSE,"인원";#N/A,#N/A,FALSE,"비용2";#N/A,#N/A,FALSE,"비용1";#N/A,#N/A,FALSE,"비용";#N/A,#N/A,FALSE,"보증2";#N/A,#N/A,FALSE,"보증1";#N/A,#N/A,FALSE,"보증";#N/A,#N/A,FALSE,"손익1";#N/A,#N/A,FALSE,"손익";#N/A,#N/A,FALSE,"부서별매출";#N/A,#N/A,FALSE,"매출"}</definedName>
    <definedName name="서비스" hidden="1">{#N/A,#N/A,FALSE,"인원";#N/A,#N/A,FALSE,"비용2";#N/A,#N/A,FALSE,"비용1";#N/A,#N/A,FALSE,"비용";#N/A,#N/A,FALSE,"보증2";#N/A,#N/A,FALSE,"보증1";#N/A,#N/A,FALSE,"보증";#N/A,#N/A,FALSE,"손익1";#N/A,#N/A,FALSE,"손익";#N/A,#N/A,FALSE,"부서별매출";#N/A,#N/A,FALSE,"매출"}</definedName>
    <definedName name="선생님"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선생님"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선생님"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선생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설비"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설비"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설비"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설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성명" localSheetId="4">#REF!</definedName>
    <definedName name="성명" localSheetId="5">#REF!</definedName>
    <definedName name="성명" localSheetId="11">#REF!</definedName>
    <definedName name="성명">#REF!</definedName>
    <definedName name="세부실행2" localSheetId="4" hidden="1">{#N/A,#N/A,TRUE,"일정"}</definedName>
    <definedName name="세부실행2" localSheetId="5" hidden="1">{#N/A,#N/A,TRUE,"일정"}</definedName>
    <definedName name="세부실행2" localSheetId="11" hidden="1">{#N/A,#N/A,TRUE,"일정"}</definedName>
    <definedName name="세부실행2" hidden="1">{#N/A,#N/A,TRUE,"일정"}</definedName>
    <definedName name="세일">#N/A</definedName>
    <definedName name="셀리카" localSheetId="4" hidden="1">#REF!</definedName>
    <definedName name="셀리카" localSheetId="5" hidden="1">#REF!</definedName>
    <definedName name="셀리카" localSheetId="11" hidden="1">#REF!</definedName>
    <definedName name="셀리카" hidden="1">#REF!</definedName>
    <definedName name="손익" localSheetId="4" hidden="1">{#N/A,#N/A,FALSE,"BODY"}</definedName>
    <definedName name="손익" localSheetId="5" hidden="1">{#N/A,#N/A,FALSE,"BODY"}</definedName>
    <definedName name="손익" localSheetId="11" hidden="1">{#N/A,#N/A,FALSE,"BODY"}</definedName>
    <definedName name="손익" hidden="1">{#N/A,#N/A,FALSE,"BODY"}</definedName>
    <definedName name="수정" localSheetId="4" hidden="1">{#N/A,#N/A,TRUE,"일정"}</definedName>
    <definedName name="수정" localSheetId="5" hidden="1">{#N/A,#N/A,TRUE,"일정"}</definedName>
    <definedName name="수정" localSheetId="11" hidden="1">{#N/A,#N/A,TRUE,"일정"}</definedName>
    <definedName name="수정" hidden="1">{#N/A,#N/A,TRUE,"일정"}</definedName>
    <definedName name="승인"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승인"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승인"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시기조정" localSheetId="4" hidden="1">{#N/A,#N/A,FALSE,"인원";#N/A,#N/A,FALSE,"비용2";#N/A,#N/A,FALSE,"비용1";#N/A,#N/A,FALSE,"비용";#N/A,#N/A,FALSE,"보증2";#N/A,#N/A,FALSE,"보증1";#N/A,#N/A,FALSE,"보증";#N/A,#N/A,FALSE,"손익1";#N/A,#N/A,FALSE,"손익";#N/A,#N/A,FALSE,"부서별매출";#N/A,#N/A,FALSE,"매출"}</definedName>
    <definedName name="시기조정" localSheetId="5" hidden="1">{#N/A,#N/A,FALSE,"인원";#N/A,#N/A,FALSE,"비용2";#N/A,#N/A,FALSE,"비용1";#N/A,#N/A,FALSE,"비용";#N/A,#N/A,FALSE,"보증2";#N/A,#N/A,FALSE,"보증1";#N/A,#N/A,FALSE,"보증";#N/A,#N/A,FALSE,"손익1";#N/A,#N/A,FALSE,"손익";#N/A,#N/A,FALSE,"부서별매출";#N/A,#N/A,FALSE,"매출"}</definedName>
    <definedName name="시기조정" localSheetId="11" hidden="1">{#N/A,#N/A,FALSE,"인원";#N/A,#N/A,FALSE,"비용2";#N/A,#N/A,FALSE,"비용1";#N/A,#N/A,FALSE,"비용";#N/A,#N/A,FALSE,"보증2";#N/A,#N/A,FALSE,"보증1";#N/A,#N/A,FALSE,"보증";#N/A,#N/A,FALSE,"손익1";#N/A,#N/A,FALSE,"손익";#N/A,#N/A,FALSE,"부서별매출";#N/A,#N/A,FALSE,"매출"}</definedName>
    <definedName name="시기조정" hidden="1">{#N/A,#N/A,FALSE,"인원";#N/A,#N/A,FALSE,"비용2";#N/A,#N/A,FALSE,"비용1";#N/A,#N/A,FALSE,"비용";#N/A,#N/A,FALSE,"보증2";#N/A,#N/A,FALSE,"보증1";#N/A,#N/A,FALSE,"보증";#N/A,#N/A,FALSE,"손익1";#N/A,#N/A,FALSE,"손익";#N/A,#N/A,FALSE,"부서별매출";#N/A,#N/A,FALSE,"매출"}</definedName>
    <definedName name="시설투자" localSheetId="3">[0]!_a1Z,[0]!_a2Z</definedName>
    <definedName name="시설투자" localSheetId="4">[0]!_a1Z,[0]!_a2Z</definedName>
    <definedName name="시설투자" localSheetId="5">[0]!_a1Z,[0]!_a2Z</definedName>
    <definedName name="시설투자" localSheetId="11">[0]!_a1Z,[0]!_a2Z</definedName>
    <definedName name="시설투자">[0]!_a1Z,[0]!_a2Z</definedName>
    <definedName name="시설투자2" localSheetId="3">[0]!_a1Z,[0]!_a2Z</definedName>
    <definedName name="시설투자2" localSheetId="4">[0]!_a1Z,[0]!_a2Z</definedName>
    <definedName name="시설투자2" localSheetId="5">[0]!_a1Z,[0]!_a2Z</definedName>
    <definedName name="시설투자2" localSheetId="11">[0]!_a1Z,[0]!_a2Z</definedName>
    <definedName name="시설투자2">[0]!_a1Z,[0]!_a2Z</definedName>
    <definedName name="시장" localSheetId="4">#REF!</definedName>
    <definedName name="시장" localSheetId="5">#REF!</definedName>
    <definedName name="시장" localSheetId="11">#REF!</definedName>
    <definedName name="시장">#REF!</definedName>
    <definedName name="신규" localSheetId="4" hidden="1">{#N/A,#N/A,FALSE,"신규dep";#N/A,#N/A,FALSE,"신규dep-금형상각후";#N/A,#N/A,FALSE,"신규dep-연구비상각후";#N/A,#N/A,FALSE,"신규dep-기계,공구상각후"}</definedName>
    <definedName name="신규" localSheetId="5" hidden="1">{#N/A,#N/A,FALSE,"신규dep";#N/A,#N/A,FALSE,"신규dep-금형상각후";#N/A,#N/A,FALSE,"신규dep-연구비상각후";#N/A,#N/A,FALSE,"신규dep-기계,공구상각후"}</definedName>
    <definedName name="신규" localSheetId="11" hidden="1">{#N/A,#N/A,FALSE,"신규dep";#N/A,#N/A,FALSE,"신규dep-금형상각후";#N/A,#N/A,FALSE,"신규dep-연구비상각후";#N/A,#N/A,FALSE,"신규dep-기계,공구상각후"}</definedName>
    <definedName name="신규" hidden="1">{#N/A,#N/A,FALSE,"신규dep";#N/A,#N/A,FALSE,"신규dep-금형상각후";#N/A,#N/A,FALSE,"신규dep-연구비상각후";#N/A,#N/A,FALSE,"신규dep-기계,공구상각후"}</definedName>
    <definedName name="신용" localSheetId="4" hidden="1">{#N/A,#N/A,FALSE,"인원";#N/A,#N/A,FALSE,"비용2";#N/A,#N/A,FALSE,"비용1";#N/A,#N/A,FALSE,"비용";#N/A,#N/A,FALSE,"보증2";#N/A,#N/A,FALSE,"보증1";#N/A,#N/A,FALSE,"보증";#N/A,#N/A,FALSE,"손익1";#N/A,#N/A,FALSE,"손익";#N/A,#N/A,FALSE,"부서별매출";#N/A,#N/A,FALSE,"매출"}</definedName>
    <definedName name="신용" localSheetId="5" hidden="1">{#N/A,#N/A,FALSE,"인원";#N/A,#N/A,FALSE,"비용2";#N/A,#N/A,FALSE,"비용1";#N/A,#N/A,FALSE,"비용";#N/A,#N/A,FALSE,"보증2";#N/A,#N/A,FALSE,"보증1";#N/A,#N/A,FALSE,"보증";#N/A,#N/A,FALSE,"손익1";#N/A,#N/A,FALSE,"손익";#N/A,#N/A,FALSE,"부서별매출";#N/A,#N/A,FALSE,"매출"}</definedName>
    <definedName name="신용" localSheetId="11"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신용1" localSheetId="4" hidden="1">{#N/A,#N/A,FALSE,"인원";#N/A,#N/A,FALSE,"비용2";#N/A,#N/A,FALSE,"비용1";#N/A,#N/A,FALSE,"비용";#N/A,#N/A,FALSE,"보증2";#N/A,#N/A,FALSE,"보증1";#N/A,#N/A,FALSE,"보증";#N/A,#N/A,FALSE,"손익1";#N/A,#N/A,FALSE,"손익";#N/A,#N/A,FALSE,"부서별매출";#N/A,#N/A,FALSE,"매출"}</definedName>
    <definedName name="신용1" localSheetId="5" hidden="1">{#N/A,#N/A,FALSE,"인원";#N/A,#N/A,FALSE,"비용2";#N/A,#N/A,FALSE,"비용1";#N/A,#N/A,FALSE,"비용";#N/A,#N/A,FALSE,"보증2";#N/A,#N/A,FALSE,"보증1";#N/A,#N/A,FALSE,"보증";#N/A,#N/A,FALSE,"손익1";#N/A,#N/A,FALSE,"손익";#N/A,#N/A,FALSE,"부서별매출";#N/A,#N/A,FALSE,"매출"}</definedName>
    <definedName name="신용1" localSheetId="11"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실적3"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3"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3"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행예산"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행예산"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행예산"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행예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ㄴㅁㄹㅈㅇ" localSheetId="4" hidden="1">{#N/A,#N/A,FALSE,"단축1";#N/A,#N/A,FALSE,"단축2";#N/A,#N/A,FALSE,"단축3";#N/A,#N/A,FALSE,"장축";#N/A,#N/A,FALSE,"4WD"}</definedName>
    <definedName name="ㅇㄴㅁㄹㅈㅇ" localSheetId="5" hidden="1">{#N/A,#N/A,FALSE,"단축1";#N/A,#N/A,FALSE,"단축2";#N/A,#N/A,FALSE,"단축3";#N/A,#N/A,FALSE,"장축";#N/A,#N/A,FALSE,"4WD"}</definedName>
    <definedName name="ㅇㄴㅁㄹㅈㅇ" localSheetId="11" hidden="1">{#N/A,#N/A,FALSE,"단축1";#N/A,#N/A,FALSE,"단축2";#N/A,#N/A,FALSE,"단축3";#N/A,#N/A,FALSE,"장축";#N/A,#N/A,FALSE,"4WD"}</definedName>
    <definedName name="ㅇㄴㅁㄹㅈㅇ" hidden="1">{#N/A,#N/A,FALSE,"단축1";#N/A,#N/A,FALSE,"단축2";#N/A,#N/A,FALSE,"단축3";#N/A,#N/A,FALSE,"장축";#N/A,#N/A,FALSE,"4WD"}</definedName>
    <definedName name="ㅇㅇㄳ"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ㄳ"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ㄳ"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ㄳ"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ㅇ" localSheetId="4">#REF!</definedName>
    <definedName name="ㅇㅇㅇ" localSheetId="5">#REF!</definedName>
    <definedName name="ㅇㅇㅇ" localSheetId="11">#REF!</definedName>
    <definedName name="ㅇㅇㅇ">#REF!</definedName>
    <definedName name="ㅇㅇㅇㅇㅇ" localSheetId="4" hidden="1">{#VALUE!,#N/A,TRUE,0}</definedName>
    <definedName name="ㅇㅇㅇㅇㅇ" localSheetId="5" hidden="1">{#VALUE!,#N/A,TRUE,0}</definedName>
    <definedName name="ㅇㅇㅇㅇㅇ" localSheetId="11" hidden="1">{#VALUE!,#N/A,TRUE,0}</definedName>
    <definedName name="ㅇㅇㅇㅇㅇ" hidden="1">{#VALUE!,#N/A,TRUE,0}</definedName>
    <definedName name="ㅇㅇㅇㅇㅇㅇㅇㅇㅇㅇㅇ"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ㅇㅇㅇㅇㅇㅇㅇㅇㅇ"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ㅇㅇㅇㅇㅇㅇㅇㅇㅇ"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ㅇㅇㅇㅇㅇㅇㅇㅇㅇ"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아"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아"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아"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앙"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앙"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앙"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앙"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안녕하세용"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안녕하세용"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안녕하세용"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안녕하세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앗싸" localSheetId="4" hidden="1">{#N/A,#N/A,FALSE,"인원";#N/A,#N/A,FALSE,"비용2";#N/A,#N/A,FALSE,"비용1";#N/A,#N/A,FALSE,"비용";#N/A,#N/A,FALSE,"보증2";#N/A,#N/A,FALSE,"보증1";#N/A,#N/A,FALSE,"보증";#N/A,#N/A,FALSE,"손익1";#N/A,#N/A,FALSE,"손익";#N/A,#N/A,FALSE,"부서별매출";#N/A,#N/A,FALSE,"매출"}</definedName>
    <definedName name="앗싸" localSheetId="5" hidden="1">{#N/A,#N/A,FALSE,"인원";#N/A,#N/A,FALSE,"비용2";#N/A,#N/A,FALSE,"비용1";#N/A,#N/A,FALSE,"비용";#N/A,#N/A,FALSE,"보증2";#N/A,#N/A,FALSE,"보증1";#N/A,#N/A,FALSE,"보증";#N/A,#N/A,FALSE,"손익1";#N/A,#N/A,FALSE,"손익";#N/A,#N/A,FALSE,"부서별매출";#N/A,#N/A,FALSE,"매출"}</definedName>
    <definedName name="앗싸" localSheetId="11" hidden="1">{#N/A,#N/A,FALSE,"인원";#N/A,#N/A,FALSE,"비용2";#N/A,#N/A,FALSE,"비용1";#N/A,#N/A,FALSE,"비용";#N/A,#N/A,FALSE,"보증2";#N/A,#N/A,FALSE,"보증1";#N/A,#N/A,FALSE,"보증";#N/A,#N/A,FALSE,"손익1";#N/A,#N/A,FALSE,"손익";#N/A,#N/A,FALSE,"부서별매출";#N/A,#N/A,FALSE,"매출"}</definedName>
    <definedName name="앗싸" hidden="1">{#N/A,#N/A,FALSE,"인원";#N/A,#N/A,FALSE,"비용2";#N/A,#N/A,FALSE,"비용1";#N/A,#N/A,FALSE,"비용";#N/A,#N/A,FALSE,"보증2";#N/A,#N/A,FALSE,"보증1";#N/A,#N/A,FALSE,"보증";#N/A,#N/A,FALSE,"손익1";#N/A,#N/A,FALSE,"손익";#N/A,#N/A,FALSE,"부서별매출";#N/A,#N/A,FALSE,"매출"}</definedName>
    <definedName name="양산조직"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산조직"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산조직"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산조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업보"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업보"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업보"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업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열세항목"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열세항목"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열세항목"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열세항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예상투자비" localSheetId="4" hidden="1">{#N/A,#N/A,FALSE,"인원";#N/A,#N/A,FALSE,"비용2";#N/A,#N/A,FALSE,"비용1";#N/A,#N/A,FALSE,"비용";#N/A,#N/A,FALSE,"보증2";#N/A,#N/A,FALSE,"보증1";#N/A,#N/A,FALSE,"보증";#N/A,#N/A,FALSE,"손익1";#N/A,#N/A,FALSE,"손익";#N/A,#N/A,FALSE,"부서별매출";#N/A,#N/A,FALSE,"매출"}</definedName>
    <definedName name="예상투자비" localSheetId="5" hidden="1">{#N/A,#N/A,FALSE,"인원";#N/A,#N/A,FALSE,"비용2";#N/A,#N/A,FALSE,"비용1";#N/A,#N/A,FALSE,"비용";#N/A,#N/A,FALSE,"보증2";#N/A,#N/A,FALSE,"보증1";#N/A,#N/A,FALSE,"보증";#N/A,#N/A,FALSE,"손익1";#N/A,#N/A,FALSE,"손익";#N/A,#N/A,FALSE,"부서별매출";#N/A,#N/A,FALSE,"매출"}</definedName>
    <definedName name="예상투자비" localSheetId="11" hidden="1">{#N/A,#N/A,FALSE,"인원";#N/A,#N/A,FALSE,"비용2";#N/A,#N/A,FALSE,"비용1";#N/A,#N/A,FALSE,"비용";#N/A,#N/A,FALSE,"보증2";#N/A,#N/A,FALSE,"보증1";#N/A,#N/A,FALSE,"보증";#N/A,#N/A,FALSE,"손익1";#N/A,#N/A,FALSE,"손익";#N/A,#N/A,FALSE,"부서별매출";#N/A,#N/A,FALSE,"매출"}</definedName>
    <definedName name="예상투자비" hidden="1">{#N/A,#N/A,FALSE,"인원";#N/A,#N/A,FALSE,"비용2";#N/A,#N/A,FALSE,"비용1";#N/A,#N/A,FALSE,"비용";#N/A,#N/A,FALSE,"보증2";#N/A,#N/A,FALSE,"보증1";#N/A,#N/A,FALSE,"보증";#N/A,#N/A,FALSE,"손익1";#N/A,#N/A,FALSE,"손익";#N/A,#N/A,FALSE,"부서별매출";#N/A,#N/A,FALSE,"매출"}</definedName>
    <definedName name="완성"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차물류비" localSheetId="4" hidden="1">{#N/A,#N/A,FALSE,"인원";#N/A,#N/A,FALSE,"비용2";#N/A,#N/A,FALSE,"비용1";#N/A,#N/A,FALSE,"비용";#N/A,#N/A,FALSE,"보증2";#N/A,#N/A,FALSE,"보증1";#N/A,#N/A,FALSE,"보증";#N/A,#N/A,FALSE,"손익1";#N/A,#N/A,FALSE,"손익";#N/A,#N/A,FALSE,"부서별매출";#N/A,#N/A,FALSE,"매출"}</definedName>
    <definedName name="완성차물류비" localSheetId="5" hidden="1">{#N/A,#N/A,FALSE,"인원";#N/A,#N/A,FALSE,"비용2";#N/A,#N/A,FALSE,"비용1";#N/A,#N/A,FALSE,"비용";#N/A,#N/A,FALSE,"보증2";#N/A,#N/A,FALSE,"보증1";#N/A,#N/A,FALSE,"보증";#N/A,#N/A,FALSE,"손익1";#N/A,#N/A,FALSE,"손익";#N/A,#N/A,FALSE,"부서별매출";#N/A,#N/A,FALSE,"매출"}</definedName>
    <definedName name="완성차물류비" localSheetId="11" hidden="1">{#N/A,#N/A,FALSE,"인원";#N/A,#N/A,FALSE,"비용2";#N/A,#N/A,FALSE,"비용1";#N/A,#N/A,FALSE,"비용";#N/A,#N/A,FALSE,"보증2";#N/A,#N/A,FALSE,"보증1";#N/A,#N/A,FALSE,"보증";#N/A,#N/A,FALSE,"손익1";#N/A,#N/A,FALSE,"손익";#N/A,#N/A,FALSE,"부서별매출";#N/A,#N/A,FALSE,"매출"}</definedName>
    <definedName name="완성차물류비" hidden="1">{#N/A,#N/A,FALSE,"인원";#N/A,#N/A,FALSE,"비용2";#N/A,#N/A,FALSE,"비용1";#N/A,#N/A,FALSE,"비용";#N/A,#N/A,FALSE,"보증2";#N/A,#N/A,FALSE,"보증1";#N/A,#N/A,FALSE,"보증";#N/A,#N/A,FALSE,"손익1";#N/A,#N/A,FALSE,"손익";#N/A,#N/A,FALSE,"부서별매출";#N/A,#N/A,FALSE,"매출"}</definedName>
    <definedName name="요건_3"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요건_3"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요건_3"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요건_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요건_3_1"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요건_3_1"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요건_3_1"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요건_3_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우리" localSheetId="4" hidden="1">{#N/A,#N/A,FALSE,"인원";#N/A,#N/A,FALSE,"비용2";#N/A,#N/A,FALSE,"비용1";#N/A,#N/A,FALSE,"비용";#N/A,#N/A,FALSE,"보증2";#N/A,#N/A,FALSE,"보증1";#N/A,#N/A,FALSE,"보증";#N/A,#N/A,FALSE,"손익1";#N/A,#N/A,FALSE,"손익";#N/A,#N/A,FALSE,"부서별매출";#N/A,#N/A,FALSE,"매출"}</definedName>
    <definedName name="우리" localSheetId="5" hidden="1">{#N/A,#N/A,FALSE,"인원";#N/A,#N/A,FALSE,"비용2";#N/A,#N/A,FALSE,"비용1";#N/A,#N/A,FALSE,"비용";#N/A,#N/A,FALSE,"보증2";#N/A,#N/A,FALSE,"보증1";#N/A,#N/A,FALSE,"보증";#N/A,#N/A,FALSE,"손익1";#N/A,#N/A,FALSE,"손익";#N/A,#N/A,FALSE,"부서별매출";#N/A,#N/A,FALSE,"매출"}</definedName>
    <definedName name="우리" localSheetId="11" hidden="1">{#N/A,#N/A,FALSE,"인원";#N/A,#N/A,FALSE,"비용2";#N/A,#N/A,FALSE,"비용1";#N/A,#N/A,FALSE,"비용";#N/A,#N/A,FALSE,"보증2";#N/A,#N/A,FALSE,"보증1";#N/A,#N/A,FALSE,"보증";#N/A,#N/A,FALSE,"손익1";#N/A,#N/A,FALSE,"손익";#N/A,#N/A,FALSE,"부서별매출";#N/A,#N/A,FALSE,"매출"}</definedName>
    <definedName name="우리" hidden="1">{#N/A,#N/A,FALSE,"인원";#N/A,#N/A,FALSE,"비용2";#N/A,#N/A,FALSE,"비용1";#N/A,#N/A,FALSE,"비용";#N/A,#N/A,FALSE,"보증2";#N/A,#N/A,FALSE,"보증1";#N/A,#N/A,FALSE,"보증";#N/A,#N/A,FALSE,"손익1";#N/A,#N/A,FALSE,"손익";#N/A,#N/A,FALSE,"부서별매출";#N/A,#N/A,FALSE,"매출"}</definedName>
    <definedName name="원가계획" localSheetId="4" hidden="1">{#N/A,#N/A,FALSE,"BODY"}</definedName>
    <definedName name="원가계획" localSheetId="5" hidden="1">{#N/A,#N/A,FALSE,"BODY"}</definedName>
    <definedName name="원가계획" localSheetId="11" hidden="1">{#N/A,#N/A,FALSE,"BODY"}</definedName>
    <definedName name="원가계획" hidden="1">{#N/A,#N/A,FALSE,"BODY"}</definedName>
    <definedName name="원주" localSheetId="4" hidden="1">{#N/A,#N/A,FALSE,"인원";#N/A,#N/A,FALSE,"비용2";#N/A,#N/A,FALSE,"비용1";#N/A,#N/A,FALSE,"비용";#N/A,#N/A,FALSE,"보증2";#N/A,#N/A,FALSE,"보증1";#N/A,#N/A,FALSE,"보증";#N/A,#N/A,FALSE,"손익1";#N/A,#N/A,FALSE,"손익";#N/A,#N/A,FALSE,"부서별매출";#N/A,#N/A,FALSE,"매출"}</definedName>
    <definedName name="원주" localSheetId="5" hidden="1">{#N/A,#N/A,FALSE,"인원";#N/A,#N/A,FALSE,"비용2";#N/A,#N/A,FALSE,"비용1";#N/A,#N/A,FALSE,"비용";#N/A,#N/A,FALSE,"보증2";#N/A,#N/A,FALSE,"보증1";#N/A,#N/A,FALSE,"보증";#N/A,#N/A,FALSE,"손익1";#N/A,#N/A,FALSE,"손익";#N/A,#N/A,FALSE,"부서별매출";#N/A,#N/A,FALSE,"매출"}</definedName>
    <definedName name="원주" localSheetId="11" hidden="1">{#N/A,#N/A,FALSE,"인원";#N/A,#N/A,FALSE,"비용2";#N/A,#N/A,FALSE,"비용1";#N/A,#N/A,FALSE,"비용";#N/A,#N/A,FALSE,"보증2";#N/A,#N/A,FALSE,"보증1";#N/A,#N/A,FALSE,"보증";#N/A,#N/A,FALSE,"손익1";#N/A,#N/A,FALSE,"손익";#N/A,#N/A,FALSE,"부서별매출";#N/A,#N/A,FALSE,"매출"}</definedName>
    <definedName name="원주" hidden="1">{#N/A,#N/A,FALSE,"인원";#N/A,#N/A,FALSE,"비용2";#N/A,#N/A,FALSE,"비용1";#N/A,#N/A,FALSE,"비용";#N/A,#N/A,FALSE,"보증2";#N/A,#N/A,FALSE,"보증1";#N/A,#N/A,FALSE,"보증";#N/A,#N/A,FALSE,"손익1";#N/A,#N/A,FALSE,"손익";#N/A,#N/A,FALSE,"부서별매출";#N/A,#N/A,FALSE,"매출"}</definedName>
    <definedName name="원화" localSheetId="4" hidden="1">{#N/A,#N/A,FALSE,"인원";#N/A,#N/A,FALSE,"비용2";#N/A,#N/A,FALSE,"비용1";#N/A,#N/A,FALSE,"비용";#N/A,#N/A,FALSE,"보증2";#N/A,#N/A,FALSE,"보증1";#N/A,#N/A,FALSE,"보증";#N/A,#N/A,FALSE,"손익1";#N/A,#N/A,FALSE,"손익";#N/A,#N/A,FALSE,"부서별매출";#N/A,#N/A,FALSE,"매출"}</definedName>
    <definedName name="원화" localSheetId="5" hidden="1">{#N/A,#N/A,FALSE,"인원";#N/A,#N/A,FALSE,"비용2";#N/A,#N/A,FALSE,"비용1";#N/A,#N/A,FALSE,"비용";#N/A,#N/A,FALSE,"보증2";#N/A,#N/A,FALSE,"보증1";#N/A,#N/A,FALSE,"보증";#N/A,#N/A,FALSE,"손익1";#N/A,#N/A,FALSE,"손익";#N/A,#N/A,FALSE,"부서별매출";#N/A,#N/A,FALSE,"매출"}</definedName>
    <definedName name="원화" localSheetId="11" hidden="1">{#N/A,#N/A,FALSE,"인원";#N/A,#N/A,FALSE,"비용2";#N/A,#N/A,FALSE,"비용1";#N/A,#N/A,FALSE,"비용";#N/A,#N/A,FALSE,"보증2";#N/A,#N/A,FALSE,"보증1";#N/A,#N/A,FALSE,"보증";#N/A,#N/A,FALSE,"손익1";#N/A,#N/A,FALSE,"손익";#N/A,#N/A,FALSE,"부서별매출";#N/A,#N/A,FALSE,"매출"}</definedName>
    <definedName name="원화" hidden="1">{#N/A,#N/A,FALSE,"인원";#N/A,#N/A,FALSE,"비용2";#N/A,#N/A,FALSE,"비용1";#N/A,#N/A,FALSE,"비용";#N/A,#N/A,FALSE,"보증2";#N/A,#N/A,FALSE,"보증1";#N/A,#N/A,FALSE,"보증";#N/A,#N/A,FALSE,"손익1";#N/A,#N/A,FALSE,"손익";#N/A,#N/A,FALSE,"부서별매출";#N/A,#N/A,FALSE,"매출"}</definedName>
    <definedName name="유사"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유사"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유사"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유사"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름"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름"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름"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명철" localSheetId="4" hidden="1">{#N/A,#N/A,FALSE,"인원";#N/A,#N/A,FALSE,"비용2";#N/A,#N/A,FALSE,"비용1";#N/A,#N/A,FALSE,"비용";#N/A,#N/A,FALSE,"보증2";#N/A,#N/A,FALSE,"보증1";#N/A,#N/A,FALSE,"보증";#N/A,#N/A,FALSE,"손익1";#N/A,#N/A,FALSE,"손익";#N/A,#N/A,FALSE,"부서별매출";#N/A,#N/A,FALSE,"매출"}</definedName>
    <definedName name="이명철" localSheetId="5" hidden="1">{#N/A,#N/A,FALSE,"인원";#N/A,#N/A,FALSE,"비용2";#N/A,#N/A,FALSE,"비용1";#N/A,#N/A,FALSE,"비용";#N/A,#N/A,FALSE,"보증2";#N/A,#N/A,FALSE,"보증1";#N/A,#N/A,FALSE,"보증";#N/A,#N/A,FALSE,"손익1";#N/A,#N/A,FALSE,"손익";#N/A,#N/A,FALSE,"부서별매출";#N/A,#N/A,FALSE,"매출"}</definedName>
    <definedName name="이명철" localSheetId="11" hidden="1">{#N/A,#N/A,FALSE,"인원";#N/A,#N/A,FALSE,"비용2";#N/A,#N/A,FALSE,"비용1";#N/A,#N/A,FALSE,"비용";#N/A,#N/A,FALSE,"보증2";#N/A,#N/A,FALSE,"보증1";#N/A,#N/A,FALSE,"보증";#N/A,#N/A,FALSE,"손익1";#N/A,#N/A,FALSE,"손익";#N/A,#N/A,FALSE,"부서별매출";#N/A,#N/A,FALSE,"매출"}</definedName>
    <definedName name="이명철" hidden="1">{#N/A,#N/A,FALSE,"인원";#N/A,#N/A,FALSE,"비용2";#N/A,#N/A,FALSE,"비용1";#N/A,#N/A,FALSE,"비용";#N/A,#N/A,FALSE,"보증2";#N/A,#N/A,FALSE,"보증1";#N/A,#N/A,FALSE,"보증";#N/A,#N/A,FALSE,"손익1";#N/A,#N/A,FALSE,"손익";#N/A,#N/A,FALSE,"부서별매출";#N/A,#N/A,FALSE,"매출"}</definedName>
    <definedName name="이법제"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법제"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법제"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법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병화"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병화"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병화"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병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천년비용" localSheetId="4" hidden="1">{#N/A,#N/A,FALSE,"인원";#N/A,#N/A,FALSE,"비용2";#N/A,#N/A,FALSE,"비용1";#N/A,#N/A,FALSE,"비용";#N/A,#N/A,FALSE,"보증2";#N/A,#N/A,FALSE,"보증1";#N/A,#N/A,FALSE,"보증";#N/A,#N/A,FALSE,"손익1";#N/A,#N/A,FALSE,"손익";#N/A,#N/A,FALSE,"부서별매출";#N/A,#N/A,FALSE,"매출"}</definedName>
    <definedName name="이천년비용" localSheetId="5" hidden="1">{#N/A,#N/A,FALSE,"인원";#N/A,#N/A,FALSE,"비용2";#N/A,#N/A,FALSE,"비용1";#N/A,#N/A,FALSE,"비용";#N/A,#N/A,FALSE,"보증2";#N/A,#N/A,FALSE,"보증1";#N/A,#N/A,FALSE,"보증";#N/A,#N/A,FALSE,"손익1";#N/A,#N/A,FALSE,"손익";#N/A,#N/A,FALSE,"부서별매출";#N/A,#N/A,FALSE,"매출"}</definedName>
    <definedName name="이천년비용" localSheetId="11" hidden="1">{#N/A,#N/A,FALSE,"인원";#N/A,#N/A,FALSE,"비용2";#N/A,#N/A,FALSE,"비용1";#N/A,#N/A,FALSE,"비용";#N/A,#N/A,FALSE,"보증2";#N/A,#N/A,FALSE,"보증1";#N/A,#N/A,FALSE,"보증";#N/A,#N/A,FALSE,"손익1";#N/A,#N/A,FALSE,"손익";#N/A,#N/A,FALSE,"부서별매출";#N/A,#N/A,FALSE,"매출"}</definedName>
    <definedName name="이천년비용" hidden="1">{#N/A,#N/A,FALSE,"인원";#N/A,#N/A,FALSE,"비용2";#N/A,#N/A,FALSE,"비용1";#N/A,#N/A,FALSE,"비용";#N/A,#N/A,FALSE,"보증2";#N/A,#N/A,FALSE,"보증1";#N/A,#N/A,FALSE,"보증";#N/A,#N/A,FALSE,"손익1";#N/A,#N/A,FALSE,"손익";#N/A,#N/A,FALSE,"부서별매출";#N/A,#N/A,FALSE,"매출"}</definedName>
    <definedName name="인쇄제목" localSheetId="4">#REF!</definedName>
    <definedName name="인쇄제목" localSheetId="5">#REF!</definedName>
    <definedName name="인쇄제목" localSheetId="11">#REF!</definedName>
    <definedName name="인쇄제목">#REF!</definedName>
    <definedName name="일">#N/A</definedName>
    <definedName name="일반경비"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반경비"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반경비"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반경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정"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정"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정"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정2" localSheetId="4" hidden="1">{#N/A,#N/A,FALSE,"인원";#N/A,#N/A,FALSE,"비용2";#N/A,#N/A,FALSE,"비용1";#N/A,#N/A,FALSE,"비용";#N/A,#N/A,FALSE,"보증2";#N/A,#N/A,FALSE,"보증1";#N/A,#N/A,FALSE,"보증";#N/A,#N/A,FALSE,"손익1";#N/A,#N/A,FALSE,"손익";#N/A,#N/A,FALSE,"부서별매출";#N/A,#N/A,FALSE,"매출"}</definedName>
    <definedName name="일정2" localSheetId="5" hidden="1">{#N/A,#N/A,FALSE,"인원";#N/A,#N/A,FALSE,"비용2";#N/A,#N/A,FALSE,"비용1";#N/A,#N/A,FALSE,"비용";#N/A,#N/A,FALSE,"보증2";#N/A,#N/A,FALSE,"보증1";#N/A,#N/A,FALSE,"보증";#N/A,#N/A,FALSE,"손익1";#N/A,#N/A,FALSE,"손익";#N/A,#N/A,FALSE,"부서별매출";#N/A,#N/A,FALSE,"매출"}</definedName>
    <definedName name="일정2" localSheetId="11" hidden="1">{#N/A,#N/A,FALSE,"인원";#N/A,#N/A,FALSE,"비용2";#N/A,#N/A,FALSE,"비용1";#N/A,#N/A,FALSE,"비용";#N/A,#N/A,FALSE,"보증2";#N/A,#N/A,FALSE,"보증1";#N/A,#N/A,FALSE,"보증";#N/A,#N/A,FALSE,"손익1";#N/A,#N/A,FALSE,"손익";#N/A,#N/A,FALSE,"부서별매출";#N/A,#N/A,FALSE,"매출"}</definedName>
    <definedName name="일정2" hidden="1">{#N/A,#N/A,FALSE,"인원";#N/A,#N/A,FALSE,"비용2";#N/A,#N/A,FALSE,"비용1";#N/A,#N/A,FALSE,"비용";#N/A,#N/A,FALSE,"보증2";#N/A,#N/A,FALSE,"보증1";#N/A,#N/A,FALSE,"보증";#N/A,#N/A,FALSE,"손익1";#N/A,#N/A,FALSE,"손익";#N/A,#N/A,FALSE,"부서별매출";#N/A,#N/A,FALSE,"매출"}</definedName>
    <definedName name="일정계획"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정계획"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정계획"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정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입범석" localSheetId="4">#REF!</definedName>
    <definedName name="입범석" localSheetId="5">#REF!</definedName>
    <definedName name="입범석" localSheetId="11">#REF!</definedName>
    <definedName name="입범석">#REF!</definedName>
    <definedName name="ㅈ"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ㄷ" localSheetId="4" hidden="1">{#N/A,#N/A,FALSE,"인원";#N/A,#N/A,FALSE,"비용2";#N/A,#N/A,FALSE,"비용1";#N/A,#N/A,FALSE,"비용";#N/A,#N/A,FALSE,"보증2";#N/A,#N/A,FALSE,"보증1";#N/A,#N/A,FALSE,"보증";#N/A,#N/A,FALSE,"손익1";#N/A,#N/A,FALSE,"손익";#N/A,#N/A,FALSE,"부서별매출";#N/A,#N/A,FALSE,"매출"}</definedName>
    <definedName name="ㅈㄷ" localSheetId="5" hidden="1">{#N/A,#N/A,FALSE,"인원";#N/A,#N/A,FALSE,"비용2";#N/A,#N/A,FALSE,"비용1";#N/A,#N/A,FALSE,"비용";#N/A,#N/A,FALSE,"보증2";#N/A,#N/A,FALSE,"보증1";#N/A,#N/A,FALSE,"보증";#N/A,#N/A,FALSE,"손익1";#N/A,#N/A,FALSE,"손익";#N/A,#N/A,FALSE,"부서별매출";#N/A,#N/A,FALSE,"매출"}</definedName>
    <definedName name="ㅈㄷ" localSheetId="11" hidden="1">{#N/A,#N/A,FALSE,"인원";#N/A,#N/A,FALSE,"비용2";#N/A,#N/A,FALSE,"비용1";#N/A,#N/A,FALSE,"비용";#N/A,#N/A,FALSE,"보증2";#N/A,#N/A,FALSE,"보증1";#N/A,#N/A,FALSE,"보증";#N/A,#N/A,FALSE,"손익1";#N/A,#N/A,FALSE,"손익";#N/A,#N/A,FALSE,"부서별매출";#N/A,#N/A,FALSE,"매출"}</definedName>
    <definedName name="ㅈㄷ" hidden="1">{#N/A,#N/A,FALSE,"인원";#N/A,#N/A,FALSE,"비용2";#N/A,#N/A,FALSE,"비용1";#N/A,#N/A,FALSE,"비용";#N/A,#N/A,FALSE,"보증2";#N/A,#N/A,FALSE,"보증1";#N/A,#N/A,FALSE,"보증";#N/A,#N/A,FALSE,"손익1";#N/A,#N/A,FALSE,"손익";#N/A,#N/A,FALSE,"부서별매출";#N/A,#N/A,FALSE,"매출"}</definedName>
    <definedName name="ㅈㄷㅈ"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ㄷㅈ"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ㄷㅈ"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ㄷ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 localSheetId="4" hidden="1">{#N/A,#N/A,TRUE,"일정"}</definedName>
    <definedName name="ㅈㅈㅈ" localSheetId="5" hidden="1">{#N/A,#N/A,TRUE,"일정"}</definedName>
    <definedName name="ㅈㅈㅈ" localSheetId="11" hidden="1">{#N/A,#N/A,TRUE,"일정"}</definedName>
    <definedName name="ㅈㅈㅈ" hidden="1">{#N/A,#N/A,TRUE,"일정"}</definedName>
    <definedName name="자료2"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자료2"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자료2"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자료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재료비" localSheetId="4" hidden="1">{#N/A,#N/A,FALSE,"BODY"}</definedName>
    <definedName name="재료비" localSheetId="5" hidden="1">{#N/A,#N/A,FALSE,"BODY"}</definedName>
    <definedName name="재료비" localSheetId="11" hidden="1">{#N/A,#N/A,FALSE,"BODY"}</definedName>
    <definedName name="재료비" hidden="1">{#N/A,#N/A,FALSE,"BODY"}</definedName>
    <definedName name="저"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전장su" localSheetId="4">#REF!</definedName>
    <definedName name="전장su" localSheetId="5">#REF!</definedName>
    <definedName name="전장su" localSheetId="11">#REF!</definedName>
    <definedName name="전장su">#REF!</definedName>
    <definedName name="정비" localSheetId="4" hidden="1">{#N/A,#N/A,FALSE,"인원";#N/A,#N/A,FALSE,"비용2";#N/A,#N/A,FALSE,"비용1";#N/A,#N/A,FALSE,"비용";#N/A,#N/A,FALSE,"보증2";#N/A,#N/A,FALSE,"보증1";#N/A,#N/A,FALSE,"보증";#N/A,#N/A,FALSE,"손익1";#N/A,#N/A,FALSE,"손익";#N/A,#N/A,FALSE,"부서별매출";#N/A,#N/A,FALSE,"매출"}</definedName>
    <definedName name="정비" localSheetId="5" hidden="1">{#N/A,#N/A,FALSE,"인원";#N/A,#N/A,FALSE,"비용2";#N/A,#N/A,FALSE,"비용1";#N/A,#N/A,FALSE,"비용";#N/A,#N/A,FALSE,"보증2";#N/A,#N/A,FALSE,"보증1";#N/A,#N/A,FALSE,"보증";#N/A,#N/A,FALSE,"손익1";#N/A,#N/A,FALSE,"손익";#N/A,#N/A,FALSE,"부서별매출";#N/A,#N/A,FALSE,"매출"}</definedName>
    <definedName name="정비" localSheetId="11" hidden="1">{#N/A,#N/A,FALSE,"인원";#N/A,#N/A,FALSE,"비용2";#N/A,#N/A,FALSE,"비용1";#N/A,#N/A,FALSE,"비용";#N/A,#N/A,FALSE,"보증2";#N/A,#N/A,FALSE,"보증1";#N/A,#N/A,FALSE,"보증";#N/A,#N/A,FALSE,"손익1";#N/A,#N/A,FALSE,"손익";#N/A,#N/A,FALSE,"부서별매출";#N/A,#N/A,FALSE,"매출"}</definedName>
    <definedName name="정비" hidden="1">{#N/A,#N/A,FALSE,"인원";#N/A,#N/A,FALSE,"비용2";#N/A,#N/A,FALSE,"비용1";#N/A,#N/A,FALSE,"비용";#N/A,#N/A,FALSE,"보증2";#N/A,#N/A,FALSE,"보증1";#N/A,#N/A,FALSE,"보증";#N/A,#N/A,FALSE,"손익1";#N/A,#N/A,FALSE,"손익";#N/A,#N/A,FALSE,"부서별매출";#N/A,#N/A,FALSE,"매출"}</definedName>
    <definedName name="정비대수" localSheetId="4" hidden="1">{#N/A,#N/A,FALSE,"인원";#N/A,#N/A,FALSE,"비용2";#N/A,#N/A,FALSE,"비용1";#N/A,#N/A,FALSE,"비용";#N/A,#N/A,FALSE,"보증2";#N/A,#N/A,FALSE,"보증1";#N/A,#N/A,FALSE,"보증";#N/A,#N/A,FALSE,"손익1";#N/A,#N/A,FALSE,"손익";#N/A,#N/A,FALSE,"부서별매출";#N/A,#N/A,FALSE,"매출"}</definedName>
    <definedName name="정비대수" localSheetId="5" hidden="1">{#N/A,#N/A,FALSE,"인원";#N/A,#N/A,FALSE,"비용2";#N/A,#N/A,FALSE,"비용1";#N/A,#N/A,FALSE,"비용";#N/A,#N/A,FALSE,"보증2";#N/A,#N/A,FALSE,"보증1";#N/A,#N/A,FALSE,"보증";#N/A,#N/A,FALSE,"손익1";#N/A,#N/A,FALSE,"손익";#N/A,#N/A,FALSE,"부서별매출";#N/A,#N/A,FALSE,"매출"}</definedName>
    <definedName name="정비대수" localSheetId="11"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비부품" localSheetId="4" hidden="1">{#N/A,#N/A,FALSE,"인원";#N/A,#N/A,FALSE,"비용2";#N/A,#N/A,FALSE,"비용1";#N/A,#N/A,FALSE,"비용";#N/A,#N/A,FALSE,"보증2";#N/A,#N/A,FALSE,"보증1";#N/A,#N/A,FALSE,"보증";#N/A,#N/A,FALSE,"손익1";#N/A,#N/A,FALSE,"손익";#N/A,#N/A,FALSE,"부서별매출";#N/A,#N/A,FALSE,"매출"}</definedName>
    <definedName name="정비부품" localSheetId="5" hidden="1">{#N/A,#N/A,FALSE,"인원";#N/A,#N/A,FALSE,"비용2";#N/A,#N/A,FALSE,"비용1";#N/A,#N/A,FALSE,"비용";#N/A,#N/A,FALSE,"보증2";#N/A,#N/A,FALSE,"보증1";#N/A,#N/A,FALSE,"보증";#N/A,#N/A,FALSE,"손익1";#N/A,#N/A,FALSE,"손익";#N/A,#N/A,FALSE,"부서별매출";#N/A,#N/A,FALSE,"매출"}</definedName>
    <definedName name="정비부품" localSheetId="11" hidden="1">{#N/A,#N/A,FALSE,"인원";#N/A,#N/A,FALSE,"비용2";#N/A,#N/A,FALSE,"비용1";#N/A,#N/A,FALSE,"비용";#N/A,#N/A,FALSE,"보증2";#N/A,#N/A,FALSE,"보증1";#N/A,#N/A,FALSE,"보증";#N/A,#N/A,FALSE,"손익1";#N/A,#N/A,FALSE,"손익";#N/A,#N/A,FALSE,"부서별매출";#N/A,#N/A,FALSE,"매출"}</definedName>
    <definedName name="정비부품" hidden="1">{#N/A,#N/A,FALSE,"인원";#N/A,#N/A,FALSE,"비용2";#N/A,#N/A,FALSE,"비용1";#N/A,#N/A,FALSE,"비용";#N/A,#N/A,FALSE,"보증2";#N/A,#N/A,FALSE,"보증1";#N/A,#N/A,FALSE,"보증";#N/A,#N/A,FALSE,"손익1";#N/A,#N/A,FALSE,"손익";#N/A,#N/A,FALSE,"부서별매출";#N/A,#N/A,FALSE,"매출"}</definedName>
    <definedName name="조립"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조립"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조립"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조립"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종원">#N/A</definedName>
    <definedName name="중" localSheetId="4" hidden="1">{#N/A,#N/A,FALSE,"인원";#N/A,#N/A,FALSE,"비용2";#N/A,#N/A,FALSE,"비용1";#N/A,#N/A,FALSE,"비용";#N/A,#N/A,FALSE,"보증2";#N/A,#N/A,FALSE,"보증1";#N/A,#N/A,FALSE,"보증";#N/A,#N/A,FALSE,"손익1";#N/A,#N/A,FALSE,"손익";#N/A,#N/A,FALSE,"부서별매출";#N/A,#N/A,FALSE,"매출"}</definedName>
    <definedName name="중" localSheetId="5" hidden="1">{#N/A,#N/A,FALSE,"인원";#N/A,#N/A,FALSE,"비용2";#N/A,#N/A,FALSE,"비용1";#N/A,#N/A,FALSE,"비용";#N/A,#N/A,FALSE,"보증2";#N/A,#N/A,FALSE,"보증1";#N/A,#N/A,FALSE,"보증";#N/A,#N/A,FALSE,"손익1";#N/A,#N/A,FALSE,"손익";#N/A,#N/A,FALSE,"부서별매출";#N/A,#N/A,FALSE,"매출"}</definedName>
    <definedName name="중" localSheetId="11" hidden="1">{#N/A,#N/A,FALSE,"인원";#N/A,#N/A,FALSE,"비용2";#N/A,#N/A,FALSE,"비용1";#N/A,#N/A,FALSE,"비용";#N/A,#N/A,FALSE,"보증2";#N/A,#N/A,FALSE,"보증1";#N/A,#N/A,FALSE,"보증";#N/A,#N/A,FALSE,"손익1";#N/A,#N/A,FALSE,"손익";#N/A,#N/A,FALSE,"부서별매출";#N/A,#N/A,FALSE,"매출"}</definedName>
    <definedName name="중" hidden="1">{#N/A,#N/A,FALSE,"인원";#N/A,#N/A,FALSE,"비용2";#N/A,#N/A,FALSE,"비용1";#N/A,#N/A,FALSE,"비용";#N/A,#N/A,FALSE,"보증2";#N/A,#N/A,FALSE,"보증1";#N/A,#N/A,FALSE,"보증";#N/A,#N/A,FALSE,"손익1";#N/A,#N/A,FALSE,"손익";#N/A,#N/A,FALSE,"부서별매출";#N/A,#N/A,FALSE,"매출"}</definedName>
    <definedName name="중점추진" localSheetId="4" hidden="1">{#N/A,#N/A,TRUE,"일정"}</definedName>
    <definedName name="중점추진" localSheetId="5" hidden="1">{#N/A,#N/A,TRUE,"일정"}</definedName>
    <definedName name="중점추진" localSheetId="11" hidden="1">{#N/A,#N/A,TRUE,"일정"}</definedName>
    <definedName name="중점추진" hidden="1">{#N/A,#N/A,TRUE,"일정"}</definedName>
    <definedName name="중표지" localSheetId="4" hidden="1">{#N/A,#N/A,FALSE,"인원";#N/A,#N/A,FALSE,"비용2";#N/A,#N/A,FALSE,"비용1";#N/A,#N/A,FALSE,"비용";#N/A,#N/A,FALSE,"보증2";#N/A,#N/A,FALSE,"보증1";#N/A,#N/A,FALSE,"보증";#N/A,#N/A,FALSE,"손익1";#N/A,#N/A,FALSE,"손익";#N/A,#N/A,FALSE,"부서별매출";#N/A,#N/A,FALSE,"매출"}</definedName>
    <definedName name="중표지" localSheetId="5" hidden="1">{#N/A,#N/A,FALSE,"인원";#N/A,#N/A,FALSE,"비용2";#N/A,#N/A,FALSE,"비용1";#N/A,#N/A,FALSE,"비용";#N/A,#N/A,FALSE,"보증2";#N/A,#N/A,FALSE,"보증1";#N/A,#N/A,FALSE,"보증";#N/A,#N/A,FALSE,"손익1";#N/A,#N/A,FALSE,"손익";#N/A,#N/A,FALSE,"부서별매출";#N/A,#N/A,FALSE,"매출"}</definedName>
    <definedName name="중표지" localSheetId="11" hidden="1">{#N/A,#N/A,FALSE,"인원";#N/A,#N/A,FALSE,"비용2";#N/A,#N/A,FALSE,"비용1";#N/A,#N/A,FALSE,"비용";#N/A,#N/A,FALSE,"보증2";#N/A,#N/A,FALSE,"보증1";#N/A,#N/A,FALSE,"보증";#N/A,#N/A,FALSE,"손익1";#N/A,#N/A,FALSE,"손익";#N/A,#N/A,FALSE,"부서별매출";#N/A,#N/A,FALSE,"매출"}</definedName>
    <definedName name="중표지" hidden="1">{#N/A,#N/A,FALSE,"인원";#N/A,#N/A,FALSE,"비용2";#N/A,#N/A,FALSE,"비용1";#N/A,#N/A,FALSE,"비용";#N/A,#N/A,FALSE,"보증2";#N/A,#N/A,FALSE,"보증1";#N/A,#N/A,FALSE,"보증";#N/A,#N/A,FALSE,"손익1";#N/A,#N/A,FALSE,"손익";#N/A,#N/A,FALSE,"부서별매출";#N/A,#N/A,FALSE,"매출"}</definedName>
    <definedName name="중표지5" localSheetId="4" hidden="1">{#N/A,#N/A,FALSE,"인원";#N/A,#N/A,FALSE,"비용2";#N/A,#N/A,FALSE,"비용1";#N/A,#N/A,FALSE,"비용";#N/A,#N/A,FALSE,"보증2";#N/A,#N/A,FALSE,"보증1";#N/A,#N/A,FALSE,"보증";#N/A,#N/A,FALSE,"손익1";#N/A,#N/A,FALSE,"손익";#N/A,#N/A,FALSE,"부서별매출";#N/A,#N/A,FALSE,"매출"}</definedName>
    <definedName name="중표지5" localSheetId="5" hidden="1">{#N/A,#N/A,FALSE,"인원";#N/A,#N/A,FALSE,"비용2";#N/A,#N/A,FALSE,"비용1";#N/A,#N/A,FALSE,"비용";#N/A,#N/A,FALSE,"보증2";#N/A,#N/A,FALSE,"보증1";#N/A,#N/A,FALSE,"보증";#N/A,#N/A,FALSE,"손익1";#N/A,#N/A,FALSE,"손익";#N/A,#N/A,FALSE,"부서별매출";#N/A,#N/A,FALSE,"매출"}</definedName>
    <definedName name="중표지5" localSheetId="11" hidden="1">{#N/A,#N/A,FALSE,"인원";#N/A,#N/A,FALSE,"비용2";#N/A,#N/A,FALSE,"비용1";#N/A,#N/A,FALSE,"비용";#N/A,#N/A,FALSE,"보증2";#N/A,#N/A,FALSE,"보증1";#N/A,#N/A,FALSE,"보증";#N/A,#N/A,FALSE,"손익1";#N/A,#N/A,FALSE,"손익";#N/A,#N/A,FALSE,"부서별매출";#N/A,#N/A,FALSE,"매출"}</definedName>
    <definedName name="중표지5" hidden="1">{#N/A,#N/A,FALSE,"인원";#N/A,#N/A,FALSE,"비용2";#N/A,#N/A,FALSE,"비용1";#N/A,#N/A,FALSE,"비용";#N/A,#N/A,FALSE,"보증2";#N/A,#N/A,FALSE,"보증1";#N/A,#N/A,FALSE,"보증";#N/A,#N/A,FALSE,"손익1";#N/A,#N/A,FALSE,"손익";#N/A,#N/A,FALSE,"부서별매출";#N/A,#N/A,FALSE,"매출"}</definedName>
    <definedName name="지그부하1" localSheetId="4" hidden="1">{#N/A,#N/A,TRUE,"일정"}</definedName>
    <definedName name="지그부하1" localSheetId="5" hidden="1">{#N/A,#N/A,TRUE,"일정"}</definedName>
    <definedName name="지그부하1" localSheetId="11" hidden="1">{#N/A,#N/A,TRUE,"일정"}</definedName>
    <definedName name="지그부하1" hidden="1">{#N/A,#N/A,TRUE,"일정"}</definedName>
    <definedName name="지도"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지도"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지도"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지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지울것"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지울것"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지울것"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지울것"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도" localSheetId="4" hidden="1">{#N/A,#N/A,FALSE,"인원";#N/A,#N/A,FALSE,"비용2";#N/A,#N/A,FALSE,"비용1";#N/A,#N/A,FALSE,"비용";#N/A,#N/A,FALSE,"보증2";#N/A,#N/A,FALSE,"보증1";#N/A,#N/A,FALSE,"보증";#N/A,#N/A,FALSE,"손익1";#N/A,#N/A,FALSE,"손익";#N/A,#N/A,FALSE,"부서별매출";#N/A,#N/A,FALSE,"매출"}</definedName>
    <definedName name="진도" localSheetId="5" hidden="1">{#N/A,#N/A,FALSE,"인원";#N/A,#N/A,FALSE,"비용2";#N/A,#N/A,FALSE,"비용1";#N/A,#N/A,FALSE,"비용";#N/A,#N/A,FALSE,"보증2";#N/A,#N/A,FALSE,"보증1";#N/A,#N/A,FALSE,"보증";#N/A,#N/A,FALSE,"손익1";#N/A,#N/A,FALSE,"손익";#N/A,#N/A,FALSE,"부서별매출";#N/A,#N/A,FALSE,"매출"}</definedName>
    <definedName name="진도" localSheetId="11" hidden="1">{#N/A,#N/A,FALSE,"인원";#N/A,#N/A,FALSE,"비용2";#N/A,#N/A,FALSE,"비용1";#N/A,#N/A,FALSE,"비용";#N/A,#N/A,FALSE,"보증2";#N/A,#N/A,FALSE,"보증1";#N/A,#N/A,FALSE,"보증";#N/A,#N/A,FALSE,"손익1";#N/A,#N/A,FALSE,"손익";#N/A,#N/A,FALSE,"부서별매출";#N/A,#N/A,FALSE,"매출"}</definedName>
    <definedName name="진도" hidden="1">{#N/A,#N/A,FALSE,"인원";#N/A,#N/A,FALSE,"비용2";#N/A,#N/A,FALSE,"비용1";#N/A,#N/A,FALSE,"비용";#N/A,#N/A,FALSE,"보증2";#N/A,#N/A,FALSE,"보증1";#N/A,#N/A,FALSE,"보증";#N/A,#N/A,FALSE,"손익1";#N/A,#N/A,FALSE,"손익";#N/A,#N/A,FALSE,"부서별매출";#N/A,#N/A,FALSE,"매출"}</definedName>
    <definedName name="차종별"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차" localSheetId="4" hidden="1">{#N/A,#N/A,TRUE,"일정"}</definedName>
    <definedName name="차차" localSheetId="5" hidden="1">{#N/A,#N/A,TRUE,"일정"}</definedName>
    <definedName name="차차" localSheetId="11" hidden="1">{#N/A,#N/A,TRUE,"일정"}</definedName>
    <definedName name="차차" hidden="1">{#N/A,#N/A,TRUE,"일정"}</definedName>
    <definedName name="차체1"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체1"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체1"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체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체2" localSheetId="4">#REF!</definedName>
    <definedName name="차체2" localSheetId="5">#REF!</definedName>
    <definedName name="차체2" localSheetId="11">#REF!</definedName>
    <definedName name="차체2">#REF!</definedName>
    <definedName name="차체5JPH"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체5JPH"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체5JPH"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체5JP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초ㅐ" localSheetId="4" hidden="1">{"'Monthly 1997'!$A$3:$S$89"}</definedName>
    <definedName name="초ㅐ" localSheetId="5" hidden="1">{"'Monthly 1997'!$A$3:$S$89"}</definedName>
    <definedName name="초ㅐ" localSheetId="11" hidden="1">{"'Monthly 1997'!$A$3:$S$89"}</definedName>
    <definedName name="초ㅐ" hidden="1">{"'Monthly 1997'!$A$3:$S$89"}</definedName>
    <definedName name="추진"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방안" localSheetId="4" hidden="1">{#N/A,#N/A,FALSE,"인원";#N/A,#N/A,FALSE,"비용2";#N/A,#N/A,FALSE,"비용1";#N/A,#N/A,FALSE,"비용";#N/A,#N/A,FALSE,"보증2";#N/A,#N/A,FALSE,"보증1";#N/A,#N/A,FALSE,"보증";#N/A,#N/A,FALSE,"손익1";#N/A,#N/A,FALSE,"손익";#N/A,#N/A,FALSE,"부서별매출";#N/A,#N/A,FALSE,"매출"}</definedName>
    <definedName name="추진방안" localSheetId="5" hidden="1">{#N/A,#N/A,FALSE,"인원";#N/A,#N/A,FALSE,"비용2";#N/A,#N/A,FALSE,"비용1";#N/A,#N/A,FALSE,"비용";#N/A,#N/A,FALSE,"보증2";#N/A,#N/A,FALSE,"보증1";#N/A,#N/A,FALSE,"보증";#N/A,#N/A,FALSE,"손익1";#N/A,#N/A,FALSE,"손익";#N/A,#N/A,FALSE,"부서별매출";#N/A,#N/A,FALSE,"매출"}</definedName>
    <definedName name="추진방안" localSheetId="11" hidden="1">{#N/A,#N/A,FALSE,"인원";#N/A,#N/A,FALSE,"비용2";#N/A,#N/A,FALSE,"비용1";#N/A,#N/A,FALSE,"비용";#N/A,#N/A,FALSE,"보증2";#N/A,#N/A,FALSE,"보증1";#N/A,#N/A,FALSE,"보증";#N/A,#N/A,FALSE,"손익1";#N/A,#N/A,FALSE,"손익";#N/A,#N/A,FALSE,"부서별매출";#N/A,#N/A,FALSE,"매출"}</definedName>
    <definedName name="추진방안" hidden="1">{#N/A,#N/A,FALSE,"인원";#N/A,#N/A,FALSE,"비용2";#N/A,#N/A,FALSE,"비용1";#N/A,#N/A,FALSE,"비용";#N/A,#N/A,FALSE,"보증2";#N/A,#N/A,FALSE,"보증1";#N/A,#N/A,FALSE,"보증";#N/A,#N/A,FALSE,"손익1";#N/A,#N/A,FALSE,"손익";#N/A,#N/A,FALSE,"부서별매출";#N/A,#N/A,FALSE,"매출"}</definedName>
    <definedName name="커버" localSheetId="3">[0]!_a1Z,[0]!_a2Z</definedName>
    <definedName name="커버" localSheetId="4">[0]!_a1Z,[0]!_a2Z</definedName>
    <definedName name="커버" localSheetId="5">[0]!_a1Z,[0]!_a2Z</definedName>
    <definedName name="커버" localSheetId="11">[0]!_a1Z,[0]!_a2Z</definedName>
    <definedName name="커버">[0]!_a1Z,[0]!_a2Z</definedName>
    <definedName name="ㅌㅌㅌ" localSheetId="4" hidden="1">{#N/A,#N/A,TRUE,"일정"}</definedName>
    <definedName name="ㅌㅌㅌ" localSheetId="5" hidden="1">{#N/A,#N/A,TRUE,"일정"}</definedName>
    <definedName name="ㅌㅌㅌ" localSheetId="11" hidden="1">{#N/A,#N/A,TRUE,"일정"}</definedName>
    <definedName name="ㅌㅌㅌ" hidden="1">{#N/A,#N/A,TRUE,"일정"}</definedName>
    <definedName name="타"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템플리트모듈1" localSheetId="3">[0]!BlankMacro1</definedName>
    <definedName name="템플리트모듈1" localSheetId="4">[0]!BlankMacro1</definedName>
    <definedName name="템플리트모듈1" localSheetId="5">[0]!BlankMacro1</definedName>
    <definedName name="템플리트모듈1" localSheetId="11">[0]!BlankMacro1</definedName>
    <definedName name="템플리트모듈1">[0]!BlankMacro1</definedName>
    <definedName name="템플리트모듈2" localSheetId="3">[0]!BlankMacro1</definedName>
    <definedName name="템플리트모듈2" localSheetId="4">[0]!BlankMacro1</definedName>
    <definedName name="템플리트모듈2" localSheetId="5">[0]!BlankMacro1</definedName>
    <definedName name="템플리트모듈2" localSheetId="11">[0]!BlankMacro1</definedName>
    <definedName name="템플리트모듈2">[0]!BlankMacro1</definedName>
    <definedName name="템플리트모듈3" localSheetId="3">[0]!BlankMacro1</definedName>
    <definedName name="템플리트모듈3" localSheetId="4">[0]!BlankMacro1</definedName>
    <definedName name="템플리트모듈3" localSheetId="5">[0]!BlankMacro1</definedName>
    <definedName name="템플리트모듈3" localSheetId="11">[0]!BlankMacro1</definedName>
    <definedName name="템플리트모듈3">[0]!BlankMacro1</definedName>
    <definedName name="템플리트모듈4" localSheetId="3">[0]!BlankMacro1</definedName>
    <definedName name="템플리트모듈4" localSheetId="4">[0]!BlankMacro1</definedName>
    <definedName name="템플리트모듈4" localSheetId="5">[0]!BlankMacro1</definedName>
    <definedName name="템플리트모듈4" localSheetId="11">[0]!BlankMacro1</definedName>
    <definedName name="템플리트모듈4">[0]!BlankMacro1</definedName>
    <definedName name="템플리트모듈5" localSheetId="3">[0]!BlankMacro1</definedName>
    <definedName name="템플리트모듈5" localSheetId="4">[0]!BlankMacro1</definedName>
    <definedName name="템플리트모듈5" localSheetId="5">[0]!BlankMacro1</definedName>
    <definedName name="템플리트모듈5" localSheetId="11">[0]!BlankMacro1</definedName>
    <definedName name="템플리트모듈5">[0]!BlankMacro1</definedName>
    <definedName name="템플리트모듈6" localSheetId="3">[0]!BlankMacro1</definedName>
    <definedName name="템플리트모듈6" localSheetId="4">[0]!BlankMacro1</definedName>
    <definedName name="템플리트모듈6" localSheetId="5">[0]!BlankMacro1</definedName>
    <definedName name="템플리트모듈6" localSheetId="11">[0]!BlankMacro1</definedName>
    <definedName name="템플리트모듈6">[0]!BlankMacro1</definedName>
    <definedName name="투자"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투자"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투자"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투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투자사업" localSheetId="4" hidden="1">{#N/A,#N/A,TRUE,"일정"}</definedName>
    <definedName name="투자사업" localSheetId="5" hidden="1">{#N/A,#N/A,TRUE,"일정"}</definedName>
    <definedName name="투자사업" localSheetId="11" hidden="1">{#N/A,#N/A,TRUE,"일정"}</definedName>
    <definedName name="투자사업" hidden="1">{#N/A,#N/A,TRUE,"일정"}</definedName>
    <definedName name="투자지출CASE"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투자지출CASE"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투자지출CASE"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투자지출CAS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ㅍ"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ㅍ"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ㅍ"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ㅍ르ㅜ" localSheetId="4" hidden="1">{#N/A,#N/A,FALSE,"인원";#N/A,#N/A,FALSE,"비용2";#N/A,#N/A,FALSE,"비용1";#N/A,#N/A,FALSE,"비용";#N/A,#N/A,FALSE,"보증2";#N/A,#N/A,FALSE,"보증1";#N/A,#N/A,FALSE,"보증";#N/A,#N/A,FALSE,"손익1";#N/A,#N/A,FALSE,"손익";#N/A,#N/A,FALSE,"부서별매출";#N/A,#N/A,FALSE,"매출"}</definedName>
    <definedName name="ㅍ르ㅜ" localSheetId="5" hidden="1">{#N/A,#N/A,FALSE,"인원";#N/A,#N/A,FALSE,"비용2";#N/A,#N/A,FALSE,"비용1";#N/A,#N/A,FALSE,"비용";#N/A,#N/A,FALSE,"보증2";#N/A,#N/A,FALSE,"보증1";#N/A,#N/A,FALSE,"보증";#N/A,#N/A,FALSE,"손익1";#N/A,#N/A,FALSE,"손익";#N/A,#N/A,FALSE,"부서별매출";#N/A,#N/A,FALSE,"매출"}</definedName>
    <definedName name="ㅍ르ㅜ" localSheetId="11" hidden="1">{#N/A,#N/A,FALSE,"인원";#N/A,#N/A,FALSE,"비용2";#N/A,#N/A,FALSE,"비용1";#N/A,#N/A,FALSE,"비용";#N/A,#N/A,FALSE,"보증2";#N/A,#N/A,FALSE,"보증1";#N/A,#N/A,FALSE,"보증";#N/A,#N/A,FALSE,"손익1";#N/A,#N/A,FALSE,"손익";#N/A,#N/A,FALSE,"부서별매출";#N/A,#N/A,FALSE,"매출"}</definedName>
    <definedName name="ㅍ르ㅜ" hidden="1">{#N/A,#N/A,FALSE,"인원";#N/A,#N/A,FALSE,"비용2";#N/A,#N/A,FALSE,"비용1";#N/A,#N/A,FALSE,"비용";#N/A,#N/A,FALSE,"보증2";#N/A,#N/A,FALSE,"보증1";#N/A,#N/A,FALSE,"보증";#N/A,#N/A,FALSE,"손익1";#N/A,#N/A,FALSE,"손익";#N/A,#N/A,FALSE,"부서별매출";#N/A,#N/A,FALSE,"매출"}</definedName>
    <definedName name="판매보증" localSheetId="4" hidden="1">{#N/A,#N/A,FALSE,"인원";#N/A,#N/A,FALSE,"비용2";#N/A,#N/A,FALSE,"비용1";#N/A,#N/A,FALSE,"비용";#N/A,#N/A,FALSE,"보증2";#N/A,#N/A,FALSE,"보증1";#N/A,#N/A,FALSE,"보증";#N/A,#N/A,FALSE,"손익1";#N/A,#N/A,FALSE,"손익";#N/A,#N/A,FALSE,"부서별매출";#N/A,#N/A,FALSE,"매출"}</definedName>
    <definedName name="판매보증" localSheetId="5" hidden="1">{#N/A,#N/A,FALSE,"인원";#N/A,#N/A,FALSE,"비용2";#N/A,#N/A,FALSE,"비용1";#N/A,#N/A,FALSE,"비용";#N/A,#N/A,FALSE,"보증2";#N/A,#N/A,FALSE,"보증1";#N/A,#N/A,FALSE,"보증";#N/A,#N/A,FALSE,"손익1";#N/A,#N/A,FALSE,"손익";#N/A,#N/A,FALSE,"부서별매출";#N/A,#N/A,FALSE,"매출"}</definedName>
    <definedName name="판매보증" localSheetId="11"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펜다" localSheetId="4" hidden="1">{#N/A,#N/A,TRUE,"일정"}</definedName>
    <definedName name="펜다" localSheetId="5" hidden="1">{#N/A,#N/A,TRUE,"일정"}</definedName>
    <definedName name="펜다" localSheetId="11" hidden="1">{#N/A,#N/A,TRUE,"일정"}</definedName>
    <definedName name="펜다" hidden="1">{#N/A,#N/A,TRUE,"일정"}</definedName>
    <definedName name="품목" localSheetId="4">#REF!</definedName>
    <definedName name="품목" localSheetId="5">#REF!</definedName>
    <definedName name="품목" localSheetId="11">#REF!</definedName>
    <definedName name="품목">#REF!</definedName>
    <definedName name="프레스"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프레스"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프레스"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프레스"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한국"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한국"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한국"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한국"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확인" localSheetId="4" hidden="1">{#N/A,#N/A,FALSE,"인원";#N/A,#N/A,FALSE,"비용2";#N/A,#N/A,FALSE,"비용1";#N/A,#N/A,FALSE,"비용";#N/A,#N/A,FALSE,"보증2";#N/A,#N/A,FALSE,"보증1";#N/A,#N/A,FALSE,"보증";#N/A,#N/A,FALSE,"손익1";#N/A,#N/A,FALSE,"손익";#N/A,#N/A,FALSE,"부서별매출";#N/A,#N/A,FALSE,"매출"}</definedName>
    <definedName name="확인" localSheetId="5" hidden="1">{#N/A,#N/A,FALSE,"인원";#N/A,#N/A,FALSE,"비용2";#N/A,#N/A,FALSE,"비용1";#N/A,#N/A,FALSE,"비용";#N/A,#N/A,FALSE,"보증2";#N/A,#N/A,FALSE,"보증1";#N/A,#N/A,FALSE,"보증";#N/A,#N/A,FALSE,"손익1";#N/A,#N/A,FALSE,"손익";#N/A,#N/A,FALSE,"부서별매출";#N/A,#N/A,FALSE,"매출"}</definedName>
    <definedName name="확인" localSheetId="11" hidden="1">{#N/A,#N/A,FALSE,"인원";#N/A,#N/A,FALSE,"비용2";#N/A,#N/A,FALSE,"비용1";#N/A,#N/A,FALSE,"비용";#N/A,#N/A,FALSE,"보증2";#N/A,#N/A,FALSE,"보증1";#N/A,#N/A,FALSE,"보증";#N/A,#N/A,FALSE,"손익1";#N/A,#N/A,FALSE,"손익";#N/A,#N/A,FALSE,"부서별매출";#N/A,#N/A,FALSE,"매출"}</definedName>
    <definedName name="확인" hidden="1">{#N/A,#N/A,FALSE,"인원";#N/A,#N/A,FALSE,"비용2";#N/A,#N/A,FALSE,"비용1";#N/A,#N/A,FALSE,"비용";#N/A,#N/A,FALSE,"보증2";#N/A,#N/A,FALSE,"보증1";#N/A,#N/A,FALSE,"보증";#N/A,#N/A,FALSE,"손익1";#N/A,#N/A,FALSE,"손익";#N/A,#N/A,FALSE,"부서별매출";#N/A,#N/A,FALSE,"매출"}</definedName>
    <definedName name="효율2" localSheetId="4" hidden="1">{#N/A,#N/A,FALSE,"인원";#N/A,#N/A,FALSE,"비용2";#N/A,#N/A,FALSE,"비용1";#N/A,#N/A,FALSE,"비용";#N/A,#N/A,FALSE,"보증2";#N/A,#N/A,FALSE,"보증1";#N/A,#N/A,FALSE,"보증";#N/A,#N/A,FALSE,"손익1";#N/A,#N/A,FALSE,"손익";#N/A,#N/A,FALSE,"부서별매출";#N/A,#N/A,FALSE,"매출"}</definedName>
    <definedName name="효율2" localSheetId="5" hidden="1">{#N/A,#N/A,FALSE,"인원";#N/A,#N/A,FALSE,"비용2";#N/A,#N/A,FALSE,"비용1";#N/A,#N/A,FALSE,"비용";#N/A,#N/A,FALSE,"보증2";#N/A,#N/A,FALSE,"보증1";#N/A,#N/A,FALSE,"보증";#N/A,#N/A,FALSE,"손익1";#N/A,#N/A,FALSE,"손익";#N/A,#N/A,FALSE,"부서별매출";#N/A,#N/A,FALSE,"매출"}</definedName>
    <definedName name="효율2" localSheetId="11" hidden="1">{#N/A,#N/A,FALSE,"인원";#N/A,#N/A,FALSE,"비용2";#N/A,#N/A,FALSE,"비용1";#N/A,#N/A,FALSE,"비용";#N/A,#N/A,FALSE,"보증2";#N/A,#N/A,FALSE,"보증1";#N/A,#N/A,FALSE,"보증";#N/A,#N/A,FALSE,"손익1";#N/A,#N/A,FALSE,"손익";#N/A,#N/A,FALSE,"부서별매출";#N/A,#N/A,FALSE,"매출"}</definedName>
    <definedName name="효율2" hidden="1">{#N/A,#N/A,FALSE,"인원";#N/A,#N/A,FALSE,"비용2";#N/A,#N/A,FALSE,"비용1";#N/A,#N/A,FALSE,"비용";#N/A,#N/A,FALSE,"보증2";#N/A,#N/A,FALSE,"보증1";#N/A,#N/A,FALSE,"보증";#N/A,#N/A,FALSE,"손익1";#N/A,#N/A,FALSE,"손익";#N/A,#N/A,FALSE,"부서별매출";#N/A,#N/A,FALSE,"매출"}</definedName>
    <definedName name="ㅏ"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ㅔ"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ㅔ"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ㅔ"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ㄹ" localSheetId="4" hidden="1">{#N/A,#N/A,TRUE,"일정"}</definedName>
    <definedName name="ㅓㄹ" localSheetId="5" hidden="1">{#N/A,#N/A,TRUE,"일정"}</definedName>
    <definedName name="ㅓㄹ" localSheetId="11" hidden="1">{#N/A,#N/A,TRUE,"일정"}</definedName>
    <definedName name="ㅓㄹ" hidden="1">{#N/A,#N/A,TRUE,"일정"}</definedName>
    <definedName name="ㅓㅓㄹ"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ㅓㄹ"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ㅓㄹ"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ㅓ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ㅗㅎ"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ㅗㅎ"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ㅗㅎ"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ㅗㅎ"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ㅗㄱㄴㅇㅁ" localSheetId="4" hidden="1">{#N/A,#N/A,TRUE,"일정"}</definedName>
    <definedName name="ㅗㄱㄴㅇㅁ" localSheetId="5" hidden="1">{#N/A,#N/A,TRUE,"일정"}</definedName>
    <definedName name="ㅗㄱㄴㅇㅁ" localSheetId="11" hidden="1">{#N/A,#N/A,TRUE,"일정"}</definedName>
    <definedName name="ㅗㄱㄴㅇㅁ" hidden="1">{#N/A,#N/A,TRUE,"일정"}</definedName>
    <definedName name="ㅗㅗㅗㅗㅗㅗㅗㅗㅗㅗ" localSheetId="4" hidden="1">{#N/A,#N/A,TRUE,"일정"}</definedName>
    <definedName name="ㅗㅗㅗㅗㅗㅗㅗㅗㅗㅗ" localSheetId="5" hidden="1">{#N/A,#N/A,TRUE,"일정"}</definedName>
    <definedName name="ㅗㅗㅗㅗㅗㅗㅗㅗㅗㅗ" localSheetId="11" hidden="1">{#N/A,#N/A,TRUE,"일정"}</definedName>
    <definedName name="ㅗㅗㅗㅗㅗㅗㅗㅗㅗㅗ" hidden="1">{#N/A,#N/A,TRUE,"일정"}</definedName>
    <definedName name="ㅛ"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ㄱ됴ㄱㄷ죠ㅅㄱ됴ㅅㄱㄷ죡ㄷ죠" localSheetId="4" hidden="1">{#N/A,#N/A,TRUE,"일정"}</definedName>
    <definedName name="ㅛㄱ됴ㄱㄷ죠ㅅㄱ됴ㅅㄱㄷ죡ㄷ죠" localSheetId="5" hidden="1">{#N/A,#N/A,TRUE,"일정"}</definedName>
    <definedName name="ㅛㄱ됴ㄱㄷ죠ㅅㄱ됴ㅅㄱㄷ죡ㄷ죠" localSheetId="11" hidden="1">{#N/A,#N/A,TRUE,"일정"}</definedName>
    <definedName name="ㅛㄱ됴ㄱㄷ죠ㅅㄱ됴ㅅㄱㄷ죡ㄷ죠" hidden="1">{#N/A,#N/A,TRUE,"일정"}</definedName>
    <definedName name="ㅛㅛ"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ㅛ"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ㅛ"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ㅛ"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ㅛㅛ"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ㅛㅛ"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ㅛㅛ"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ㅛㅛ"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ㅛㅛㅛㅛ"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ㅛㅛㅛㅛ"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ㅛㅛㅛㅛ"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ㅛㅛㅛㅛ"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ㅛㅛㅛㅛㅛㅛㅛ"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ㅛㅛㅛㅛㅛㅛㅛ"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ㅛㅛㅛㅛㅛㅛㅛ"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ㅛㅛㅛㅛㅛㅛㅛ"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ㅛㅛㅛㅛㅛㅛㅛㅛㅛㅛㅛㅛ"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ㅛㅛㅛㅛㅛㅛㅛㅛㅛㅛㅛㅛ"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ㅛㅛㅛㅛㅛㅛㅛㅛㅛㅛㅛㅛ"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ㅛㅛㅛㅛㅛㅛㅛㅛㅛㅛㅛㅛ"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ㅜㅛㅅㄱ누ㅛㅅㄱ누ㅛㅅㄴ구ㅛㅅㄱㄴ" localSheetId="4" hidden="1">{#N/A,#N/A,TRUE,"일정"}</definedName>
    <definedName name="ㅜㅛㅅㄱ누ㅛㅅㄱ누ㅛㅅㄴ구ㅛㅅㄱㄴ" localSheetId="5" hidden="1">{#N/A,#N/A,TRUE,"일정"}</definedName>
    <definedName name="ㅜㅛㅅㄱ누ㅛㅅㄱ누ㅛㅅㄴ구ㅛㅅㄱㄴ" localSheetId="11" hidden="1">{#N/A,#N/A,TRUE,"일정"}</definedName>
    <definedName name="ㅜㅛㅅㄱ누ㅛㅅㄱ누ㅛㅅㄴ구ㅛㅅㄱㄴ" hidden="1">{#N/A,#N/A,TRUE,"일정"}</definedName>
    <definedName name="ㅠㅠㅠ"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ㅠㅠㅠ"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ㅠㅠㅠ"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ㅠㅠㅠ"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s>
  <calcPr calcId="191029"/>
</workbook>
</file>

<file path=xl/calcChain.xml><?xml version="1.0" encoding="utf-8"?>
<calcChain xmlns="http://schemas.openxmlformats.org/spreadsheetml/2006/main">
  <c r="E49" i="163" l="1"/>
  <c r="D49" i="163"/>
  <c r="E9" i="163"/>
  <c r="D9" i="163"/>
  <c r="E44" i="163"/>
  <c r="D44" i="163"/>
  <c r="E10" i="148"/>
  <c r="D10" i="148"/>
  <c r="E46" i="148"/>
  <c r="D46" i="148"/>
  <c r="E51" i="148"/>
  <c r="D51" i="148"/>
  <c r="H4" i="165"/>
  <c r="H34" i="165"/>
  <c r="G34" i="165"/>
  <c r="G31" i="165"/>
  <c r="G41" i="165" s="1"/>
  <c r="E31" i="165"/>
  <c r="D31" i="165"/>
  <c r="D41" i="165" s="1"/>
  <c r="H21" i="165"/>
  <c r="G21" i="165"/>
  <c r="F21" i="165"/>
  <c r="E21" i="165"/>
  <c r="D21" i="165"/>
  <c r="H10" i="165"/>
  <c r="H17" i="165" s="1"/>
  <c r="H25" i="165" s="1"/>
  <c r="G10" i="165"/>
  <c r="G17" i="165" s="1"/>
  <c r="G25" i="165" s="1"/>
  <c r="F10" i="165"/>
  <c r="F17" i="165" s="1"/>
  <c r="E10" i="165"/>
  <c r="E17" i="165" s="1"/>
  <c r="D10" i="165"/>
  <c r="D17" i="165" s="1"/>
  <c r="G24" i="165" l="1"/>
  <c r="G28" i="165"/>
  <c r="D20" i="165"/>
  <c r="D25" i="165"/>
  <c r="H28" i="165"/>
  <c r="H24" i="165"/>
  <c r="D38" i="165"/>
  <c r="E37" i="165" s="1"/>
  <c r="E41" i="165" s="1"/>
  <c r="F3" i="164"/>
  <c r="G40" i="165" l="1"/>
  <c r="G39" i="165" s="1"/>
  <c r="G27" i="165"/>
  <c r="H40" i="165"/>
  <c r="H39" i="165" s="1"/>
  <c r="H27" i="165"/>
  <c r="D28" i="165"/>
  <c r="D24" i="165"/>
  <c r="F19" i="165"/>
  <c r="F25" i="165" s="1"/>
  <c r="E19" i="165"/>
  <c r="E25" i="165" s="1"/>
  <c r="I32" i="160"/>
  <c r="H32" i="160"/>
  <c r="G32" i="160"/>
  <c r="F32" i="160"/>
  <c r="D32" i="160"/>
  <c r="I27" i="160"/>
  <c r="H27" i="160"/>
  <c r="D27" i="160"/>
  <c r="I26" i="160"/>
  <c r="I21" i="160" s="1"/>
  <c r="H26" i="160"/>
  <c r="G26" i="160"/>
  <c r="G21" i="160" s="1"/>
  <c r="F26" i="160"/>
  <c r="D26" i="160"/>
  <c r="E31" i="160" s="1"/>
  <c r="H25" i="160"/>
  <c r="F25" i="160"/>
  <c r="D25" i="160"/>
  <c r="E30" i="160" s="1"/>
  <c r="H24" i="160"/>
  <c r="F24" i="160"/>
  <c r="D24" i="160"/>
  <c r="E29" i="160" s="1"/>
  <c r="F29" i="160" s="1"/>
  <c r="H23" i="160"/>
  <c r="F23" i="160"/>
  <c r="D23" i="160"/>
  <c r="E28" i="160" s="1"/>
  <c r="I14" i="160"/>
  <c r="H14" i="160"/>
  <c r="G14" i="160"/>
  <c r="F14" i="160"/>
  <c r="D14" i="160"/>
  <c r="H9" i="160"/>
  <c r="F9" i="160"/>
  <c r="D9" i="160"/>
  <c r="I36" i="160" l="1"/>
  <c r="I35" i="160" s="1"/>
  <c r="H21" i="160"/>
  <c r="H36" i="160" s="1"/>
  <c r="F28" i="160"/>
  <c r="F30" i="160"/>
  <c r="F21" i="160"/>
  <c r="D21" i="160"/>
  <c r="D36" i="160" s="1"/>
  <c r="D40" i="165"/>
  <c r="D39" i="165" s="1"/>
  <c r="D36" i="165"/>
  <c r="D27" i="165"/>
  <c r="E24" i="165"/>
  <c r="E28" i="165"/>
  <c r="F24" i="165"/>
  <c r="F28" i="165"/>
  <c r="F31" i="160"/>
  <c r="G31" i="160"/>
  <c r="G27" i="160" s="1"/>
  <c r="G36" i="160" s="1"/>
  <c r="H35" i="160"/>
  <c r="F27" i="160" l="1"/>
  <c r="F36" i="160" s="1"/>
  <c r="F35" i="160" s="1"/>
  <c r="D35" i="160"/>
  <c r="D34" i="165"/>
  <c r="F35" i="165"/>
  <c r="F34" i="165" s="1"/>
  <c r="E35" i="165"/>
  <c r="E34" i="165" s="1"/>
  <c r="E27" i="165"/>
  <c r="F27" i="165"/>
  <c r="G35" i="160"/>
  <c r="E40" i="165" l="1"/>
  <c r="E39" i="165" s="1"/>
  <c r="F40" i="165"/>
  <c r="F39" i="165" s="1"/>
  <c r="E42" i="163" l="1"/>
  <c r="E41" i="163"/>
  <c r="E40" i="163"/>
  <c r="E39" i="163"/>
  <c r="E38" i="163"/>
  <c r="E37" i="163"/>
  <c r="E36" i="163"/>
  <c r="E35" i="163"/>
  <c r="E34" i="163"/>
  <c r="E33" i="163"/>
  <c r="E32" i="163"/>
  <c r="E31" i="163"/>
  <c r="E30" i="163"/>
  <c r="E29" i="163"/>
  <c r="E3" i="163"/>
  <c r="D3" i="162" l="1"/>
  <c r="S3" i="161"/>
  <c r="I4" i="160"/>
  <c r="D38" i="162" l="1"/>
  <c r="D36" i="162"/>
  <c r="D30" i="162"/>
  <c r="D39" i="162" s="1"/>
  <c r="D22" i="162"/>
  <c r="D20" i="162"/>
  <c r="D14" i="162"/>
  <c r="D23" i="162" s="1"/>
  <c r="R23" i="161"/>
  <c r="Q23" i="161"/>
  <c r="L23" i="161"/>
  <c r="S23" i="161" s="1"/>
  <c r="R22" i="161"/>
  <c r="Q22" i="161"/>
  <c r="L22" i="161"/>
  <c r="S22" i="161" s="1"/>
  <c r="R21" i="161"/>
  <c r="Q21" i="161"/>
  <c r="L21" i="161"/>
  <c r="S21" i="161" s="1"/>
  <c r="R20" i="161"/>
  <c r="Q20" i="161"/>
  <c r="L20" i="161"/>
  <c r="S20" i="161" s="1"/>
  <c r="R19" i="161"/>
  <c r="Q19" i="161"/>
  <c r="L19" i="161"/>
  <c r="S19" i="161" s="1"/>
  <c r="R18" i="161"/>
  <c r="Q18" i="161"/>
  <c r="L18" i="161"/>
  <c r="S18" i="161" s="1"/>
  <c r="R17" i="161"/>
  <c r="Q17" i="161"/>
  <c r="L17" i="161"/>
  <c r="S17" i="161" s="1"/>
  <c r="R16" i="161"/>
  <c r="Q16" i="161"/>
  <c r="L16" i="161"/>
  <c r="S16" i="161" s="1"/>
  <c r="R15" i="161"/>
  <c r="Q15" i="161"/>
  <c r="L15" i="161"/>
  <c r="S15" i="161" s="1"/>
  <c r="R14" i="161"/>
  <c r="Q14" i="161"/>
  <c r="L14" i="161"/>
  <c r="S14" i="161" s="1"/>
  <c r="R13" i="161"/>
  <c r="Q13" i="161"/>
  <c r="L13" i="161"/>
  <c r="S13" i="161" s="1"/>
  <c r="R12" i="161"/>
  <c r="Q12" i="161"/>
  <c r="L12" i="161"/>
  <c r="S12" i="161" s="1"/>
  <c r="R11" i="161"/>
  <c r="Q11" i="161"/>
  <c r="L11" i="161"/>
  <c r="S11" i="161" s="1"/>
  <c r="R10" i="161"/>
  <c r="Q10" i="161"/>
  <c r="L10" i="161"/>
  <c r="S10" i="161" s="1"/>
  <c r="G3" i="159" l="1"/>
  <c r="F18" i="159"/>
  <c r="G17" i="159"/>
  <c r="F7" i="159"/>
  <c r="D7" i="163" l="1"/>
  <c r="E7" i="163"/>
  <c r="D25" i="158"/>
  <c r="D23" i="158"/>
  <c r="D21" i="158" s="1"/>
  <c r="D20" i="158"/>
  <c r="D19" i="158"/>
  <c r="D18" i="158"/>
  <c r="D13" i="158"/>
  <c r="D7" i="158"/>
  <c r="D6" i="158" s="1"/>
  <c r="D17" i="158" s="1"/>
  <c r="D3" i="158"/>
  <c r="D12" i="157"/>
  <c r="D3" i="157"/>
  <c r="K12" i="156"/>
  <c r="J12" i="156"/>
  <c r="I12" i="156"/>
  <c r="H12" i="156"/>
  <c r="G12" i="156"/>
  <c r="F12" i="156"/>
  <c r="K11" i="156"/>
  <c r="K13" i="156" s="1"/>
  <c r="J11" i="156"/>
  <c r="J13" i="156" s="1"/>
  <c r="I11" i="156"/>
  <c r="I13" i="156" s="1"/>
  <c r="H11" i="156"/>
  <c r="H13" i="156" s="1"/>
  <c r="G11" i="156"/>
  <c r="G13" i="156" s="1"/>
  <c r="F11" i="156"/>
  <c r="F13" i="156" s="1"/>
  <c r="E6" i="156"/>
  <c r="F6" i="156" s="1"/>
  <c r="G6" i="156" s="1"/>
  <c r="H6" i="156" s="1"/>
  <c r="I6" i="156" s="1"/>
  <c r="J6" i="156" s="1"/>
  <c r="K6" i="156" s="1"/>
  <c r="K3" i="156"/>
  <c r="E17" i="154"/>
  <c r="E16" i="154"/>
  <c r="E10" i="154"/>
  <c r="E9" i="154"/>
  <c r="E8" i="154"/>
  <c r="E3" i="154"/>
  <c r="E24" i="153"/>
  <c r="E17" i="153"/>
  <c r="F3" i="153"/>
  <c r="D12" i="152"/>
  <c r="D11" i="152"/>
  <c r="D8" i="152"/>
  <c r="D3" i="152"/>
  <c r="E44" i="148"/>
  <c r="E43" i="148"/>
  <c r="E42" i="148"/>
  <c r="E41" i="148"/>
  <c r="E40" i="148"/>
  <c r="E39" i="148"/>
  <c r="E38" i="148"/>
  <c r="E37" i="148"/>
  <c r="E36" i="148"/>
  <c r="E35" i="148"/>
  <c r="E34" i="148"/>
  <c r="E33" i="148"/>
  <c r="E32" i="148"/>
  <c r="E31" i="148"/>
  <c r="E7" i="148"/>
  <c r="D7" i="148"/>
  <c r="E3" i="148"/>
  <c r="D36" i="147"/>
  <c r="D8" i="147"/>
  <c r="D3" i="147"/>
  <c r="D26" i="158" l="1"/>
  <c r="D4" i="148"/>
  <c r="E4" i="148"/>
  <c r="D13" i="152"/>
  <c r="D34" i="147"/>
  <c r="D7" i="147" s="1"/>
  <c r="E7" i="153"/>
  <c r="F27" i="153" l="1"/>
  <c r="F30" i="153"/>
  <c r="F26" i="153"/>
  <c r="F29" i="153"/>
  <c r="F25" i="153"/>
  <c r="F28" i="153"/>
  <c r="D7" i="154"/>
  <c r="E13" i="154" s="1"/>
  <c r="D8" i="157"/>
  <c r="D9" i="157" s="1"/>
  <c r="F12" i="153"/>
  <c r="F8" i="153"/>
  <c r="F13" i="153"/>
  <c r="F9" i="153"/>
  <c r="F11" i="153"/>
  <c r="F10" i="153"/>
  <c r="F24" i="153" l="1"/>
  <c r="E7" i="154"/>
  <c r="G15" i="159"/>
  <c r="F15" i="159"/>
  <c r="F16" i="159" s="1"/>
  <c r="F17" i="159" s="1"/>
  <c r="E16" i="153" s="1"/>
  <c r="G14" i="159"/>
  <c r="G18" i="159" s="1"/>
  <c r="F14" i="159"/>
  <c r="D14" i="154"/>
  <c r="D15" i="154" s="1"/>
  <c r="E14" i="153"/>
  <c r="E15" i="153" s="1"/>
  <c r="F7" i="153"/>
  <c r="D10" i="157" l="1"/>
  <c r="D11" i="157" s="1"/>
  <c r="D13" i="157" s="1"/>
  <c r="D14" i="157" s="1"/>
</calcChain>
</file>

<file path=xl/sharedStrings.xml><?xml version="1.0" encoding="utf-8"?>
<sst xmlns="http://schemas.openxmlformats.org/spreadsheetml/2006/main" count="1172" uniqueCount="628">
  <si>
    <t>010</t>
  </si>
  <si>
    <t>020</t>
  </si>
  <si>
    <t>040</t>
  </si>
  <si>
    <t>Сумма</t>
  </si>
  <si>
    <t>030</t>
  </si>
  <si>
    <t>011</t>
  </si>
  <si>
    <t>050</t>
  </si>
  <si>
    <t>060</t>
  </si>
  <si>
    <t>070</t>
  </si>
  <si>
    <t>080</t>
  </si>
  <si>
    <t>090</t>
  </si>
  <si>
    <t>100</t>
  </si>
  <si>
    <t>110</t>
  </si>
  <si>
    <t>120</t>
  </si>
  <si>
    <t>130</t>
  </si>
  <si>
    <t>140</t>
  </si>
  <si>
    <t>lc=R60C6</t>
  </si>
  <si>
    <t>150</t>
  </si>
  <si>
    <t>160</t>
  </si>
  <si>
    <t>012</t>
  </si>
  <si>
    <t>013</t>
  </si>
  <si>
    <t>014</t>
  </si>
  <si>
    <t>Х</t>
  </si>
  <si>
    <t>041</t>
  </si>
  <si>
    <t>042</t>
  </si>
  <si>
    <t>043</t>
  </si>
  <si>
    <t>051</t>
  </si>
  <si>
    <t>052</t>
  </si>
  <si>
    <t>0111</t>
  </si>
  <si>
    <t>0112</t>
  </si>
  <si>
    <t>0121</t>
  </si>
  <si>
    <t>0122</t>
  </si>
  <si>
    <t>021</t>
  </si>
  <si>
    <t>022</t>
  </si>
  <si>
    <t>053</t>
  </si>
  <si>
    <t>054</t>
  </si>
  <si>
    <t>031</t>
  </si>
  <si>
    <t>032</t>
  </si>
  <si>
    <t>023</t>
  </si>
  <si>
    <t>024</t>
  </si>
  <si>
    <t>025</t>
  </si>
  <si>
    <t>х</t>
  </si>
  <si>
    <t>033</t>
  </si>
  <si>
    <t>034</t>
  </si>
  <si>
    <t>035</t>
  </si>
  <si>
    <t>0101</t>
  </si>
  <si>
    <t>0102</t>
  </si>
  <si>
    <t>0103</t>
  </si>
  <si>
    <t>0104</t>
  </si>
  <si>
    <t>0105</t>
  </si>
  <si>
    <t>0106</t>
  </si>
  <si>
    <t>0107</t>
  </si>
  <si>
    <t>0108</t>
  </si>
  <si>
    <t>0109</t>
  </si>
  <si>
    <t>0110</t>
  </si>
  <si>
    <t>121</t>
  </si>
  <si>
    <t>0601</t>
  </si>
  <si>
    <t>0602</t>
  </si>
  <si>
    <t>0603</t>
  </si>
  <si>
    <t>0604</t>
  </si>
  <si>
    <t>015</t>
  </si>
  <si>
    <t>0113</t>
  </si>
  <si>
    <t>0114</t>
  </si>
  <si>
    <t>0115</t>
  </si>
  <si>
    <t>0116</t>
  </si>
  <si>
    <t>0117</t>
  </si>
  <si>
    <t>0118</t>
  </si>
  <si>
    <t>0119</t>
  </si>
  <si>
    <t>0120</t>
  </si>
  <si>
    <t>0123</t>
  </si>
  <si>
    <t>0124</t>
  </si>
  <si>
    <t>0125</t>
  </si>
  <si>
    <t>0126</t>
  </si>
  <si>
    <t>0127</t>
  </si>
  <si>
    <t>0128</t>
  </si>
  <si>
    <t>0129</t>
  </si>
  <si>
    <t>0130</t>
  </si>
  <si>
    <t>0131</t>
  </si>
  <si>
    <t>026</t>
  </si>
  <si>
    <t>170</t>
  </si>
  <si>
    <t>180</t>
  </si>
  <si>
    <t>016</t>
  </si>
  <si>
    <t>036</t>
  </si>
  <si>
    <t>lc=R35C10</t>
  </si>
  <si>
    <t>lc=R80C6</t>
  </si>
  <si>
    <t>lc=R25C8</t>
  </si>
  <si>
    <t>lc=R45C8</t>
  </si>
  <si>
    <t>lc=R45C15</t>
  </si>
  <si>
    <t>lc=R25C5</t>
  </si>
  <si>
    <t>lc=R35C5</t>
  </si>
  <si>
    <t>СТИР</t>
  </si>
  <si>
    <t>Раҳбар</t>
  </si>
  <si>
    <t>Ф. И. Ш.</t>
  </si>
  <si>
    <t>Имзо</t>
  </si>
  <si>
    <t>Бош бухгалтер</t>
  </si>
  <si>
    <t xml:space="preserve">Бош бухгалтер </t>
  </si>
  <si>
    <t>Солиқ тўловчининг тўлиқ номи</t>
  </si>
  <si>
    <t>Фойда солиғи
ҲИСОБ-КИТОБИ</t>
  </si>
  <si>
    <t>Ҳужжат тури:</t>
  </si>
  <si>
    <t>Ҳисобот даври</t>
  </si>
  <si>
    <t xml:space="preserve">чорак     </t>
  </si>
  <si>
    <t>Солиқ даври</t>
  </si>
  <si>
    <t>Солиқ тўловчининг жойлашган манзили</t>
  </si>
  <si>
    <t>Почта манзили</t>
  </si>
  <si>
    <t>Ходимларнинг ўртача йиллик сони</t>
  </si>
  <si>
    <t>шундан, ногиронлиги бўлган шахслар</t>
  </si>
  <si>
    <t>Фойда солиғини</t>
  </si>
  <si>
    <t>ойидан бошлаб  тўлайди.*</t>
  </si>
  <si>
    <t xml:space="preserve">Ҳисоб-китобни тақдим этиш муддати (кун/ой/йил) </t>
  </si>
  <si>
    <t>(cолиқ бўйича ҳисобга олиш жойидаги солиқ органи)</t>
  </si>
  <si>
    <t>га тақдим этилади</t>
  </si>
  <si>
    <t>Ўлчов бирлиги</t>
  </si>
  <si>
    <t>сўм</t>
  </si>
  <si>
    <t>Сатр коди</t>
  </si>
  <si>
    <t>Фойда солиғининг белгиланган ставкаси, фоизда</t>
  </si>
  <si>
    <t>Ногиронлиги бўлган шахслар меҳнатидан фойдаланаётган юридик шахслар учун тузатилган солиқ ставкаси</t>
  </si>
  <si>
    <t>Доимий муассаса сифатида ҳисобга қўйилгунига қадар тўлов манбаида ушлаб қолинган фойда солиғи суммаси</t>
  </si>
  <si>
    <t>Ушбу ҳисобот даврида ҳисобланган жами ойлик бўнак тўловлари</t>
  </si>
  <si>
    <t>* Календарь йил давомида фойда солиғини тўлашга ўтган солиқ тўловчилар томонидан тўлдирилади.</t>
  </si>
  <si>
    <t>Изоҳлар.</t>
  </si>
  <si>
    <t>Ушбу ҳисоб-китобда кўрсатилган маълумотларнинг тўлиқлиги ва ишончлилигини тасдиқлайман:</t>
  </si>
  <si>
    <t>Тақдим этилган сана</t>
  </si>
  <si>
    <t>(кк/оо/йй)</t>
  </si>
  <si>
    <t>Ҳисоб-китобга 1-илова</t>
  </si>
  <si>
    <t>Жами даромадлар</t>
  </si>
  <si>
    <t>Даромадлар рўйхати</t>
  </si>
  <si>
    <t>Товарларни (хизматларни) реализация қилишдан олинган даромад (021-сатр - 026-сатрлар йиғиндиси), шу жумладан фаолият турлари кесимида</t>
  </si>
  <si>
    <t>Кредит (қарз, микрокредит ва бошқа молиявий операциялар) бўйича мукофот тарзидаги даромад</t>
  </si>
  <si>
    <t>Суғурта, қайта суғурта ташкилотининг суғурта, қайта суғурта қилиш шартномалари бўйича даромади</t>
  </si>
  <si>
    <t>Мол-мулкни мулк ижарасига (ижарага) беришдан олинган даромад, бундан молиявий ижара (лизинг) мустасно</t>
  </si>
  <si>
    <t>Текин олинган мол-мулк (хизматлар), молиявий ёрдамлар</t>
  </si>
  <si>
    <t>Инвентаризация натижасида аниқланган ортиқча товар-моддий захираларнинг ва бошқа мол-мулкнинг қиймати тарзидаги даромад</t>
  </si>
  <si>
    <t>Талаб қилиш ҳуқуқидан ўзганинг фойдасига воз кечиш шартномаси бўйича олинган даромад</t>
  </si>
  <si>
    <t>Дивидендлар тарзидаги даромадлар</t>
  </si>
  <si>
    <t>Фоизлар тарзидаги даромадлар</t>
  </si>
  <si>
    <t>шу жумладан, солиқ агенти томонидан тўлов манбаида солиқ суммаси ушлаб қолинган</t>
  </si>
  <si>
    <t>Валюта курси фарқидан даромадлар</t>
  </si>
  <si>
    <t>Молиявий ижара (лизинг) шартномасига биноан мол-мулкни бериш бўйича пул мукофоти тарзидаги даромад</t>
  </si>
  <si>
    <t>Ўзбекистон Республикаси Солиқ кодексининг 347-моддаси 3-қисмида келтирилган даромадлар</t>
  </si>
  <si>
    <t>Изоҳлар:</t>
  </si>
  <si>
    <t>1. Агар айни бир даромадлар даромадларнинг бир нечта моддасида назарда тутилган бўлса, мазкур даромадлар фақат бир марта кўрсатилади.</t>
  </si>
  <si>
    <t>2. 070-сатр Ўзбекистон Республикаси Солиқ кодексининг 299-моддасида белгиланган талаблар асосида тўлдирилади.</t>
  </si>
  <si>
    <t>3. 121-сатр нотижорат ва бюджет ташкилотлари томонидан тўлдирилади.</t>
  </si>
  <si>
    <t>Ҳисоб-китобга 2-илова</t>
  </si>
  <si>
    <t>Харажатлар (зарарлар) суммаси</t>
  </si>
  <si>
    <t>шундан, чегирилмайдиган харажатлар (зарарлар)</t>
  </si>
  <si>
    <t>Сарфланган хом ашё ва материаллар (0102, 0103 сатрлардан ташқари)</t>
  </si>
  <si>
    <t>Сарфланган ёқилғи харажатлари</t>
  </si>
  <si>
    <t>Сарфланган табиий, суюлтирилган газ харажатлари</t>
  </si>
  <si>
    <t>Сарфланган электр энергия харажатлари</t>
  </si>
  <si>
    <t>Меҳнатга ҳақ тўлаш харажатлари ва ижтимоий солиқ бўйича харажатлар</t>
  </si>
  <si>
    <t>Маркетинг ва реклама харажатлари</t>
  </si>
  <si>
    <t>Транспорт хизмати ва ташиш харажатлари</t>
  </si>
  <si>
    <t>Оператив ижара бўйича харажатлар</t>
  </si>
  <si>
    <t>Мол-мулк, ер, сув ресурсларидан ҳамда ер қаъридан фойдаланганлик солиқлар</t>
  </si>
  <si>
    <t>Фоизлар ва айрим чиқимлар бўйича харажатлар</t>
  </si>
  <si>
    <t>шу жумладан, кредитлар бўйича ҳисобланган фоизлар</t>
  </si>
  <si>
    <t>Салбий курс фарқидан зарарлар</t>
  </si>
  <si>
    <t>Захира фондларини шакллантириш харажатлари</t>
  </si>
  <si>
    <t>Солиқ тўловчининг Солиқ кодексининг 376-моддасида назарда тутилган жисмоний шахнинг моддий наф тарзидаги даромадлари ҳисобланган харажатлари</t>
  </si>
  <si>
    <t>Пенсияларга устамалар ва қўшимча тўловлар</t>
  </si>
  <si>
    <t>Айбдорлари аниқланмаган талон-тарож қилишлар ва камомадлардан ёки айбдор тараф ҳисобидан зарур суммаларнинг ўрнини қоплаш имкони бўлмаган тақдирда кўрилган зарарлар</t>
  </si>
  <si>
    <t>Бошқа шахслар учун тўланган солиқлар</t>
  </si>
  <si>
    <t>Солиқ текширувлари натижалари бўйича қўшимча ҳисобланган солиқлар ва йиғимлар</t>
  </si>
  <si>
    <t>Маҳсулот ишлаб чиқариш билан боғлиқ бўлмаган хизматлар (шаҳарларни ва шаҳарчаларни ободонлаштириш бўйича хизматлар, қишлоқ хўжалигига ёрдамлашиш ва хизматларнинг бошқа турлари) кўрсатганлик учун қилинган харажатлар</t>
  </si>
  <si>
    <t>Бюджет тизимига киритилиши лозим бўлган (киритилган) пенялар, жарималар ва бошқа санкциялар</t>
  </si>
  <si>
    <t>Хўжалик шартномалари шартларини бузганлик учун тўланган ёки тан олинган жарималар, пенялар ва санкцияларнинг бошқа турлари</t>
  </si>
  <si>
    <t>Ўзбекистон Республикаси Солиқ кодексининг 348-моддаси 2-қисмида келтирилган харажатлар</t>
  </si>
  <si>
    <t>харажатларни мутаносиб равишда тақсимлаш усули</t>
  </si>
  <si>
    <t>харажатларни чегирмаларга бевосита (тўғридан-тўғри) киритиш усули</t>
  </si>
  <si>
    <t>1. Агар айни бир харажатлар харажатларнинг бир нечта моддасида назарда тутилган бўлса, мазкур харажатлар фақат бир марта кўрсатилади.</t>
  </si>
  <si>
    <t>2. 020-сатрда товарларни (хизматларни) реализация қилишдан олинган даромадлар билан боғлиқ харажатлар кўрсатилади.</t>
  </si>
  <si>
    <t>Ҳисоб-китобга 3-илова</t>
  </si>
  <si>
    <t>Имтиёзлар</t>
  </si>
  <si>
    <t>Имтиёзлар рўйхати</t>
  </si>
  <si>
    <t>Салмоғи, %</t>
  </si>
  <si>
    <t>Солиқ солинадиган фойда (Ҳисоб-китобнинг 030-сатри)</t>
  </si>
  <si>
    <t>Изоҳ:</t>
  </si>
  <si>
    <t>1. 4-устуннинг 011 – 013...-сатрларида кўрсатилган тушум салмоғи 3-устуннинг 011 – 013 ...-сатрларини 3-устуннинг 010-сатрига бўлиш орқали аниқланади.</t>
  </si>
  <si>
    <t>Ҳисоб-китобга 4-илова</t>
  </si>
  <si>
    <t>Кўрсаткич номи</t>
  </si>
  <si>
    <t>янги технологик ускуналар қийматининг, ишлаб чиқаришни модернизация қилиш, техник ва (ёки) технологик жиҳатдан қайта жиҳозлаш харажатларининг ва (ёки) ахборот тизимларини яратишга доир инвестиция лойиҳалари доирасида маҳаллий ишлаб чиқаришнинг дастурий таъминотини сотиб олишга йўналтириладиган маблағлар</t>
  </si>
  <si>
    <t>ишлаб чиқаришни янги қурилиш шаклида кенгайтиришга, ишлаб чиқариш эҳтиёжлари учун фойдаланиладиган бинолар ва иншоотларни реконструкция қилишга йўналтириладиган маблағлар</t>
  </si>
  <si>
    <t>Изоҳлар:
1. Мазкур илова Ўзбекистон Республика Солиқ кодексининг 308-моддасида белгиланган талаблар бўйича тўлдирилади. Инвестициявий чегирма амортизация харажати деб эътироф этилади.</t>
  </si>
  <si>
    <t>Ҳисоб-китобга 6-илова</t>
  </si>
  <si>
    <t>Ноль ставка қўлланиладиган солиқ тўловчилар фойдаси</t>
  </si>
  <si>
    <t>Кўрсаткичлар</t>
  </si>
  <si>
    <t>Жами даромадлар (Ҳисоб-китоб 1-иловасининг 010-сатри), шу жумладан:</t>
  </si>
  <si>
    <t>Ўзи ишлаб чиқарган ўз қишлоқ хўжалиги маҳсулотини реализация қилишдан олинган даромад</t>
  </si>
  <si>
    <t>Ижтимоий соҳада фаолиятни амалга оширишдан олинган даромад</t>
  </si>
  <si>
    <t>Қўшимча манбалардан даромадлар олувчи бюджет ташкилотлари</t>
  </si>
  <si>
    <t>Ягона иштирокчилари ногиронлиги бўлган шахсларнинг жамоат бирлашмалари бўлган ва умумий ходимлар сонида ногиронлиги бўлган шахслар камида 50 фоизни ташкил этадиган ва ногиронлиги бўлган шахсларнинг меҳнатига ҳақ тўлаш жамғармаси меҳнатга ҳақ тўлаш умумий фондининг камида 50 фоизини ташкил этадиган солиқ тўловчилар</t>
  </si>
  <si>
    <t>Халқ банки томонидан фуқароларнинг шахсий жамғариб бориладиган пенсия ҳисобварақларидаги маблағлардан фойдаланишдан олинадиган даромадлар</t>
  </si>
  <si>
    <t>Солиқ солинадиган фойда ((Ҳисоб-китобнинг 030-сатри)</t>
  </si>
  <si>
    <t>шундан, ноль ставкаси қўлланиладиган фойда жами (031-сатр - 036-сатрлар йиғиндиси)</t>
  </si>
  <si>
    <t>Қишлоқ хўжалиги товар ишлаб чиқарувчилари ва балиқ хўжалиги</t>
  </si>
  <si>
    <t>Ижтимоий соҳада фаолиятни амалга оширишдан олинган фойда</t>
  </si>
  <si>
    <t>Ягона иштирокчилари ногиронлиги бўлган шахслар бўлган солиқ тўловчилар (014-сатр бўйича)</t>
  </si>
  <si>
    <t>Халқ банки томонидан фуқароларнинг шахсий жамғариб бориладиган пенсия ҳисобварақларидаги маблағлардан фойдаланишдан олинган фойда</t>
  </si>
  <si>
    <t>1. Мазкур илова Ўзбекистон Республикаси Солиқ кодексининг 337-моддасида белгиланган шартларга жавоб берган ҳолларда тўлдирилади;</t>
  </si>
  <si>
    <t>2. 033-сатр, 035, 036-сатрларда даромад ва харажатларни ҳисобга олишнинг қўлланилаётган (тўғридан-тўғри ёки мутаносиб) усулига мувофиқ тўлдирилади.</t>
  </si>
  <si>
    <t>Ҳисоб-китобга 7-илова</t>
  </si>
  <si>
    <t>Жорий солиқ давридаги солиқ солинадиган фойдани камайтирадиган ўтган йиллар зарари суммасининг ҳисоб-китоби</t>
  </si>
  <si>
    <t>Жорий йилда олинган зарар (Ҳисоб-китобнинг (010-сатри - 020-сатри))</t>
  </si>
  <si>
    <t>Солиқ солинадиган фойда (Ҳисоб-китобнинг 030-сатри), бироқ “0”дан кам эмас</t>
  </si>
  <si>
    <t>1. Агар 020-сатр миқдори «0»дан катта ёки тенг бўлса, мазкур сатрда «0» қўйилади. 020-сатрда акс эттириладиган зарар «–» белгисиз кўрсатилади.</t>
  </si>
  <si>
    <t>Ҳисоб-китобга 8-илова</t>
  </si>
  <si>
    <t>Операцияларнинг айрим турлари бўйича зарарларни ўтказишнинг ўзига хос хусусиятлари</t>
  </si>
  <si>
    <t>Юридик шахснинг устав фондида (устав капиталида) иштирок этиш улушини реализация қилишдан ёки унинг бошқача тарзда чиқиб кетиши</t>
  </si>
  <si>
    <t>Сотувчи томонидан корхонани мол-мулк мажмуи сифатидаги сотишдан операциялар буйича</t>
  </si>
  <si>
    <t>Ишончли бошқарув шартномаси бўйича ишончли бошқарув муассиси ёки наф олувчиси  томонидан олинган операциялар буйича</t>
  </si>
  <si>
    <t>Оддий ширкат шартномасида (биргаликдаги фаолият тўғрисидаги шартномада) иштирок этишдан шерикнинг (иштирокчининг)  операциялар буйича олинган операциялар буйича</t>
  </si>
  <si>
    <t>Хизмат кўрсатувчи хўжаликлардан операциялар буйича</t>
  </si>
  <si>
    <t>Муомалада бўлмаган қимматли қоғозлар ва муддатли битимларнинг муомалада бўлмаган молиявий воситаларига доир операциялар буйича</t>
  </si>
  <si>
    <t>Солиққа тортиладиган даромадлар</t>
  </si>
  <si>
    <t>Жами харажатлар</t>
  </si>
  <si>
    <t>шу жумладан, чегирилмайдиган харажатлар</t>
  </si>
  <si>
    <t>Мазкур илова Ўзбекистон Республикаси Солиқ кодексининг 336-моддасида белгиланган талаблар асосида тўлдириади</t>
  </si>
  <si>
    <t>Ҳисоб-китобга 9-илова</t>
  </si>
  <si>
    <t>Ҳисобга олинадиган Ўзбекистон Республикасидан ташқарида тўланган  фойда солиғи суммаси</t>
  </si>
  <si>
    <t>Ўзбекистон Республикасидан ташқарида олинган жами даромад суммаси (дивидендлардан ташқари)</t>
  </si>
  <si>
    <t>Ўзбекистон Республикасидан ташқарида олинган даромаддан тўланган солиқ суммаси (дивидендлар кўринишидаги даромадлардан тўланган солиқдан ташқари)</t>
  </si>
  <si>
    <t>Жами даромадлар (Ҳисоб-китобнинг 010-сатри)</t>
  </si>
  <si>
    <t>Ўзбекистон Республикасидан ташқарида олинган даромаднинг жами даромаддаги улуши, фоизда (010-сатр / 030-сатр × 100)</t>
  </si>
  <si>
    <t>Ўзбекистон Республикасидан ташқарида олинган даромад қисмида солиқ солиниши лозим бўлган фойда суммаси (050-сатр × 040-сатр)</t>
  </si>
  <si>
    <t>Фойда солиғи суммаси (060-сатр × 070-сатр)</t>
  </si>
  <si>
    <t>Ҳисобга олинадиган фойда солиғи</t>
  </si>
  <si>
    <t>1. Агар 020-сатр миқдори: 080-сатр миқдоридан катта бўлса, 090-сатрда 080-сатр қиймати қўйилади; 080-сатр миқдоридан кичик ёки тенг бўлса, 090-сатрда 020-сатр қиймати қўйилади.</t>
  </si>
  <si>
    <t>2. Ҳисоб-китобга Ўзбекистон Республикасидан ташқарида олинган даромаддан тўланган солиқ суммасини ҳисобга олиш учун чет давлат ваколатли органининг тўлов хабарномаси, маълумотномаси ёки солиқ тўланганлигини тасдиқловчи бошқа ҳужжат илова қилинади.</t>
  </si>
  <si>
    <t>Ўзбекистон Республикаси резидентлари томонидан Ўзбекистон Республикасидан ташқарида олинган 
дивидендлар кўринишидаги даромадлардан фойда солиғининг 
ҲИСОБ-КИТОБ-МАЪЛУМОТНОМАСИ</t>
  </si>
  <si>
    <t>Ўзбекистон Республикасидан ташқарида олиниши лозим бўлган (олинган) дивидендлар суммаси - жами (011-сатр + 012-сатр), шу жумладан:</t>
  </si>
  <si>
    <t>иккиёқлама солиқ солишнинг олдини олиш тўғрисида битим мавжуд бўлган мамлакатлардан (0111-сатр + 0121-сатр):</t>
  </si>
  <si>
    <t>белгиланган ставкадан паст ёки тенг ставкада солиқ солинадиган</t>
  </si>
  <si>
    <t>улардан жорий ҳисобот (солиқ) даврида ҳақиқатда олинган  (0111-сатрдан)</t>
  </si>
  <si>
    <t>белгиланган ставкадан юқори ставкада солиқ солинадиган</t>
  </si>
  <si>
    <t>улардан жорий ҳисобот (солиқ) даврида ҳақиқатда олинган (0121-сатрдан)</t>
  </si>
  <si>
    <t>иккиёқлама солиқ солишнинг олдини олиш тўғрисида битим мавжуд бўлмаган мамлакатлардан</t>
  </si>
  <si>
    <t>Иккиёқлама солиқ солишнинг олдини олиш тўғрисида битим бўйича солиқ солинадиган ўтган солиқ даврларида ҳисобланган ва жорий ҳисобот (солиқ) даврида ҳақиқатда тўланган дивидендлар (021-сатр + 022-сатр):</t>
  </si>
  <si>
    <t>белгиланган ставкадан паст ёки тенг ставка бўйича</t>
  </si>
  <si>
    <t>белгиланган ставкадан юқори ставка бўйича</t>
  </si>
  <si>
    <t>Дивидендлар тарзидаги даромадлардан олинадиган солиқнинг белгиланган ставкаси, фоизда</t>
  </si>
  <si>
    <t>Олинган дивиденд тарзидаги даромадлардан олинадиган солиқ суммаси (010-сатр х 030-сатр), шу жумладан:</t>
  </si>
  <si>
    <t>0111-сатрда кўрсатилган дивидендлар бўйича (0111-сатр х 030-сатр)</t>
  </si>
  <si>
    <t>0121-сатрда кўрсатилган дивидендлар бўйича (0121-сатр х 030-сатр)</t>
  </si>
  <si>
    <t>012-сатрда кўрсатилган дивидендлар бўйича (012-сатр х 030-сатр)</t>
  </si>
  <si>
    <t>Иккиёқлама солиқ солишнинг олдини олиш тўғрисида битимга мувофиқ ҳисобга олинадиган Ўзбекистон Республикасидан ташқарида солиқ тўланганлигини тасдиқловчи ҳужжатлар мавжуд солиқ суммаси (051-сатр + 052-сатр + 053-сатр + 054-сатр):</t>
  </si>
  <si>
    <t>0112-сатрда кўрсатилган дивидендлардан</t>
  </si>
  <si>
    <t>0122-сатрда кўрсатилган дивидендлардан (0122-сатр х 030-сатр)</t>
  </si>
  <si>
    <t>021-сатрда кўрсатилган дивидендлардан</t>
  </si>
  <si>
    <t>022-сатрда кўрсатилган дивидендлардан (022-сатр х 030-сатр)</t>
  </si>
  <si>
    <t>Фойда солиғининг бюджетга тўланиши лозим бўлган суммаси (+) ёки камайтириладиган суммаси (–) (040-сатр – 050-сатр)</t>
  </si>
  <si>
    <t>1. 020-сатрда тегишлича Ўзбекистон Республикаси Солиқ кодексининг 88-моддасида белгиланган даъво қилиш муддати ичида иккиёқлама солиқ солишнинг олдини олиш тўғрисида битим  мавжуд бўлган мамлакатлардан олинган дивидендлар  кўрсатилади.</t>
  </si>
  <si>
    <t>2. Маълумотнома-ҳисоб-китобга Ўзбекистон Республикасидан ташқарида олинган даромаддан тўланган солиқ суммасини ҳисобга олиш учун чет давлат ваколатли органининг тўлов хабарномаси, маълумотномаси ёки солиқ тўланганлигини тасдиқловчи бошқа ҳужжат илова қилинади.</t>
  </si>
  <si>
    <t>Ўзбекистон Республикаси Солиқ кодесининг 332-моддасида келтирилган ҳолларда даромадларга тузатиш киритиш</t>
  </si>
  <si>
    <r>
      <t>Ҳисобот (солиқ) даври учун солиқ базасини оширадиган фойда суммаси жами</t>
    </r>
    <r>
      <rPr>
        <i/>
        <sz val="10"/>
        <rFont val="Arial"/>
        <family val="2"/>
        <charset val="204"/>
      </rPr>
      <t xml:space="preserve"> (050-сатр - 010-сатр)</t>
    </r>
    <r>
      <rPr>
        <sz val="10"/>
        <rFont val="Arial"/>
        <family val="2"/>
        <charset val="204"/>
      </rPr>
      <t>, бироқ "0" дан кам эмас</t>
    </r>
  </si>
  <si>
    <r>
      <t xml:space="preserve">Жорий солиқ даврида кўрилган зарар </t>
    </r>
    <r>
      <rPr>
        <i/>
        <sz val="10"/>
        <rFont val="Arial"/>
        <family val="2"/>
        <charset val="204"/>
      </rPr>
      <t>(020-сатр - 030-сатр +040 сатр)</t>
    </r>
  </si>
  <si>
    <r>
      <t>Ҳисобот (солиқ) даврида солиқ солинадиган фойда</t>
    </r>
    <r>
      <rPr>
        <i/>
        <sz val="10"/>
        <rFont val="Arial"/>
        <family val="2"/>
        <charset val="204"/>
      </rPr>
      <t xml:space="preserve"> (020-сатр - 030-сатр + 040-сатр)</t>
    </r>
    <r>
      <rPr>
        <sz val="10"/>
        <rFont val="Arial"/>
        <family val="2"/>
        <charset val="204"/>
      </rPr>
      <t>, бироқ "0" дан кам эмас</t>
    </r>
  </si>
  <si>
    <r>
      <t>Жами инвестициявий чегирма миқдори</t>
    </r>
    <r>
      <rPr>
        <i/>
        <sz val="10"/>
        <rFont val="Arial"/>
        <family val="2"/>
        <charset val="204"/>
      </rPr>
      <t xml:space="preserve"> (040-сатр + 050-сатр)</t>
    </r>
  </si>
  <si>
    <r>
      <t xml:space="preserve">Жорий ҳисобот (солиқ) даври учун маблағларнинг инвестицияларга сарфланиши – жами </t>
    </r>
    <r>
      <rPr>
        <i/>
        <sz val="10"/>
        <rFont val="Arial"/>
        <family val="2"/>
        <charset val="204"/>
      </rPr>
      <t>(020-сатр + 030-сатр)</t>
    </r>
    <r>
      <rPr>
        <sz val="10"/>
        <rFont val="Arial"/>
        <family val="2"/>
        <charset val="204"/>
      </rPr>
      <t>, улардан:</t>
    </r>
  </si>
  <si>
    <t>*</t>
  </si>
  <si>
    <r>
      <t xml:space="preserve">Товарларни (хизматларни) реализация қилишдан олинган даромад  </t>
    </r>
    <r>
      <rPr>
        <b/>
        <i/>
        <sz val="10"/>
        <rFont val="Arial"/>
        <family val="2"/>
        <charset val="204"/>
      </rPr>
      <t>(Ҳисоб-китобнинг 1-иловаси 020-сатри)</t>
    </r>
    <r>
      <rPr>
        <b/>
        <sz val="10"/>
        <rFont val="Arial"/>
        <family val="2"/>
        <charset val="204"/>
      </rPr>
      <t>, шу жумладан</t>
    </r>
  </si>
  <si>
    <t>055</t>
  </si>
  <si>
    <t>056</t>
  </si>
  <si>
    <t>Ҳисоб-китобга 5-илова</t>
  </si>
  <si>
    <t>061</t>
  </si>
  <si>
    <t>062</t>
  </si>
  <si>
    <t xml:space="preserve">Ўзбекистон Республикаси Солиқ кодексининг 314-моддаси бўйича қўшилган қиймат солиғига доир харажатлар </t>
  </si>
  <si>
    <t>2. Даромад ва харажатларни ҳисобга олишнинг тўғридан-тўғри усулини қўллайдиган солиқ тўловчилар 010 - 016-сатрларни тўлдирмайдилар;</t>
  </si>
  <si>
    <t>Қонунчилик ҳужжатларида белгиланган тартибда мажбуриятларни ҳисобдан чиқаришдан олинган даромад</t>
  </si>
  <si>
    <t>Ўзбекистон Республикаси Солиқ кодексининг 377-моддаси биринчи қисми 10-бандининг тўртинчи ва бешинчи хатбошиларида кўрсатилган моддий ёрдам</t>
  </si>
  <si>
    <t>Даромад олишга қаратилган фаолият билан боғлиқ бўлмаган харажатлар, агар қонунчилик ҳужжатларига мувофиқ бундай харажатларни амалга ошириш мажбурияти солиқ тўловчининг зиммасига юклатилмаган бўлса</t>
  </si>
  <si>
    <t>063</t>
  </si>
  <si>
    <t>064</t>
  </si>
  <si>
    <t>065</t>
  </si>
  <si>
    <t>066</t>
  </si>
  <si>
    <t>Ўтган солиқ даврларида айрим операциялар буйича қопланмаган қолдиғи</t>
  </si>
  <si>
    <t>Жорий ҳисобот (солиқ) даврида айрим операциялар буйича қопланмаган қолдиғи</t>
  </si>
  <si>
    <t>131</t>
  </si>
  <si>
    <t>Солиқ солинадиган фойда (010-сатр - 020-сатр)</t>
  </si>
  <si>
    <t>шу жумладан, нотижорат ташкилотларининг валюта курси фарқидан даромадлари</t>
  </si>
  <si>
    <t>190</t>
  </si>
  <si>
    <t>Нотижорат ташкилотлари томонидан аҳолининг диний мақсадда фойдаланиши учун мўлжалланган товарларни реализация қилишдан олинган даромадлари</t>
  </si>
  <si>
    <t>020-сатр бўйича инвестициявий чегирма миқдори (20 фоиз)</t>
  </si>
  <si>
    <t>030-сатр бўйича инвестициявий чегирма миқдори (10 фоиз)</t>
  </si>
  <si>
    <t>Умидсиз қарзлар бўйича харажатлар</t>
  </si>
  <si>
    <t>200</t>
  </si>
  <si>
    <t>210</t>
  </si>
  <si>
    <t>Назорат қилинадиган чет эл компаниясининг тақсимланмаган фойдаси</t>
  </si>
  <si>
    <t>Имтиёзлар – жами (040-сатр - 060-сатрлар йиғиндиси)</t>
  </si>
  <si>
    <t>Солиқ кодекс 248-моддасининг тўртинчи қисмида белгиланган ҳолларда ва тартибда солиқ базасига товарларнинг (хизматларнинг) бозор қийматидан келиб чиққан ҳолда тузатиш киритиш натижасида олинган даромадлар</t>
  </si>
  <si>
    <t>220</t>
  </si>
  <si>
    <t>Амортизация қилинадиган активларнинг ва бошқа мол-мулкнинг чиқиб кетишидан олинган даромад</t>
  </si>
  <si>
    <t>ЖШШИР</t>
  </si>
  <si>
    <t>01061</t>
  </si>
  <si>
    <t>Асосий воситалар ва номоддий активлар амортизацияси</t>
  </si>
  <si>
    <t>Инвестициявий чегирма ҳисоб-китоби маълумотномаси</t>
  </si>
  <si>
    <t>шу жумладан қўлланилган инвестициявий чегирма</t>
  </si>
  <si>
    <t>2020 йил 1 январга қадар ҳосил бўлган зарарлар</t>
  </si>
  <si>
    <t>2020 йил 1 январдан кейин ҳосил бўлган зарарлар</t>
  </si>
  <si>
    <t>шу жумладан, қуйидаги йиллар учун олинган зарар:</t>
  </si>
  <si>
    <t>x</t>
  </si>
  <si>
    <t>Жорий солиқ даврида солиқ солинадиган фойдани зарар ёки зарарнинг бир қисмига камайтириладиган энг юқори суммаси (3-устун 030-сатр х 50%)</t>
  </si>
  <si>
    <t>Жорий солиқ даврининг солиқ солинадиган фойдасини камайтирадиган зарар ёки зарарнинг бир қисми суммаси (010-сатр, бироқ 040-сатрдан ошмаган миқдорда)</t>
  </si>
  <si>
    <t>йил учун (0101-сатр суммасидан)</t>
  </si>
  <si>
    <t>йил учун (0102-сатр суммасидан)</t>
  </si>
  <si>
    <t>йил учун (0103-сатр суммасидан)</t>
  </si>
  <si>
    <t>йил учун (0104-сатр суммасидан)</t>
  </si>
  <si>
    <t>йил учун (0105-сатр суммасидан)</t>
  </si>
  <si>
    <t>0605</t>
  </si>
  <si>
    <t>2. 3-устуннинг 0601 – 0605-сатри суммалари 050-сатр суммасини кетма-кетлик тарзида 0101-0105-сатрлар суммасидан чегириш натижасида шакллантирилади.</t>
  </si>
  <si>
    <t>3. Мазкур Ҳисоб-китоб солиқ ҳисоботини йил якуни бўйича тақдим этилганда тўлдирилади.</t>
  </si>
  <si>
    <t>Доимий муассасанинг ҳисобот давридаги соф фойдаси</t>
  </si>
  <si>
    <t>Доимий муассасанинг соф фойдасидан олинадиган солиқ ставкаси</t>
  </si>
  <si>
    <t>Жами даромадлар  (020-сатр - 220-сатрлар йиғиндиси), шу жумладан</t>
  </si>
  <si>
    <t>Ушбу илованинг 020-220-сатрларида кўрсатилмаган бошқа даромадлар  (221-сатр - 228-сатрлар йиғиндиси), шу жумладан:</t>
  </si>
  <si>
    <t>221</t>
  </si>
  <si>
    <t>222</t>
  </si>
  <si>
    <t>223</t>
  </si>
  <si>
    <t>224</t>
  </si>
  <si>
    <t>225</t>
  </si>
  <si>
    <t>226</t>
  </si>
  <si>
    <t>227</t>
  </si>
  <si>
    <t>228</t>
  </si>
  <si>
    <t>Жорий солиқ даврининг боши ҳолатига ўтказилмаган зарар қолдиғи – жами (0101 – 0105-сатрлар йиғиндиси)</t>
  </si>
  <si>
    <t>Жорий солиқ даврининг охирига ўтказилмаган зарарнинг қолдиғи – жами (0601 – 0605-сатрлар йиғиндиси), шу жумладан:</t>
  </si>
  <si>
    <t>Ўзбекистон Республикаси халқаро шартномаси қоидаларига кўра норезидентнинг бошқарувга оид ва умуммаъмурий харажатлари (01341-сатр ёки 01342-сатр)</t>
  </si>
  <si>
    <t>071</t>
  </si>
  <si>
    <t>Солиқ базаси (030-сатр – 040-сатр - 050-сатр), бироқ "0" дан кам эмас</t>
  </si>
  <si>
    <t>Солиқ базаси (Ҳисоб-китобнинг 060-сатри)</t>
  </si>
  <si>
    <t>Фойда солиғи ставкаси (Ҳисоб-китобнинг 070-сатри)</t>
  </si>
  <si>
    <t>Доимий муассасанинг соф фойдасидан олинадиган солиқ суммаси (120-сатр х 130-сатр)</t>
  </si>
  <si>
    <t>Онлайн назорат-касса машинаси ва виртуал кассага уланган, штрих-кодлар ва рақамли маркировка кодларини тўғри ўқишни ва аниқлашни таъминловчи махсус қурилмаларни сотиб олиш билан боғлиқ харажатлар суммаси</t>
  </si>
  <si>
    <t>Солиқ солиш мақсадлари учун харажатлар (зарарлар) рўйхати</t>
  </si>
  <si>
    <t>Жами харажатлар (020-сатр + 030-сатрлар йиғиндиси), шу жумладан:</t>
  </si>
  <si>
    <t>0201</t>
  </si>
  <si>
    <t>0202</t>
  </si>
  <si>
    <t>0203</t>
  </si>
  <si>
    <t>0204</t>
  </si>
  <si>
    <t>0301</t>
  </si>
  <si>
    <t>0302</t>
  </si>
  <si>
    <t>0303</t>
  </si>
  <si>
    <t>0304</t>
  </si>
  <si>
    <t>0401</t>
  </si>
  <si>
    <t>0402</t>
  </si>
  <si>
    <t>0403</t>
  </si>
  <si>
    <t>0404</t>
  </si>
  <si>
    <t>0501</t>
  </si>
  <si>
    <t>0502</t>
  </si>
  <si>
    <t>0701</t>
  </si>
  <si>
    <t>0702</t>
  </si>
  <si>
    <t>0801</t>
  </si>
  <si>
    <t>0802</t>
  </si>
  <si>
    <t>0901</t>
  </si>
  <si>
    <t>0902</t>
  </si>
  <si>
    <t>Ҳисоб-китобга 2.1-илова</t>
  </si>
  <si>
    <t>Бухгалтерия ҳисоби</t>
  </si>
  <si>
    <t xml:space="preserve">Солиқ ҳисоби коэффициенти  </t>
  </si>
  <si>
    <t>жами харажатлар</t>
  </si>
  <si>
    <t>Реализация қилинган товарлар (хизматлар) таннархи</t>
  </si>
  <si>
    <t>11=3+4+8+9-10</t>
  </si>
  <si>
    <t>16=12+13-15</t>
  </si>
  <si>
    <t>17=3-12</t>
  </si>
  <si>
    <t>18=11-16</t>
  </si>
  <si>
    <t>Нематериальные активы</t>
  </si>
  <si>
    <t>111</t>
  </si>
  <si>
    <t>151</t>
  </si>
  <si>
    <t>152</t>
  </si>
  <si>
    <t>Ҳисоб-китобга 10-илова</t>
  </si>
  <si>
    <t>Ҳисоб-китобга 11-илова</t>
  </si>
  <si>
    <t>I. Амортизация қилинадиган асосий воситалар</t>
  </si>
  <si>
    <t>Ҳисобот даври бошига бошланғич қиймат</t>
  </si>
  <si>
    <t>Солиқ даврида келиб тушган асосий воситалар</t>
  </si>
  <si>
    <t>Акциядорнинг (иштирокчининг, мулкдорнинг) устав фондига (устав капиталига) ҳиссаси ҳисобига</t>
  </si>
  <si>
    <t>Шундан</t>
  </si>
  <si>
    <t>Сотиш учун мўлжалланган активлар ёки захиралар таркибидан кўчирилган</t>
  </si>
  <si>
    <t>Қайта ташкил этиш натижасида олинган
(ҳуқуқий шаклини ўзгартириш ҳоллари бундан мустасно)</t>
  </si>
  <si>
    <t>Солиқ даврида асосий воситалар қийматининг ўзгариши</t>
  </si>
  <si>
    <t>Солиқ даврида фойдаланишдан чиқарилган асосий воситаларнинг қиймати</t>
  </si>
  <si>
    <t>Ҳисобот даври охирига амортизация қилинадиган асосий воситалар қиймати</t>
  </si>
  <si>
    <t>II. Асосий воситаларнинг амортизацияси</t>
  </si>
  <si>
    <t>Ҳисобот даври бошига жамғарилган амортизация</t>
  </si>
  <si>
    <t>Солиқ даврида хисобланган амортизация</t>
  </si>
  <si>
    <t>Шу жумладан инвестициявий чегирма</t>
  </si>
  <si>
    <t>Солиқ даврида фойдаланишдан чиқарилган асосий воситалар бўйича амортизация</t>
  </si>
  <si>
    <t>Ҳисобот даври охирига жамғарилган амортизация</t>
  </si>
  <si>
    <t>III. Асосий воситаларнинг қолдиқ қиймати</t>
  </si>
  <si>
    <t>Солиқ даври бошига қолдиқ қиймат</t>
  </si>
  <si>
    <t>Солиқ даври охирига қолдиқ қиймат</t>
  </si>
  <si>
    <t>I-гуруҳ</t>
  </si>
  <si>
    <t>II-гуруҳ</t>
  </si>
  <si>
    <t>III-гуруҳ</t>
  </si>
  <si>
    <t>IV-гуруҳ</t>
  </si>
  <si>
    <t>V-гуруҳ</t>
  </si>
  <si>
    <t>VI-гуруҳ</t>
  </si>
  <si>
    <t>Бинолар</t>
  </si>
  <si>
    <t>Иншоотлар</t>
  </si>
  <si>
    <t>Қувурлар, электр узатиш ва телекоммуникациялар линиялари</t>
  </si>
  <si>
    <t>Машиналар ва ускуналар (транспорт ускуналаридан ташқари)</t>
  </si>
  <si>
    <t>Ҳаво ва космик учиш аппаратлари ва улар билан боғлиқ ускуналар, кемалар ва қайиқлар, локомотивлар ва ҳаракатдаги таркиб (темир йўл таркиби)</t>
  </si>
  <si>
    <t>Автотранспорт воситалари, автомобиль кузовлари (корпуслари), тиркамалар ва ярим тиркамалар, бошқа транспорт ускуналари</t>
  </si>
  <si>
    <t>Компьютерлар ва периферия ускуналари</t>
  </si>
  <si>
    <t>Бошқа гуруҳларга киритилмаган амортизация қилинадиган активлар</t>
  </si>
  <si>
    <t>1. Мазкур илова Ўзбекистон Республика Солиқ кодексининг 306-моддасида белгиланган талаблар бўйича тўлдирилади.</t>
  </si>
  <si>
    <t>I.  Амортизация қилинадиган номоддий активлар (II бандан ташқари)</t>
  </si>
  <si>
    <t>Номоддий активларнинг солиқ даври бошидаги қиймати</t>
  </si>
  <si>
    <t>Солиқ даврида келиб тушган номоддий активларнинг қиймати</t>
  </si>
  <si>
    <t>Солиқ даврида номоддий активлар қийматининг ўзгариши</t>
  </si>
  <si>
    <t>Ижарага олувчи ижарага берувчининг розилиги билан (қарз берувчининг розилиги билан қарз олувчи) амалга оширган, қийматининг ўрни ижарага берувчи (қарз берувчи) томонидан қоплаб берилмайдиган капитал қўйилмалар</t>
  </si>
  <si>
    <t>Номоддий активларнинг солиқ даври охиридаги қиймати (010-сатр + 020-сатр + 021-сатр - 030-сатр)</t>
  </si>
  <si>
    <t>Номоддий активларнинг амортизацияси</t>
  </si>
  <si>
    <t>Солиқ даври бошига жамғарилган амортизация</t>
  </si>
  <si>
    <t>Солиқ даври давомида хисобланган амортизация</t>
  </si>
  <si>
    <t>Солиқ даврида ҳисобдан чиқарилган номоддий активларнинг қиймати</t>
  </si>
  <si>
    <t>Солиқ даврида ҳисобдан чиқарилган номоддий активлар бўйича амортизация</t>
  </si>
  <si>
    <t>Солиқ даври охирида жамғарилган амортизация (050-сатр + 060-сатр - 062-сатр)</t>
  </si>
  <si>
    <t>Номоддий активларнинг қолдиқ қиймати</t>
  </si>
  <si>
    <t>Солиқ даври бошига қолдиқ қиймат (010-сатр - 050-сатр)</t>
  </si>
  <si>
    <t>Солиқ даври охирига қолдиқ қиймат (040-сатр - 070-сатр)</t>
  </si>
  <si>
    <t>II. Фойдаланиш муддатини аниқлаш имкони бўлмаган номоддий актилар</t>
  </si>
  <si>
    <t>Номоддий активлар</t>
  </si>
  <si>
    <t>Номоддий активларнинг солиқ даври охиридаги қиймати (100-сатр + 110-сатр + 111-сатр - 120-сатр)</t>
  </si>
  <si>
    <t>Солиқ даври охирида жамғарилган амортизация (140-сатр + 150-сатр - 152-сатр)</t>
  </si>
  <si>
    <t>Солиқ даври бошига қолдиқ қиймат (100-сатр - 140-сатр)</t>
  </si>
  <si>
    <t>Солиқ даври охирига қолдиқ қиймат (130-сатр - 160-сатр)</t>
  </si>
  <si>
    <t>1. Мазкур илова Ўзбекистон Республика Солиқ кодексининг 306 ва 307-моддасида белгиланган талаблар бўйича тўлдирилади.</t>
  </si>
  <si>
    <t>Хом ашё ва материаллар</t>
  </si>
  <si>
    <t>Асосий воситалар ва номоддий активларнинг амортизацияси</t>
  </si>
  <si>
    <t>Маълумот учун: жорий даврда қўлланиладиган инвестициявий чегирмалар суммасини ўз ичига олган ҳолда</t>
  </si>
  <si>
    <t>Бошқа ишлаб чиқариш харажатлари</t>
  </si>
  <si>
    <t>Қайта сотиш учун сотиб олинган товарлар</t>
  </si>
  <si>
    <t>Қайта сотиш учун сотиб олинган товарларнинг қиймати</t>
  </si>
  <si>
    <t>Ўз ишлаб чиқарилган маҳсулотлар</t>
  </si>
  <si>
    <t>Сотилган товарлар (хизматлар) таннархи</t>
  </si>
  <si>
    <t>Машина ва асбоб-ускуналарни жорий таъмирлаш харажатлари</t>
  </si>
  <si>
    <t>нотижорат ташкилотларига ва халқаро ташкилотларга тўланадиган бадаллар, йиғимлар ва бошқа тўловлар, бундан бундай бадалларни, йиғимларни ва бошқа тўловларни тўлаш қонунчиликда (шу жумладан чет давлатларнинг қонунчиликда) назарда тутилган ва (ёки) ушбу бадалларни, йиғимларни ва бошқа тўловларни тўлаган солиқ тўловчилар томонидан фаолиятни амалга оширишнинг шарти ёхуд мазкур ташкилотлар томонидан солиқ тўловчилар ўз фаолиятини юритиши учун зарур хизматлар тақдим этишнинг шарти бўлган ҳоллар мустасно</t>
  </si>
  <si>
    <t xml:space="preserve">текин берилган мол-мулкнинг (хизматларнинг) қиймати ва бундай бериш билан боғлиқ бўлган (шу жумладан қўшилган қиймат солиғи суммаси киритилган) харажатлар, бундан Ўзбекистон Республикаси Президентининг ёки Ўзбекистон Республикаси Вазирлар Маҳкамасининг қарорига кўра мол-мулкни ўтказиш, шунингдек телекоммуникация тармоқларидаги тезкор-қидирув тизимининг техник воситаларини ўтказиш ва улардан фойдаланиш бўйича хизматлар кўрсатиш мустасно; </t>
  </si>
  <si>
    <t>солиқ тўловчининг тадбиркорлик фаолиятини амалга ошириш билан боғлиқ бўлмаган тадбирларга (соғлиқни сақлашга оид, спорт ва маданий тадбирлар, дам олишни ташкил этиш ҳамда бошқа шунга ўхшаш тадбирларга) доир харажатлари, бундан тадбирларни ўтказишга доир мажбуриятлар қонунчилик билан солиқ тўловчининг зиммасига юклатилган ҳоллар мустасно;</t>
  </si>
  <si>
    <t>хайрия ёрдамини амалга ошириш учун харажатлар, бундан меценатлик кўмагини кўрсатиш, ўқув-тарбия муассасаларига ёки етим болаларга ва ота-она қарамоғидан маҳрум бўлган болаларга моддий ёрдам кўрсатиш учун йўналтирилган маблағлар, шунингдек Болаларни қўллаб-қувватлаш жамоат фондига хайрия қилинган маблағлар мустасно</t>
  </si>
  <si>
    <t>Трансферт нархни белгилаш натижасида олинмаган даромад суммаси *</t>
  </si>
  <si>
    <t>0305</t>
  </si>
  <si>
    <t>0306</t>
  </si>
  <si>
    <t>Норматив-ҳуқуқий ҳужжатлар асосида фойда солиғи бўйича имтиёзлар – жами (051 – 056-сатрлар йиғиндиси)</t>
  </si>
  <si>
    <t>Солиқ кодекси ва бошқа норматив-ҳуқуқий ҳужжатларга мувофиқ пасайтирилган солиқ ставкаларини қўллаш тарзидаги имтиёзлар – жами (061 – 066-сатрлар йиғиндиси)</t>
  </si>
  <si>
    <t>4. 061-сатр ва кейинги сатрлар солиқ тўловчилар томонидан Солиқ кодекси ва бошқа норматив-ҳуқуқий ҳужжатларга мувофиқ пасайтирилган солиқ ставкаларини қўллаш тарзидаги имтиёзлар кўрсатилади. Бунда пасайтирилган солиқ ставкаси қўлланиладиган фаолияти бўича товарларни (хизматларни) реализация қилишдан олинган даромад суммаси акс эттирилиши лозим.</t>
  </si>
  <si>
    <t>Бошқа харажатлар (зарарлар)</t>
  </si>
  <si>
    <t>010-сатрига киритиладиган асосий харажатлар*:</t>
  </si>
  <si>
    <t>03061</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</si>
  <si>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</si>
  <si>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</si>
  <si>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</si>
  <si>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</si>
  <si>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</si>
  <si>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</si>
  <si>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</si>
  <si>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</si>
  <si>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</si>
  <si>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</si>
  <si>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</si>
  <si>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</si>
  <si>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</si>
  <si>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</si>
  <si>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</si>
  <si>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</si>
  <si>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</si>
  <si>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</si>
  <si>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</si>
  <si>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</si>
  <si>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</si>
  <si>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</si>
  <si>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</si>
  <si>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</si>
  <si>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</si>
  <si>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мутаносиб усул</t>
  </si>
  <si>
    <t>тўғридан-тўғри ҳисобга олиш усули</t>
  </si>
  <si>
    <t>("1" рақами қўйилсин)</t>
  </si>
  <si>
    <t>02031</t>
  </si>
  <si>
    <t>Жорий даврда маҳсулот ишлаб чиқариш, ишлар бажариш ва хизмат кўрсатиш учун амалга оширилган чиқимлар (0201-0204-сатрлар йиғиндиси), шу жумладан:</t>
  </si>
  <si>
    <t>0132</t>
  </si>
  <si>
    <t>0133</t>
  </si>
  <si>
    <t>0134</t>
  </si>
  <si>
    <t>01341</t>
  </si>
  <si>
    <t>01342</t>
  </si>
  <si>
    <t>0135</t>
  </si>
  <si>
    <t>01351</t>
  </si>
  <si>
    <t>Қайта сотиш учун сотиб олинган товарлар қиймати</t>
  </si>
  <si>
    <t>3. 0113-сатр Ўзбекистон Республикаси Солиқ кодексининг 310-моддасида белгиланган талаблар асосида тўлдирилади.</t>
  </si>
  <si>
    <t>4. 0117-сатр Ўзбекистон Республикаси Солиқ кодексининг 315-моддасида белгиланган талаблар асосида тўлдирилади.</t>
  </si>
  <si>
    <t>Солиқ кодексининг 177-моддасига мувофиқ солиқ тўловчи томонидан солиқ базасига ва (ёки) солиқнинг (зарарнинг) суммасига мустақил равишда тузатишлар киритилиши тўғрисида маълумот</t>
  </si>
  <si>
    <t>Изоҳ: Солиқ базасига ва (ёки) солиқ суммасига мустақил равишда тузатиш киритишга асос бўлган хар бир битим юзасидан маълумотлар кўрсатилади.</t>
  </si>
  <si>
    <t>Бевосита харажатлар суммаси асосида товарлар (хизматлар) таннархи анақланганда</t>
  </si>
  <si>
    <t>Бевосита харажатлар моддалари асосида товарлар (хизматлар) таннархи аниқланганда</t>
  </si>
  <si>
    <t>Ҳисоб-китобга 12-илова</t>
  </si>
  <si>
    <t>4. 170-сатр мустақил равишда тузатиш киритилган хар бир битим бўйича идентификация қилиш имконини берадиган маълумотлар ушбу ҳисоб-китобнинг 12-иловасида акс эттириладиган тушунтиришларда кўрсатилиши лозим.</t>
  </si>
  <si>
    <t>5. 0118-сатрда мустақил равишда тузатиш киритилган хар бир битим бўйича идентификация қилиш имконини берадиган маълумотлар ушбу ҳисоб-китобнинг 12-иловасида акс эттириладиган тушунтиришларда кўрсатилиши лозим.</t>
  </si>
  <si>
    <t>03121</t>
  </si>
  <si>
    <t>Трансферт нархни белгилаш натижасида оширилган харажат суммаси *</t>
  </si>
  <si>
    <t>01131</t>
  </si>
  <si>
    <t>0332</t>
  </si>
  <si>
    <t>0333</t>
  </si>
  <si>
    <t>03331</t>
  </si>
  <si>
    <t>03332</t>
  </si>
  <si>
    <t>03341</t>
  </si>
  <si>
    <t>3. 0312-сатр Ўзбекистон Республикаси Солиқ кодексининг 310-моддасида белгиланган талаблар асосида тўлдирилади.</t>
  </si>
  <si>
    <t>4. 0316-сатр Ўзбекистон Республикаси Солиқ кодексининг 315-моддасида белгиланган талаблар асосида тўлдирилади.</t>
  </si>
  <si>
    <t>08011</t>
  </si>
  <si>
    <t>08021</t>
  </si>
  <si>
    <t>Ҳисоб-китобга 2.1(а)-илова</t>
  </si>
  <si>
    <t>Ҳисоб-китобга 2.1(б)-илова</t>
  </si>
  <si>
    <t>Бевосита харажатлар моддалари асосида товарлар (хизматлар) таннархи (ўз маҳсулоти (жу жумладан бажарилган хизматлар), сотиб олинган товарлар) ҳисоб-китоби</t>
  </si>
  <si>
    <t>Бевосита харажатлар сумма асосида товарлар (хизматлар) таннархи (ўз маҳсулоти (жу жумладан бажарилган хизматлар), сотиб олинган товарлар) ҳисоб-китоби</t>
  </si>
  <si>
    <t>Солиқ даври бошига тугалланмаган ишлаб чиқариш қиймати</t>
  </si>
  <si>
    <t>Солиқ давр охирига тугалланмаган ишлаб чиқариш қиймати **</t>
  </si>
  <si>
    <t>Солиқ даври охирига тугалланмаган ишлаб чиқариш қийматининг ишлаб чиқариш харажатларидаги улуши</t>
  </si>
  <si>
    <t>Харид қилинган товарлар қолдиғи қийматининг сотиб олинган товарларнинг умумий қийматидаги улуши</t>
  </si>
  <si>
    <t>Тайёр маҳсулотлар қолдиғи қийматининг ишлаб чиқарилган маҳсулотлар таннархидаги улуши</t>
  </si>
  <si>
    <t>1.Товаларлар (хизматлар)нинг ишлаб чиқариш таннархига киритилган харажатлар акс эттирилиб, уларни баҳолаш Ўзбекистон Республикаси Солиқ кодекси қоидаларига мувофиқ солиқ ҳисоби бўйича амалга оширилади. Солиқ ҳисоби бўйича сотилган товарлар (хизматлар) таннархи солиқ тўловчи томонидан харажатларни ҳисобга олишнинг иккита усулидан бири ёрдамида аниқлаши мумкин: ҳисоб сиёсатида назарда тутилган мутаносиб ёки тўғридан-тўғри.</t>
  </si>
  <si>
    <t>1. Товаларлар (хизматлар)нинг ишлаб чиқариш таннархига киритилган харажатлар акс эттирилиб, уларни баҳолаш Ўзбекистон Республикаси Солиқ кодекси қоидаларига мувофиқ солиқ ҳисоби бўйича амалга оширилади. Солиқ ҳисоби бўйича сотилган товарлар (хизматлар) таннархи солиқ тўловчи томонидан харажатларни ҳисобга олишнинг иккита усулидан бири ёрдамида аниқлаши мумкин: ҳисоб сиёсатида назарда тутилган мутаносиб ёки тўғридан-тўғри.</t>
  </si>
  <si>
    <t>2. Бухгалтерия ҳисобида жорий давр охиридаги тугалланмаган ишлаб чиқариш, тайёр маҳсулотлар, товарлар қолдиғи - солиқ тўловчи томонидан аналитик харажатлар ҳисобига кўра ёки инвентаризация натижаларига кўра аниқлашга ҳақли.</t>
  </si>
  <si>
    <t>жами
харажатлар</t>
  </si>
  <si>
    <t>2. Бухгалтерия ҳисобида жорий давр охиридаги тугалланмаган ишлаб чиқариш, тайёр маҳсулотлар, товарлар қолдиғи (шунингдек, солиқ ҳисобида - харажатларни ҳисобга олишнинг тўғридан-тўғри усулини танлашда) - солиқ тўловчи томонидан аналитик харажатлар ҳисобига кўра ёки инвентаризация натижаларига кўра аниқлашга ҳақли.</t>
  </si>
  <si>
    <t>3. 051-сатр ва кейинги сатрлар солиқ тўловчилар томонидан норматив-ҳуқуқий ҳужжатнинг тури, санаси, рақами, номи ва унинг тегишли бандини кўрсатган ҳолда тўлдирилади;</t>
  </si>
  <si>
    <t>Айрим операциялар бўйича даромадлар (Ҳисоб-китобнинг 9-иловаси 070-сатри 3-8 устунлар йиғиндиси)</t>
  </si>
  <si>
    <t>6. 0134-сатрда норезидентнинг бошқарувга оид ва умуммаъмурий харажатлари Ўзбекистон Республикасидаги доимий муассасанинг чегирмаларига Ўзбекистон Республикаси Солиқ кодексинининг 348-моддасида белгиланган талаблар асосида киритилади.</t>
  </si>
  <si>
    <t>Жорий даврда амалга оширилган 020-сатрда кўрсатилганлардан ташқари бошқа харажатлар (0301-сатр - 0334-сатрлар суммаси), шу жумладан:</t>
  </si>
  <si>
    <t>* 010-сатрдаги жами харажатлар таркибига кирадиган асосий харажатларни 0101-0135-сатрларда кўрсатиш лозим. Бунда мазкур сатрларда сотилган товарлар(хизматлар)нинг таннархига киритиладиган харажатлар акс эттирилади.</t>
  </si>
  <si>
    <t>Солиқ ҳисоби маълумотларига кўра харажатлар (зарарлар) *</t>
  </si>
  <si>
    <t>Ўзбекистон Республикаси халқаро шартномаси қоидаларига кўра норезидентнинг бошқарувга оид ва умуммаъмурий харажатлари (03331-сатр ёки 03332-сатр)</t>
  </si>
  <si>
    <t>6. 0333-сатрда норезидентнинг бошқарувга оид ва умуммаъмурий харажатлари Ўзбекистон Республикасидаги доимий муассасанинг чегирмаларига Ўзбекистон Республикаси Солиқ кодексинининг 348-моддасида белгиланган талаблар асосида киритилади.</t>
  </si>
  <si>
    <t>5. 0317-сатрда мустақил равишда тузатиш киритилган хар бир битим бўйича идентификация қилиш имконини берадиган маълумотлар ушбу ҳисоб-китобнинг 12-иловасида акс эттириладиган тушунтиришларда кўрсатилиши лозим.</t>
  </si>
  <si>
    <t xml:space="preserve"> * Мазкур илова солиқ ҳисоботини йил якуни бўйича тақдим этилганда тўлдирилади.</t>
  </si>
  <si>
    <t>Асосий воситаларнинг амортизацияси ҳисоб-китоби маълумотномаси *</t>
  </si>
  <si>
    <t>* Мазкур илова солиқ ҳисоботини йил якуни бўйича тақдим этилганда тўлдирилади.</t>
  </si>
  <si>
    <t>Номоддий активлар амортизация харажатлари ҳисоб-китоби маълумотномаси *</t>
  </si>
  <si>
    <t>йил учун (ўтган солиқ даври учун Ҳисоб-китобнинг 8-иловаси 0601-сатридан)</t>
  </si>
  <si>
    <t>йил учун (ўтган солиқ даври учун Ҳисоб-китобнинг 8-иловаси 0602-сатридан)</t>
  </si>
  <si>
    <t>йил учун (ўтган солиқ даври учун Ҳисоб-китобнинг 8-иловаси 0603-сатридан)</t>
  </si>
  <si>
    <t>йил учун (ўтган солиқ даври учун Ҳисоб-китобнинг 8-иловаси 0604-сатридан)</t>
  </si>
  <si>
    <t>йил учун (ўтган солиқ даври учун Ҳисоб-китобнинг 8-иловаси 0605-сатридан)</t>
  </si>
  <si>
    <r>
      <t xml:space="preserve">Кўрсаткичлар
</t>
    </r>
    <r>
      <rPr>
        <b/>
        <i/>
        <sz val="10"/>
        <rFont val="Arial"/>
        <family val="2"/>
        <charset val="204"/>
      </rPr>
      <t>(ўсиб борувчи тартибда тўлдирилади)</t>
    </r>
  </si>
  <si>
    <t>Жами даромадлар (Ҳисоб-китобнинг 1-иловаси 010-сатри – 110-сатри – 121-сатри - 131-сатри - 150-сатри)</t>
  </si>
  <si>
    <t>Чегириладиган харажатлар (Ҳисоб-китобнинг 2-иловаси 010-сатри 3-устун - 4-устун ёки 2.1-иловаси 010-сатри 3-устун - 4-устун)</t>
  </si>
  <si>
    <t>Имтиёзлар - жами (Ҳисоб-китобнинг 6-иловаси 030-сатри)</t>
  </si>
  <si>
    <t>Ноль ставка қўлланиладиган солиқ тўловчилар фойдаси (Ҳисоб-китобнинг 7-иловаси 030-сатри)</t>
  </si>
  <si>
    <t>Фойда солиғининг бюджетга тўланиши лозим бўлган жами суммаси (080-сатр – 100-сатр – 110-сатр + 140-сатр - Ҳисоб-китобнинг 10-иловаси 090-сатри + Ҳисоб-китобнинг 11-иловаси 060-сатри)</t>
  </si>
  <si>
    <t>Солиқ солинадиган фойдани ўтган солиқ даврларида олинган зарар суммасига камайтирилиши 
(Ҳисоб-китобнинг 8-иловаси 050-сатри)</t>
  </si>
  <si>
    <t>Руководитель</t>
  </si>
  <si>
    <t>Главный бухгалтер</t>
  </si>
  <si>
    <t>Сотилган товарлар (хизматлар) таннархи (Ҳисоб-китобнинг 2.1(а)-иловаси 090-сатри 5, 7-устунлари ёки 2.1(б)-иловаси 090-сатри 4, 6-устунлари)</t>
  </si>
  <si>
    <t>Солиқ ҳисоби* - мутаносиб усули</t>
  </si>
  <si>
    <t>Солиқ ҳисоби* - тўғридан-тўғри ҳисобга олиш усули</t>
  </si>
  <si>
    <r>
      <t>Солиқ ҳисоби</t>
    </r>
    <r>
      <rPr>
        <b/>
        <vertAlign val="superscript"/>
        <sz val="12"/>
        <rFont val="Arial"/>
        <family val="2"/>
        <charset val="204"/>
      </rPr>
      <t>*</t>
    </r>
    <r>
      <rPr>
        <b/>
        <sz val="10"/>
        <rFont val="Arial"/>
        <family val="2"/>
        <charset val="204"/>
      </rPr>
      <t xml:space="preserve"> - мутаносиб усули</t>
    </r>
  </si>
  <si>
    <r>
      <t>Солиқ ҳисоби</t>
    </r>
    <r>
      <rPr>
        <b/>
        <vertAlign val="superscript"/>
        <sz val="12"/>
        <rFont val="Arial"/>
        <family val="2"/>
        <charset val="204"/>
      </rPr>
      <t>*</t>
    </r>
    <r>
      <rPr>
        <b/>
        <sz val="10"/>
        <rFont val="Arial"/>
        <family val="2"/>
        <charset val="204"/>
      </rPr>
      <t xml:space="preserve"> - тўғридан-тўғри ҳисобга олиш усули</t>
    </r>
  </si>
  <si>
    <t>** Ошибка - Мазкур илова солиқ ҳисоботини I - III чораклар бўйича тақдим этилганда тўлдирилади.</t>
  </si>
  <si>
    <t>* Ошибка -  Мазкур илова солиқ ҳисоботини йил якуни бўйича тақдим этилганда тўлдирилади.</t>
  </si>
  <si>
    <t>Ошибка - Солиқ ҳисоби учун товарлар (хизматлар) таннархини аниқлаш бўйича танлаган усул асосида тўлдирилиши лозим.</t>
  </si>
  <si>
    <t>Шундан, хизмат кўрсатиш фаолият учун амалга оширилган чиқимлар</t>
  </si>
  <si>
    <t>Жорий даврда маҳсулот ишлаб чиқариш, ишлар бажариш ва хизмат кўрсатиш учун амалга оширилган жами харажатлар (010-сатр + 020-сатр - 031-сатр)</t>
  </si>
  <si>
    <t>Ишлаб чиқариш, ишлар бажариш ва хизмат кўрсатиш учун амалга оширилган харажатлар бўйича тузатишлар ***</t>
  </si>
  <si>
    <t>Жорий даврда тайёр маҳсулот таннархига ҳисобдан чиқарилган тугалланмаган ишлаб чиқариш қиймати, (030-сатр - 040-сатр - 021-сатр)</t>
  </si>
  <si>
    <t>Бошқа ҳолатлар бўйича кирим қилинган тайёр маҳсулот қиймати</t>
  </si>
  <si>
    <t>07011</t>
  </si>
  <si>
    <t>Бошқа ҳолатлар бўйича чиқим қилинган тайёр маҳсулот қиймати ****</t>
  </si>
  <si>
    <t>07012</t>
  </si>
  <si>
    <t>Бошқа ҳолатлар бўйича кирим қилинган товарлар қиймати</t>
  </si>
  <si>
    <t>07021</t>
  </si>
  <si>
    <t>Бошқа ҳолатлар бўйича чиқим қилинган товарлар қиймати ****</t>
  </si>
  <si>
    <t>07022</t>
  </si>
  <si>
    <t>Сотилган ўзида ишлаб чиқарилган ярим тайёр маҳсулотлар, хом ашё ва материаллар</t>
  </si>
  <si>
    <t>0903</t>
  </si>
  <si>
    <t>3. 031-сатр. Ишлаб чиқариш, ишлар бажариш ва хизмат кўрсатиш учун амалга оширилган харажатлар бўйича тузатишлар қуйидагилар:</t>
  </si>
  <si>
    <t>- Ишлаб чиқариш жараёнида ҳосил бўлган чиқиндиларнинг товар моддий захиралар таркибига қайтарилиши;</t>
  </si>
  <si>
    <t>- Ҳайвонларни ўстириш ва бўрдоқига боқиш бўйича жорий харажатларнинг ҳайвонлар таннархига (ўсиш ва ортган вазннинг) киритилиши;</t>
  </si>
  <si>
    <t>- Ўзида ишлаб чиқарилган ярим тайёр маҳсулотлар операциялараро омборларга кирим қилиниши;</t>
  </si>
  <si>
    <t>- Асосий ишлаб чиқаришда аниқланган тўғирланмайдиган яроқсиз маҳсулотдан йўқотишлар ҳисобдан чиқарилиши;</t>
  </si>
  <si>
    <t>- Асосий ишлаб чиқаришда аниқланган моддий қийматликларнинг камомади;</t>
  </si>
  <si>
    <t>- Табиий офатлар, ёнғин ва шу кабилар натижасида тугалланмаган ишлаб чиқаришдаги йўқотишлар ҳисобдан чиқарилиши;</t>
  </si>
  <si>
    <t>4. 07012-07022-сатрлар. Тайёр маҳсулот ва товарлар таркибидаги ўзгаришлар қуйидагилар:</t>
  </si>
  <si>
    <t>- Тайёр маҳсулот ва товарлар йўқолиши ва бузилишидан камомадлар;</t>
  </si>
  <si>
    <t>- Ички эҳтиёжлар учун тайёр маҳсулотларнинг ишлатилиши, тайёр маҳсулотларнинг цехларга қайта ишловга бериш ва бошқалар учун қайтарилиши;</t>
  </si>
  <si>
    <t>- Тайёр маҳсулот ва товарларнинг текинга берилиши;</t>
  </si>
  <si>
    <t>- Тайёр маҳсулот ва товарлар бошқа ҳолатлар бўйича чиқиб кетиши;</t>
  </si>
  <si>
    <t>5. 031-, 07012- ва 07022-сатрлар бўйича сотилган товарлар (хизматлар) таннархига кирмайдиган айрим турдаги харажатлар 2.1-илованинг 03341-03350-сатрларида акс эттирилади.</t>
  </si>
  <si>
    <t>Бошқа ҳолатлар бўйича чиқим қилинган тайёр маҳсулот қиймати ***</t>
  </si>
  <si>
    <t>Бошқа ҳолатлар бўйича чиқим қилинган товарлар қиймати ***</t>
  </si>
  <si>
    <t xml:space="preserve">Сотилган ўзида ишлаб чиқарилган ярим тайёр маҳсулотлар, хом ашё ва материаллар </t>
  </si>
  <si>
    <t>Қайта сотиш учун сотиб олинган товарлар (0702-сатр + 07021-сатр - 07022-сатр - 0802-сатр)</t>
  </si>
  <si>
    <t>Солиқ даври бошидаги тайёр (сотиш учун мўлжалланган) маҳсулотлар қиймати, шу жумладан:</t>
  </si>
  <si>
    <t>Жорий даврда кирим қилинган тайёр (сотиш учун мўлжалланган) маҳсулотларнинг қиймати, шу жумладан:</t>
  </si>
  <si>
    <t>Жорий даврдаги тайёр (сотиш учун мўлжалланган) маҳсулотларнинг умумий қиймати (0701-сатр + 07011-сатр - 07012-сатр + 0702-сатр + 07021-сатр - 07022-сатр)</t>
  </si>
  <si>
    <t>Давр охирига тайёр (сотиш учун мўлжалланган) маҳсулотлар ** қиймати, шу жумладан:</t>
  </si>
  <si>
    <t>Ўз ишлаб чиқарилган маҳсулотлар ва хизматлар (0701-сатр + 07011-сатр - 07012-сатр - 0801-сатр + 021-сатр)</t>
  </si>
  <si>
    <t>Солиқ даври бошига тугалланмаган ишлаб чиқариш қиймати (0101-0104-сатрлар йиғиндиси), шу жумладан:</t>
  </si>
  <si>
    <t>Солиқ давр охирига тугалланмаган ишлаб чиқариш қиймати ** (0401-0404-сатрлар йиғиндиси), шу жумладан:</t>
  </si>
  <si>
    <t>- Ички эҳтиёжлар учун тайёр маҳсулотларнинг ишлатилиши, тайёр маҳсулотларнинг цехларга қайта ишлов бериш ва бошқалар учун қайтарилиши;</t>
  </si>
  <si>
    <t>Ўзбекистон Республикаси Солиқ кодексининг 312-моддасига асосан илмий тадқиқотларга ва (ёки) тажриба-конструкторлик ишланмаларига доир харажатлар</t>
  </si>
  <si>
    <t>шу жумладан 2-коэффициент қўлланилган ҳолда чегириб ташланадиган харажатлар</t>
  </si>
  <si>
    <t>0136</t>
  </si>
  <si>
    <t>01361</t>
  </si>
  <si>
    <t>01362</t>
  </si>
  <si>
    <t>01363</t>
  </si>
  <si>
    <t>01364</t>
  </si>
  <si>
    <t>01365</t>
  </si>
  <si>
    <t>01366</t>
  </si>
  <si>
    <t>01367</t>
  </si>
  <si>
    <t>01368</t>
  </si>
  <si>
    <t>01369</t>
  </si>
  <si>
    <t>Ушбу илованинг 0101-0134-сатрларида кўрсатилмаган бошқа харажатлар  (01361-сатр - 01369-сатрлар йиғиндиси), шу жумладан:</t>
  </si>
  <si>
    <t>0335</t>
  </si>
  <si>
    <t>03351</t>
  </si>
  <si>
    <t>03352</t>
  </si>
  <si>
    <t>03353</t>
  </si>
  <si>
    <t>03354</t>
  </si>
  <si>
    <t>03355</t>
  </si>
  <si>
    <t>03356</t>
  </si>
  <si>
    <t>03357</t>
  </si>
  <si>
    <t>03358</t>
  </si>
  <si>
    <t>Ушбу илованинг 0301-0333-сатрларида кўрсатилмаган бошқа харажатлар  (03351-сатр - 03358-сатрлар йиғиндиси), шу жумладан:</t>
  </si>
  <si>
    <t>0334</t>
  </si>
  <si>
    <t>072</t>
  </si>
  <si>
    <t>Жойлашган ҳудудга нисбатан пасайтирилган солиқ ставкалари бўйича солиқ солинадиган фойда</t>
  </si>
  <si>
    <t>Пасайтирилган солиқ ставкаси</t>
  </si>
  <si>
    <t>Фойда солиғи суммаси – жами</t>
  </si>
  <si>
    <t>1.061, 071-сатрлар ПФ-287 30.12.2022 й.  2 -банди а-кичик банди бўйича фойда ва пасайтирилган солиқ ставкалари</t>
  </si>
  <si>
    <t>2. 072-сатрда ўзида ишловчиларнинг умумий ўртача йиллик сонининг 3 фоизидан кўпроғи ногиронлиги бўлган шахсларни ташкил этадиган юридик шахслар учун солиқ ставкаси ушбу моддада белгиланган нормадан ортиқча ишга жойлаштирилган ногиронларнинг ҳар бир фоизига солиқ ставкасининг бир фоизи ҳисобидан камайтирилади.</t>
  </si>
  <si>
    <t>3. 110-сатрда доимий муассаса сифатида солиқ органида ҳисобга қўйишга қадар олинган даромадларини ҳисобга олиш, солиқ агенти томонидан солиқ ушлаб қолинганлигини тасдиқловчи ҳужжатлар мавжуд бўлган тақдирда амалга оширилади.</t>
  </si>
  <si>
    <t>4. 090-сатр ўсиб бормайдиган тартибда жорий ҳисобот даврида ҳисобланган бўнак тўловлари кўрсатилади.</t>
  </si>
  <si>
    <t>Умумий куввати 100 кВтгача бўлган кайта тикланувчи энергия манбалари курилмаларидан фойдаланган ҳолда умумий тармокка электр энергиясини реализация қилишдан олинган даромад</t>
  </si>
  <si>
    <t>Умумий куввати 100 кВтгача бўлган кайта тикланувчи энергия манбалари курилмаларидан фойдаланган ҳолда умумий тармокка электр энергиясини реализация қилишдан олинган фойда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</si>
</sst>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0_ ;[Red]\-#,##0.00\ "/>
    <numFmt numFmtId="165" formatCode="#,##0_ ;[Red]\-#,##0\ "/>
    <numFmt numFmtId="166" formatCode="#,##0.0"/>
    <numFmt numFmtId="167" formatCode="0.00_ ;[Red]\-0.00\ "/>
    <numFmt numFmtId="168" formatCode="0.00000"/>
    <numFmt numFmtId="169" formatCode="#,##0.00000000_ ;[Red]\-#,##0.00000000\ "/>
  </numFmts>
  <fonts count="24" x14ac:knownFonts="1">
    <font>
      <sz val="10"/>
      <name val="Arial Cyr"/>
      <charset val="204"/>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0"/>
      <name val="Arial"/>
      <family val="2"/>
      <charset val="204"/>
    </font>
    <font>
      <b/>
      <sz val="10"/>
      <name val="Arial"/>
      <family val="2"/>
      <charset val="204"/>
    </font>
    <font>
      <sz val="10"/>
      <color indexed="9"/>
      <name val="Arial"/>
      <family val="2"/>
      <charset val="204"/>
    </font>
    <font>
      <sz val="8"/>
      <name val="Arial"/>
      <family val="2"/>
      <charset val="204"/>
    </font>
    <font>
      <sz val="11"/>
      <color indexed="8"/>
      <name val="Calibri"/>
      <family val="2"/>
      <charset val="204"/>
    </font>
    <font>
      <b/>
      <sz val="11"/>
      <name val="Arial"/>
      <family val="2"/>
      <charset val="204"/>
    </font>
    <font>
      <sz val="10"/>
      <color rgb="FFFF0000"/>
      <name val="Arial"/>
      <family val="2"/>
      <charset val="204"/>
    </font>
    <font>
      <sz val="11"/>
      <color indexed="8"/>
      <name val="Calibri"/>
      <family val="2"/>
    </font>
    <font>
      <b/>
      <sz val="11"/>
      <color theme="0"/>
      <name val="Calibri"/>
      <family val="2"/>
      <scheme val="minor"/>
    </font>
    <font>
      <i/>
      <sz val="10"/>
      <name val="Arial"/>
      <family val="2"/>
      <charset val="204"/>
    </font>
    <font>
      <b/>
      <i/>
      <sz val="10"/>
      <name val="Arial"/>
      <family val="2"/>
      <charset val="204"/>
    </font>
    <font>
      <sz val="10"/>
      <name val="Arial Cyr"/>
      <charset val="204"/>
    </font>
    <font>
      <sz val="11"/>
      <color theme="1"/>
      <name val="Calibri"/>
      <family val="2"/>
      <scheme val="minor"/>
    </font>
    <font>
      <b/>
      <sz val="12"/>
      <name val="Arial"/>
      <family val="2"/>
      <charset val="204"/>
    </font>
    <font>
      <b/>
      <vertAlign val="superscript"/>
      <sz val="12"/>
      <name val="Arial"/>
      <family val="2"/>
      <charset val="204"/>
    </font>
    <font>
      <sz val="10"/>
      <color theme="1"/>
      <name val="Arial"/>
      <family val="2"/>
      <charset val="204"/>
    </font>
    <font>
      <b/>
      <sz val="10"/>
      <color theme="1"/>
      <name val="Arial"/>
      <family val="2"/>
      <charset val="204"/>
    </font>
    <font>
      <b/>
      <u/>
      <sz val="9"/>
      <name val="Arial"/>
      <family val="2"/>
      <charset val="204"/>
    </font>
    <font>
      <b/>
      <sz val="12"/>
      <color rgb="FFFF0000"/>
      <name val="Arial"/>
      <family val="2"/>
      <charset val="204"/>
    </font>
  </fonts>
  <fills count="12">
    <fill>
      <patternFill patternType="none"/>
    </fill>
    <fill>
      <patternFill patternType="gray125"/>
    </fill>
    <fill>
      <patternFill patternType="solid">
        <fgColor indexed="41"/>
        <bgColor indexed="64"/>
      </patternFill>
    </fill>
    <fill>
      <patternFill patternType="solid">
        <fgColor indexed="43"/>
        <bgColor indexed="64"/>
      </patternFill>
    </fill>
    <fill>
      <patternFill patternType="solid">
        <fgColor rgb="FFA5A5A5"/>
      </patternFill>
    </fill>
    <fill>
      <patternFill patternType="solid">
        <fgColor rgb="FFFFFFCC"/>
      </patternFill>
    </fill>
    <fill>
      <patternFill patternType="solid">
        <fgColor indexed="27"/>
        <bgColor indexed="64"/>
      </patternFill>
    </fill>
    <fill>
      <patternFill patternType="solid">
        <fgColor indexed="42"/>
        <bgColor indexed="64"/>
      </patternFill>
    </fill>
    <fill>
      <patternFill patternType="solid">
        <fgColor theme="0"/>
        <bgColor indexed="64"/>
      </patternFill>
    </fill>
    <fill>
      <patternFill patternType="solid">
        <fgColor rgb="FFFFFF99"/>
        <bgColor indexed="64"/>
      </patternFill>
    </fill>
    <fill>
      <patternFill patternType="solid">
        <fgColor rgb="FFCCFFFF"/>
        <bgColor indexed="64"/>
      </patternFill>
    </fill>
    <fill>
      <patternFill patternType="solid">
        <fgColor rgb="FFFFFFFF"/>
        <bgColor indexed="64"/>
      </patternFill>
    </fill>
  </fills>
  <borders count="48">
    <border>
      <left/>
      <right/>
      <top/>
      <bottom/>
      <diagonal/>
    </border>
    <border>
      <left/>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bottom style="hair">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n">
        <color indexed="64"/>
      </bottom>
      <diagonal/>
    </border>
    <border>
      <left style="hair">
        <color indexed="64"/>
      </left>
      <right style="hair">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s>
  <cellStyleXfs count="17">
    <xf numFmtId="0" fontId="0" fillId="0" borderId="0"/>
    <xf numFmtId="0" fontId="9" fillId="0" borderId="0"/>
    <xf numFmtId="0" fontId="12" fillId="5" borderId="7" applyNumberFormat="0" applyFont="0" applyAlignment="0" applyProtection="0"/>
    <xf numFmtId="0" fontId="13" fillId="4" borderId="6" applyNumberFormat="0" applyAlignment="0" applyProtection="0"/>
    <xf numFmtId="0" fontId="9" fillId="0" borderId="0"/>
    <xf numFmtId="0" fontId="12" fillId="0" borderId="0"/>
    <xf numFmtId="0" fontId="16" fillId="0" borderId="0"/>
    <xf numFmtId="0" fontId="4" fillId="0" borderId="0"/>
    <xf numFmtId="0" fontId="17" fillId="0" borderId="0"/>
    <xf numFmtId="0" fontId="3" fillId="0" borderId="0"/>
    <xf numFmtId="0" fontId="2" fillId="0" borderId="0"/>
    <xf numFmtId="0" fontId="2" fillId="0" borderId="0"/>
    <xf numFmtId="43" fontId="16" fillId="0" borderId="0" applyFont="0" applyFill="0" applyBorder="0" applyAlignment="0" applyProtection="0"/>
    <xf numFmtId="0" fontId="1" fillId="0" borderId="0"/>
    <xf numFmtId="0" fontId="1" fillId="0" borderId="0"/>
    <xf numFmtId="0" fontId="5" fillId="0" borderId="0"/>
    <xf numFmtId="0" fontId="5" fillId="0" borderId="0"/>
  </cellStyleXfs>
  <cellXfs count="366">
    <xf numFmtId="0" fontId="0" fillId="0" borderId="0" xfId="0"/>
    <xf numFmtId="0" fontId="5" fillId="0" borderId="0" xfId="0" applyFont="1" applyAlignment="1">
      <alignment vertical="center"/>
    </xf>
    <xf numFmtId="0" fontId="5" fillId="0" borderId="0" xfId="0" applyFont="1" applyAlignment="1">
      <alignment vertical="center" wrapText="1"/>
    </xf>
    <xf numFmtId="164" fontId="5" fillId="3" borderId="2" xfId="0" applyNumberFormat="1" applyFont="1" applyFill="1" applyBorder="1" applyAlignment="1">
      <alignment horizontal="right" vertical="center" wrapText="1"/>
    </xf>
    <xf numFmtId="0" fontId="5" fillId="0" borderId="0" xfId="0" applyFont="1"/>
    <xf numFmtId="0" fontId="11" fillId="0" borderId="0" xfId="0" applyFont="1" applyAlignment="1">
      <alignment vertical="center"/>
    </xf>
    <xf numFmtId="0" fontId="7" fillId="0" borderId="0" xfId="0" applyFont="1"/>
    <xf numFmtId="164" fontId="5" fillId="6" borderId="2" xfId="0" applyNumberFormat="1" applyFont="1" applyFill="1" applyBorder="1" applyAlignment="1">
      <alignment horizontal="right" vertical="center" wrapText="1"/>
    </xf>
    <xf numFmtId="0" fontId="11" fillId="0" borderId="0" xfId="0" applyFont="1"/>
    <xf numFmtId="164" fontId="5" fillId="7" borderId="2" xfId="0" applyNumberFormat="1" applyFont="1" applyFill="1" applyBorder="1" applyAlignment="1">
      <alignment horizontal="right" vertical="center" wrapText="1"/>
    </xf>
    <xf numFmtId="49" fontId="5" fillId="0" borderId="2" xfId="0" quotePrefix="1" applyNumberFormat="1" applyFont="1" applyBorder="1" applyAlignment="1">
      <alignment horizontal="center" vertical="center" wrapText="1"/>
    </xf>
    <xf numFmtId="0" fontId="5" fillId="3" borderId="1" xfId="0" applyFont="1" applyFill="1" applyBorder="1" applyAlignment="1">
      <alignment horizontal="left" vertical="center"/>
    </xf>
    <xf numFmtId="49" fontId="5" fillId="0" borderId="3" xfId="0" applyNumberFormat="1" applyFont="1" applyBorder="1" applyAlignment="1">
      <alignment horizontal="center" vertical="center" wrapText="1"/>
    </xf>
    <xf numFmtId="164" fontId="5" fillId="3" borderId="9" xfId="0" applyNumberFormat="1" applyFont="1" applyFill="1" applyBorder="1" applyAlignment="1">
      <alignment horizontal="right" vertical="center" wrapText="1"/>
    </xf>
    <xf numFmtId="164" fontId="11" fillId="0" borderId="0" xfId="0" applyNumberFormat="1" applyFont="1" applyAlignment="1">
      <alignment vertical="center"/>
    </xf>
    <xf numFmtId="0" fontId="5" fillId="3" borderId="8" xfId="0" applyFont="1" applyFill="1" applyBorder="1" applyAlignment="1">
      <alignment horizontal="left"/>
    </xf>
    <xf numFmtId="4" fontId="5" fillId="0" borderId="0" xfId="0" applyNumberFormat="1" applyFont="1" applyAlignment="1">
      <alignment vertical="center"/>
    </xf>
    <xf numFmtId="164" fontId="11" fillId="6" borderId="2" xfId="0" applyNumberFormat="1" applyFont="1" applyFill="1" applyBorder="1" applyAlignment="1">
      <alignment horizontal="right" vertical="center" wrapText="1"/>
    </xf>
    <xf numFmtId="0" fontId="11" fillId="0" borderId="0" xfId="0" applyFont="1" applyAlignment="1">
      <alignment horizontal="left" vertical="center"/>
    </xf>
    <xf numFmtId="49" fontId="5" fillId="0" borderId="3" xfId="0" quotePrefix="1" applyNumberFormat="1" applyFont="1" applyBorder="1" applyAlignment="1">
      <alignment horizontal="center" vertical="center" wrapText="1"/>
    </xf>
    <xf numFmtId="0" fontId="5" fillId="8" borderId="0" xfId="0" applyFont="1" applyFill="1" applyAlignment="1">
      <alignment vertical="center"/>
    </xf>
    <xf numFmtId="0" fontId="11" fillId="0" borderId="0" xfId="0" applyFont="1" applyAlignment="1">
      <alignment horizontal="center" vertical="center"/>
    </xf>
    <xf numFmtId="164" fontId="5" fillId="7" borderId="9" xfId="0" applyNumberFormat="1" applyFont="1" applyFill="1" applyBorder="1" applyAlignment="1">
      <alignment horizontal="right" vertical="center" wrapText="1"/>
    </xf>
    <xf numFmtId="164" fontId="5" fillId="3" borderId="12" xfId="0" applyNumberFormat="1" applyFont="1" applyFill="1" applyBorder="1" applyAlignment="1">
      <alignment horizontal="right" vertical="center" wrapText="1"/>
    </xf>
    <xf numFmtId="164" fontId="5" fillId="2" borderId="12" xfId="0" applyNumberFormat="1" applyFont="1" applyFill="1" applyBorder="1" applyAlignment="1">
      <alignment horizontal="right" vertical="center" wrapText="1"/>
    </xf>
    <xf numFmtId="49" fontId="5" fillId="0" borderId="14" xfId="0" quotePrefix="1" applyNumberFormat="1" applyFont="1" applyBorder="1" applyAlignment="1">
      <alignment horizontal="center" vertical="center" wrapText="1"/>
    </xf>
    <xf numFmtId="164" fontId="5" fillId="3" borderId="15" xfId="0" applyNumberFormat="1" applyFont="1" applyFill="1" applyBorder="1" applyAlignment="1">
      <alignment horizontal="right" vertical="center" wrapText="1"/>
    </xf>
    <xf numFmtId="164" fontId="5" fillId="2" borderId="15" xfId="0" applyNumberFormat="1" applyFont="1" applyFill="1" applyBorder="1" applyAlignment="1">
      <alignment horizontal="right" vertical="center" wrapText="1"/>
    </xf>
    <xf numFmtId="4" fontId="11" fillId="0" borderId="0" xfId="0" applyNumberFormat="1" applyFont="1" applyAlignment="1">
      <alignment vertical="center"/>
    </xf>
    <xf numFmtId="164" fontId="5" fillId="3" borderId="11" xfId="0" applyNumberFormat="1" applyFont="1" applyFill="1" applyBorder="1" applyAlignment="1">
      <alignment horizontal="right" vertical="center" wrapText="1"/>
    </xf>
    <xf numFmtId="49" fontId="5" fillId="0" borderId="9" xfId="0" quotePrefix="1" applyNumberFormat="1" applyFont="1" applyBorder="1" applyAlignment="1">
      <alignment horizontal="center" vertical="center" wrapText="1"/>
    </xf>
    <xf numFmtId="4" fontId="5" fillId="0" borderId="11" xfId="0" applyNumberFormat="1" applyFont="1" applyBorder="1" applyAlignment="1">
      <alignment horizontal="center" vertical="center" wrapText="1"/>
    </xf>
    <xf numFmtId="49" fontId="5" fillId="0" borderId="5" xfId="0" applyNumberFormat="1" applyFont="1" applyBorder="1" applyAlignment="1">
      <alignment horizontal="center" vertical="center" wrapText="1"/>
    </xf>
    <xf numFmtId="166" fontId="5" fillId="0" borderId="12" xfId="0" applyNumberFormat="1" applyFont="1" applyBorder="1" applyAlignment="1">
      <alignment horizontal="center" vertical="center" wrapText="1"/>
    </xf>
    <xf numFmtId="0" fontId="14" fillId="3" borderId="23" xfId="0" applyFont="1" applyFill="1" applyBorder="1" applyAlignment="1">
      <alignment horizontal="left" vertical="center" wrapText="1"/>
    </xf>
    <xf numFmtId="0" fontId="14" fillId="3" borderId="24" xfId="0" applyFont="1" applyFill="1" applyBorder="1" applyAlignment="1">
      <alignment horizontal="left" vertical="center" wrapText="1"/>
    </xf>
    <xf numFmtId="164" fontId="5" fillId="7" borderId="14" xfId="0" applyNumberFormat="1" applyFont="1" applyFill="1" applyBorder="1" applyAlignment="1">
      <alignment horizontal="right" vertical="center" wrapText="1"/>
    </xf>
    <xf numFmtId="49" fontId="5" fillId="0" borderId="14" xfId="0" applyNumberFormat="1" applyFont="1" applyBorder="1" applyAlignment="1">
      <alignment horizontal="center" vertical="center" wrapText="1"/>
    </xf>
    <xf numFmtId="164" fontId="5" fillId="2" borderId="10" xfId="0" applyNumberFormat="1" applyFont="1" applyFill="1" applyBorder="1" applyAlignment="1">
      <alignment horizontal="left" vertical="center" wrapText="1"/>
    </xf>
    <xf numFmtId="164" fontId="5" fillId="6" borderId="11" xfId="0" applyNumberFormat="1" applyFont="1" applyFill="1" applyBorder="1" applyAlignment="1">
      <alignment horizontal="right" vertical="center" wrapText="1"/>
    </xf>
    <xf numFmtId="164" fontId="5" fillId="6" borderId="12" xfId="0" applyNumberFormat="1" applyFont="1" applyFill="1" applyBorder="1" applyAlignment="1">
      <alignment horizontal="right" vertical="center" wrapText="1"/>
    </xf>
    <xf numFmtId="0" fontId="5" fillId="0" borderId="2" xfId="0" applyFont="1" applyBorder="1" applyAlignment="1">
      <alignment horizontal="center" vertical="top"/>
    </xf>
    <xf numFmtId="0" fontId="5" fillId="3" borderId="8" xfId="0" applyFont="1" applyFill="1" applyBorder="1" applyAlignment="1">
      <alignment vertical="center"/>
    </xf>
    <xf numFmtId="4" fontId="5" fillId="0" borderId="0" xfId="0" applyNumberFormat="1" applyFont="1"/>
    <xf numFmtId="165" fontId="5" fillId="2" borderId="8" xfId="0" applyNumberFormat="1" applyFont="1" applyFill="1" applyBorder="1" applyAlignment="1">
      <alignment horizontal="center" vertical="center"/>
    </xf>
    <xf numFmtId="164" fontId="5" fillId="2" borderId="8" xfId="0" applyNumberFormat="1" applyFont="1" applyFill="1" applyBorder="1" applyAlignment="1">
      <alignment horizontal="center" vertical="center"/>
    </xf>
    <xf numFmtId="0" fontId="5" fillId="3" borderId="1" xfId="0" applyFont="1" applyFill="1" applyBorder="1" applyAlignment="1">
      <alignment vertical="center"/>
    </xf>
    <xf numFmtId="0" fontId="6" fillId="0" borderId="20" xfId="0" applyFont="1" applyBorder="1" applyAlignment="1">
      <alignment horizontal="center" wrapText="1"/>
    </xf>
    <xf numFmtId="0" fontId="5" fillId="0" borderId="17" xfId="0" applyFont="1" applyBorder="1" applyAlignment="1">
      <alignment vertical="center"/>
    </xf>
    <xf numFmtId="0" fontId="5" fillId="0" borderId="16" xfId="0" applyFont="1" applyBorder="1" applyAlignment="1">
      <alignment vertical="center"/>
    </xf>
    <xf numFmtId="0" fontId="5" fillId="0" borderId="18" xfId="0" applyFont="1" applyBorder="1" applyAlignment="1">
      <alignment vertical="center"/>
    </xf>
    <xf numFmtId="0" fontId="5" fillId="0" borderId="8" xfId="0" applyFont="1" applyBorder="1" applyAlignment="1">
      <alignment vertical="center"/>
    </xf>
    <xf numFmtId="0" fontId="5" fillId="0" borderId="19" xfId="0" applyFont="1" applyBorder="1" applyAlignment="1">
      <alignment vertical="center"/>
    </xf>
    <xf numFmtId="167" fontId="5" fillId="0" borderId="0" xfId="0" applyNumberFormat="1" applyFont="1"/>
    <xf numFmtId="49" fontId="5" fillId="0" borderId="34" xfId="0" quotePrefix="1" applyNumberFormat="1" applyFont="1" applyBorder="1" applyAlignment="1">
      <alignment horizontal="center" vertical="center" wrapText="1"/>
    </xf>
    <xf numFmtId="164" fontId="5" fillId="3" borderId="34" xfId="0" applyNumberFormat="1" applyFont="1" applyFill="1" applyBorder="1" applyAlignment="1">
      <alignment horizontal="right" vertical="center" wrapText="1"/>
    </xf>
    <xf numFmtId="164" fontId="5" fillId="3" borderId="35" xfId="0" applyNumberFormat="1" applyFont="1" applyFill="1" applyBorder="1" applyAlignment="1">
      <alignment horizontal="right" vertical="center" wrapText="1"/>
    </xf>
    <xf numFmtId="49" fontId="5" fillId="0" borderId="2" xfId="0" applyNumberFormat="1" applyFont="1" applyBorder="1" applyAlignment="1">
      <alignment horizontal="center" vertical="center" wrapText="1"/>
    </xf>
    <xf numFmtId="164" fontId="5" fillId="2" borderId="10" xfId="0" applyNumberFormat="1" applyFont="1" applyFill="1" applyBorder="1" applyAlignment="1">
      <alignment horizontal="right" vertical="center" wrapText="1"/>
    </xf>
    <xf numFmtId="164" fontId="5" fillId="2" borderId="13" xfId="0" applyNumberFormat="1" applyFont="1" applyFill="1" applyBorder="1" applyAlignment="1">
      <alignment horizontal="right" vertical="center" wrapText="1"/>
    </xf>
    <xf numFmtId="0" fontId="5" fillId="8" borderId="10" xfId="0" applyFont="1" applyFill="1" applyBorder="1" applyAlignment="1">
      <alignment horizontal="left" vertical="center" wrapText="1"/>
    </xf>
    <xf numFmtId="0" fontId="14" fillId="8" borderId="10" xfId="0" applyFont="1" applyFill="1" applyBorder="1" applyAlignment="1">
      <alignment horizontal="left" vertical="center" wrapText="1"/>
    </xf>
    <xf numFmtId="0" fontId="14" fillId="0" borderId="10" xfId="0" applyFont="1" applyBorder="1" applyAlignment="1">
      <alignment horizontal="left" vertical="center" wrapText="1"/>
    </xf>
    <xf numFmtId="49" fontId="5" fillId="0" borderId="9" xfId="0" applyNumberFormat="1" applyFont="1" applyBorder="1" applyAlignment="1">
      <alignment horizontal="center" vertical="center" wrapText="1"/>
    </xf>
    <xf numFmtId="164" fontId="5" fillId="6" borderId="14" xfId="0" applyNumberFormat="1" applyFont="1" applyFill="1" applyBorder="1" applyAlignment="1">
      <alignment horizontal="right" vertical="center" wrapText="1"/>
    </xf>
    <xf numFmtId="164" fontId="5" fillId="3" borderId="35" xfId="0" applyNumberFormat="1" applyFont="1" applyFill="1" applyBorder="1" applyAlignment="1" applyProtection="1">
      <alignment horizontal="right" vertical="center"/>
      <protection locked="0"/>
    </xf>
    <xf numFmtId="49" fontId="5" fillId="0" borderId="2" xfId="0" applyNumberFormat="1" applyFont="1" applyBorder="1" applyAlignment="1" applyProtection="1">
      <alignment horizontal="center" vertical="center" wrapText="1"/>
      <protection locked="0"/>
    </xf>
    <xf numFmtId="164" fontId="5" fillId="2" borderId="12" xfId="0" applyNumberFormat="1" applyFont="1" applyFill="1" applyBorder="1" applyAlignment="1" applyProtection="1">
      <alignment horizontal="right" vertical="center"/>
      <protection locked="0"/>
    </xf>
    <xf numFmtId="164" fontId="5" fillId="3" borderId="12" xfId="0" applyNumberFormat="1" applyFont="1" applyFill="1" applyBorder="1" applyAlignment="1" applyProtection="1">
      <alignment horizontal="right" vertical="center"/>
      <protection locked="0"/>
    </xf>
    <xf numFmtId="0" fontId="11" fillId="0" borderId="0" xfId="0" applyFont="1" applyAlignment="1">
      <alignment horizontal="right" vertical="center"/>
    </xf>
    <xf numFmtId="0" fontId="5" fillId="0" borderId="21" xfId="0" applyFont="1" applyBorder="1" applyAlignment="1">
      <alignment horizontal="left" vertical="center" wrapText="1"/>
    </xf>
    <xf numFmtId="0" fontId="5" fillId="0" borderId="0" xfId="1" applyFont="1"/>
    <xf numFmtId="0" fontId="5" fillId="0" borderId="0" xfId="0" applyFont="1" applyAlignment="1">
      <alignment horizontal="right" vertical="top"/>
    </xf>
    <xf numFmtId="0" fontId="5" fillId="0" borderId="0" xfId="0" applyFont="1" applyAlignment="1">
      <alignment horizontal="center" vertical="top"/>
    </xf>
    <xf numFmtId="0" fontId="5" fillId="0" borderId="0" xfId="0" applyFont="1" applyAlignment="1">
      <alignment horizontal="left" vertical="top"/>
    </xf>
    <xf numFmtId="1" fontId="5" fillId="0" borderId="0" xfId="0" applyNumberFormat="1" applyFont="1" applyAlignment="1">
      <alignment vertical="center"/>
    </xf>
    <xf numFmtId="2" fontId="5" fillId="0" borderId="0" xfId="0" applyNumberFormat="1" applyFont="1" applyAlignment="1">
      <alignment vertical="center"/>
    </xf>
    <xf numFmtId="164" fontId="5" fillId="0" borderId="0" xfId="0" applyNumberFormat="1" applyFont="1" applyAlignment="1">
      <alignment horizontal="right" vertical="center"/>
    </xf>
    <xf numFmtId="0" fontId="8" fillId="0" borderId="0" xfId="0" applyFont="1" applyAlignment="1">
      <alignment horizontal="left" vertical="top" wrapText="1"/>
    </xf>
    <xf numFmtId="0" fontId="8" fillId="0" borderId="0" xfId="0" applyFont="1" applyAlignment="1">
      <alignment horizontal="center" vertical="center"/>
    </xf>
    <xf numFmtId="0" fontId="8" fillId="0" borderId="0" xfId="0" applyFont="1" applyAlignment="1">
      <alignment vertical="center"/>
    </xf>
    <xf numFmtId="164" fontId="5" fillId="0" borderId="0" xfId="0" applyNumberFormat="1" applyFont="1" applyAlignment="1">
      <alignment horizontal="right" vertical="center" wrapText="1"/>
    </xf>
    <xf numFmtId="49" fontId="5" fillId="0" borderId="0" xfId="0" applyNumberFormat="1" applyFont="1" applyAlignment="1">
      <alignment horizontal="center" vertical="center" wrapText="1"/>
    </xf>
    <xf numFmtId="49" fontId="5" fillId="0" borderId="0" xfId="0" quotePrefix="1" applyNumberFormat="1" applyFont="1" applyAlignment="1">
      <alignment horizontal="center" vertical="center" wrapText="1"/>
    </xf>
    <xf numFmtId="164" fontId="5" fillId="6" borderId="34" xfId="0" applyNumberFormat="1" applyFont="1" applyFill="1" applyBorder="1" applyAlignment="1">
      <alignment horizontal="right" vertical="center" wrapText="1"/>
    </xf>
    <xf numFmtId="164" fontId="5" fillId="6" borderId="35" xfId="0" applyNumberFormat="1" applyFont="1" applyFill="1" applyBorder="1" applyAlignment="1">
      <alignment horizontal="right" vertical="center" wrapText="1"/>
    </xf>
    <xf numFmtId="49" fontId="5" fillId="0" borderId="36" xfId="0" quotePrefix="1" applyNumberFormat="1" applyFont="1" applyBorder="1" applyAlignment="1">
      <alignment horizontal="center" vertical="center" wrapText="1"/>
    </xf>
    <xf numFmtId="164" fontId="5" fillId="6" borderId="15" xfId="0" applyNumberFormat="1" applyFont="1" applyFill="1" applyBorder="1" applyAlignment="1">
      <alignment horizontal="right" vertical="center" wrapText="1"/>
    </xf>
    <xf numFmtId="49" fontId="5" fillId="8" borderId="2" xfId="0" applyNumberFormat="1" applyFont="1" applyFill="1" applyBorder="1" applyAlignment="1">
      <alignment horizontal="center" vertical="center" wrapText="1"/>
    </xf>
    <xf numFmtId="0" fontId="5" fillId="0" borderId="0" xfId="0" applyFont="1" applyAlignment="1">
      <alignment horizontal="left" vertical="center" wrapText="1"/>
    </xf>
    <xf numFmtId="0" fontId="5" fillId="0" borderId="0" xfId="0" applyFont="1" applyAlignment="1">
      <alignment horizontal="center" vertical="center"/>
    </xf>
    <xf numFmtId="0" fontId="5" fillId="0" borderId="0" xfId="0" applyFont="1" applyAlignment="1">
      <alignment horizontal="right" vertical="center"/>
    </xf>
    <xf numFmtId="0" fontId="5" fillId="3" borderId="8" xfId="0" applyFont="1" applyFill="1" applyBorder="1" applyAlignment="1">
      <alignment horizontal="center" vertical="center"/>
    </xf>
    <xf numFmtId="0" fontId="5" fillId="0" borderId="0" xfId="0" applyFont="1" applyAlignment="1">
      <alignment horizontal="center" vertical="center" wrapText="1"/>
    </xf>
    <xf numFmtId="0" fontId="8" fillId="0" borderId="0" xfId="0" applyFont="1" applyAlignment="1">
      <alignment horizontal="center" vertical="center" wrapText="1"/>
    </xf>
    <xf numFmtId="0" fontId="5" fillId="0" borderId="0" xfId="0" applyFont="1" applyAlignment="1">
      <alignment horizontal="center"/>
    </xf>
    <xf numFmtId="0" fontId="5" fillId="0" borderId="0" xfId="0" applyFont="1" applyAlignment="1">
      <alignment horizontal="left" vertical="top" wrapText="1"/>
    </xf>
    <xf numFmtId="0" fontId="5" fillId="3" borderId="1" xfId="0" applyFont="1" applyFill="1" applyBorder="1" applyAlignment="1">
      <alignment horizontal="left"/>
    </xf>
    <xf numFmtId="0" fontId="5" fillId="0" borderId="0" xfId="0" applyFont="1" applyAlignment="1">
      <alignment horizontal="left" vertical="center"/>
    </xf>
    <xf numFmtId="0" fontId="5" fillId="0" borderId="10" xfId="0" applyFont="1" applyBorder="1" applyAlignment="1">
      <alignment horizontal="left" vertical="center" wrapText="1"/>
    </xf>
    <xf numFmtId="0" fontId="5" fillId="0" borderId="0" xfId="0" applyFont="1" applyAlignment="1">
      <alignment horizontal="right"/>
    </xf>
    <xf numFmtId="0" fontId="6" fillId="0" borderId="20" xfId="0" applyFont="1" applyBorder="1" applyAlignment="1">
      <alignment horizontal="center" vertical="center" wrapText="1"/>
    </xf>
    <xf numFmtId="0" fontId="6" fillId="0" borderId="20" xfId="0" applyFont="1" applyBorder="1" applyAlignment="1">
      <alignment horizontal="center" vertical="top" wrapText="1"/>
    </xf>
    <xf numFmtId="0" fontId="6" fillId="0" borderId="21" xfId="0" applyFont="1" applyBorder="1" applyAlignment="1">
      <alignment horizontal="left" vertical="center" wrapText="1"/>
    </xf>
    <xf numFmtId="0" fontId="5" fillId="0" borderId="0" xfId="0" applyFont="1" applyAlignment="1">
      <alignment horizontal="left"/>
    </xf>
    <xf numFmtId="0" fontId="5" fillId="0" borderId="13" xfId="0" applyFont="1" applyBorder="1" applyAlignment="1">
      <alignment horizontal="left" vertical="center" wrapText="1"/>
    </xf>
    <xf numFmtId="0" fontId="5" fillId="0" borderId="33" xfId="0" applyFont="1" applyBorder="1" applyAlignment="1">
      <alignment horizontal="left" vertical="center" wrapText="1"/>
    </xf>
    <xf numFmtId="0" fontId="5" fillId="3" borderId="1" xfId="0" applyFont="1" applyFill="1" applyBorder="1" applyAlignment="1">
      <alignment horizontal="center" vertical="center"/>
    </xf>
    <xf numFmtId="0" fontId="5" fillId="0" borderId="20" xfId="0" applyFont="1" applyBorder="1" applyAlignment="1">
      <alignment horizontal="center" vertical="center" wrapText="1"/>
    </xf>
    <xf numFmtId="0" fontId="5" fillId="0" borderId="20" xfId="0" applyFont="1" applyBorder="1" applyAlignment="1">
      <alignment horizontal="center" vertical="center"/>
    </xf>
    <xf numFmtId="0" fontId="14" fillId="0" borderId="0" xfId="0" applyFont="1" applyAlignment="1">
      <alignment vertical="center"/>
    </xf>
    <xf numFmtId="43" fontId="5" fillId="0" borderId="0" xfId="12" applyFont="1"/>
    <xf numFmtId="0" fontId="6" fillId="0" borderId="10" xfId="0" applyFont="1" applyBorder="1" applyAlignment="1">
      <alignment horizontal="left" vertical="center" wrapText="1"/>
    </xf>
    <xf numFmtId="49" fontId="14" fillId="8" borderId="2" xfId="0" applyNumberFormat="1" applyFont="1" applyFill="1" applyBorder="1" applyAlignment="1">
      <alignment horizontal="center" vertical="center" wrapText="1"/>
    </xf>
    <xf numFmtId="0" fontId="6" fillId="0" borderId="29" xfId="0" applyFont="1" applyBorder="1" applyAlignment="1">
      <alignment horizontal="center" vertical="center" wrapText="1"/>
    </xf>
    <xf numFmtId="0" fontId="5" fillId="0" borderId="31" xfId="0" applyFont="1" applyBorder="1"/>
    <xf numFmtId="49" fontId="5" fillId="0" borderId="34" xfId="0" quotePrefix="1" applyNumberFormat="1" applyFont="1" applyBorder="1" applyAlignment="1">
      <alignment horizontal="center" wrapText="1"/>
    </xf>
    <xf numFmtId="0" fontId="5" fillId="0" borderId="16" xfId="0" applyFont="1" applyBorder="1"/>
    <xf numFmtId="49" fontId="5" fillId="0" borderId="2" xfId="0" applyNumberFormat="1" applyFont="1" applyBorder="1" applyAlignment="1">
      <alignment horizontal="left" wrapText="1" indent="1"/>
    </xf>
    <xf numFmtId="164" fontId="5" fillId="0" borderId="2" xfId="0" applyNumberFormat="1" applyFont="1" applyBorder="1" applyAlignment="1">
      <alignment horizontal="right" vertical="center" wrapText="1" indent="1"/>
    </xf>
    <xf numFmtId="164" fontId="5" fillId="0" borderId="12" xfId="0" applyNumberFormat="1" applyFont="1" applyBorder="1" applyAlignment="1">
      <alignment horizontal="right" vertical="center" wrapText="1" indent="1"/>
    </xf>
    <xf numFmtId="0" fontId="5" fillId="0" borderId="10" xfId="0" applyFont="1" applyBorder="1"/>
    <xf numFmtId="1" fontId="5" fillId="6" borderId="2" xfId="0" applyNumberFormat="1" applyFont="1" applyFill="1" applyBorder="1"/>
    <xf numFmtId="0" fontId="14" fillId="0" borderId="2" xfId="0" applyFont="1" applyBorder="1" applyAlignment="1">
      <alignment horizontal="left" vertical="top" wrapText="1" indent="1"/>
    </xf>
    <xf numFmtId="49" fontId="5" fillId="0" borderId="2" xfId="0" quotePrefix="1" applyNumberFormat="1" applyFont="1" applyBorder="1" applyAlignment="1">
      <alignment horizontal="center" wrapText="1"/>
    </xf>
    <xf numFmtId="164" fontId="5" fillId="8" borderId="12" xfId="0" applyNumberFormat="1" applyFont="1" applyFill="1" applyBorder="1" applyAlignment="1">
      <alignment horizontal="center" vertical="center" wrapText="1"/>
    </xf>
    <xf numFmtId="49" fontId="5" fillId="0" borderId="3" xfId="0" quotePrefix="1" applyNumberFormat="1" applyFont="1" applyBorder="1" applyAlignment="1">
      <alignment horizontal="center" wrapText="1"/>
    </xf>
    <xf numFmtId="164" fontId="5" fillId="2" borderId="9" xfId="0" applyNumberFormat="1" applyFont="1" applyFill="1" applyBorder="1" applyAlignment="1">
      <alignment horizontal="right" vertical="center" wrapText="1" indent="1"/>
    </xf>
    <xf numFmtId="164" fontId="5" fillId="2" borderId="2" xfId="0" applyNumberFormat="1" applyFont="1" applyFill="1" applyBorder="1" applyAlignment="1">
      <alignment horizontal="right" vertical="center" wrapText="1"/>
    </xf>
    <xf numFmtId="0" fontId="5" fillId="0" borderId="18" xfId="0" applyFont="1" applyBorder="1"/>
    <xf numFmtId="0" fontId="5" fillId="0" borderId="13" xfId="0" applyFont="1" applyBorder="1"/>
    <xf numFmtId="1" fontId="5" fillId="6" borderId="14" xfId="0" applyNumberFormat="1" applyFont="1" applyFill="1" applyBorder="1"/>
    <xf numFmtId="0" fontId="14" fillId="0" borderId="14" xfId="0" applyFont="1" applyBorder="1" applyAlignment="1">
      <alignment horizontal="left" vertical="top" wrapText="1" indent="1"/>
    </xf>
    <xf numFmtId="49" fontId="5" fillId="0" borderId="14" xfId="0" quotePrefix="1" applyNumberFormat="1" applyFont="1" applyBorder="1" applyAlignment="1">
      <alignment horizontal="center" wrapText="1"/>
    </xf>
    <xf numFmtId="164" fontId="5" fillId="2" borderId="14" xfId="0" applyNumberFormat="1" applyFont="1" applyFill="1" applyBorder="1" applyAlignment="1">
      <alignment horizontal="right" vertical="center" wrapText="1"/>
    </xf>
    <xf numFmtId="164" fontId="5" fillId="8" borderId="15" xfId="0" applyNumberFormat="1" applyFont="1" applyFill="1" applyBorder="1" applyAlignment="1">
      <alignment horizontal="center" vertical="center" wrapText="1"/>
    </xf>
    <xf numFmtId="164" fontId="5" fillId="9" borderId="12" xfId="0" applyNumberFormat="1" applyFont="1" applyFill="1" applyBorder="1" applyAlignment="1" applyProtection="1">
      <alignment horizontal="right" vertical="center"/>
      <protection locked="0"/>
    </xf>
    <xf numFmtId="164" fontId="5" fillId="9" borderId="15" xfId="0" applyNumberFormat="1" applyFont="1" applyFill="1" applyBorder="1" applyAlignment="1" applyProtection="1">
      <alignment horizontal="right" vertical="center"/>
      <protection locked="0"/>
    </xf>
    <xf numFmtId="0" fontId="5" fillId="3" borderId="8" xfId="0" applyFont="1" applyFill="1" applyBorder="1" applyAlignment="1">
      <alignment horizontal="left" vertical="center"/>
    </xf>
    <xf numFmtId="0" fontId="5" fillId="0" borderId="16" xfId="0" applyFont="1" applyBorder="1" applyAlignment="1">
      <alignment horizontal="left" vertical="center"/>
    </xf>
    <xf numFmtId="49" fontId="5" fillId="8" borderId="2" xfId="0" applyNumberFormat="1" applyFont="1" applyFill="1" applyBorder="1" applyAlignment="1" applyProtection="1">
      <alignment horizontal="center" vertical="center" wrapText="1"/>
      <protection locked="0"/>
    </xf>
    <xf numFmtId="0" fontId="5" fillId="8" borderId="0" xfId="0" applyFont="1" applyFill="1"/>
    <xf numFmtId="0" fontId="5" fillId="8" borderId="0" xfId="0" applyFont="1" applyFill="1" applyAlignment="1">
      <alignment horizontal="center" vertical="center"/>
    </xf>
    <xf numFmtId="0" fontId="6" fillId="8" borderId="14" xfId="0" applyFont="1" applyFill="1" applyBorder="1" applyAlignment="1">
      <alignment horizontal="center" vertical="center" wrapText="1"/>
    </xf>
    <xf numFmtId="0" fontId="6" fillId="8" borderId="15" xfId="0" applyFont="1" applyFill="1" applyBorder="1" applyAlignment="1">
      <alignment horizontal="center" vertical="center" wrapText="1"/>
    </xf>
    <xf numFmtId="0" fontId="6" fillId="8" borderId="37" xfId="0" applyFont="1" applyFill="1" applyBorder="1" applyAlignment="1">
      <alignment horizontal="center" vertical="center"/>
    </xf>
    <xf numFmtId="0" fontId="6" fillId="8" borderId="38" xfId="0" applyFont="1" applyFill="1" applyBorder="1" applyAlignment="1">
      <alignment horizontal="center" vertical="center"/>
    </xf>
    <xf numFmtId="0" fontId="6" fillId="8" borderId="39" xfId="0" applyFont="1" applyFill="1" applyBorder="1" applyAlignment="1">
      <alignment horizontal="center" vertical="center"/>
    </xf>
    <xf numFmtId="0" fontId="6" fillId="8" borderId="21" xfId="0" applyFont="1" applyFill="1" applyBorder="1" applyAlignment="1">
      <alignment horizontal="left" vertical="center" wrapText="1"/>
    </xf>
    <xf numFmtId="49" fontId="6" fillId="8" borderId="9" xfId="0" applyNumberFormat="1" applyFont="1" applyFill="1" applyBorder="1" applyAlignment="1">
      <alignment horizontal="center" vertical="center" wrapText="1"/>
    </xf>
    <xf numFmtId="0" fontId="5" fillId="8" borderId="10" xfId="0" applyFont="1" applyFill="1" applyBorder="1" applyAlignment="1">
      <alignment horizontal="left" vertical="center" wrapText="1" indent="1"/>
    </xf>
    <xf numFmtId="0" fontId="6" fillId="8" borderId="10" xfId="0" applyFont="1" applyFill="1" applyBorder="1" applyAlignment="1">
      <alignment horizontal="left" vertical="center" wrapText="1"/>
    </xf>
    <xf numFmtId="49" fontId="6" fillId="8" borderId="2" xfId="0" applyNumberFormat="1" applyFont="1" applyFill="1" applyBorder="1" applyAlignment="1">
      <alignment horizontal="center" vertical="center" wrapText="1"/>
    </xf>
    <xf numFmtId="0" fontId="14" fillId="8" borderId="10" xfId="0" applyFont="1" applyFill="1" applyBorder="1" applyAlignment="1">
      <alignment horizontal="left" vertical="center" wrapText="1" indent="2"/>
    </xf>
    <xf numFmtId="0" fontId="14" fillId="8" borderId="0" xfId="0" applyFont="1" applyFill="1" applyAlignment="1">
      <alignment vertical="center"/>
    </xf>
    <xf numFmtId="0" fontId="15" fillId="8" borderId="10" xfId="0" applyFont="1" applyFill="1" applyBorder="1" applyAlignment="1">
      <alignment horizontal="left" vertical="center" wrapText="1"/>
    </xf>
    <xf numFmtId="0" fontId="5" fillId="8" borderId="13" xfId="0" applyFont="1" applyFill="1" applyBorder="1" applyAlignment="1">
      <alignment horizontal="left" vertical="center" wrapText="1" indent="1"/>
    </xf>
    <xf numFmtId="49" fontId="5" fillId="8" borderId="14" xfId="0" applyNumberFormat="1" applyFont="1" applyFill="1" applyBorder="1" applyAlignment="1">
      <alignment horizontal="center" vertical="center" wrapText="1"/>
    </xf>
    <xf numFmtId="0" fontId="5" fillId="0" borderId="0" xfId="13" applyFont="1" applyAlignment="1">
      <alignment vertical="center" wrapText="1"/>
    </xf>
    <xf numFmtId="0" fontId="5" fillId="0" borderId="0" xfId="13" applyFont="1" applyAlignment="1">
      <alignment horizontal="center" vertical="center" wrapText="1"/>
    </xf>
    <xf numFmtId="0" fontId="20" fillId="0" borderId="0" xfId="13" applyFont="1"/>
    <xf numFmtId="0" fontId="5" fillId="0" borderId="0" xfId="13" applyFont="1"/>
    <xf numFmtId="0" fontId="5" fillId="0" borderId="0" xfId="13" applyFont="1" applyAlignment="1">
      <alignment horizontal="center"/>
    </xf>
    <xf numFmtId="0" fontId="5" fillId="0" borderId="0" xfId="13" applyFont="1" applyAlignment="1">
      <alignment horizontal="right" vertical="center"/>
    </xf>
    <xf numFmtId="0" fontId="5" fillId="9" borderId="1" xfId="13" applyFont="1" applyFill="1" applyBorder="1" applyAlignment="1">
      <alignment horizontal="center" vertical="center"/>
    </xf>
    <xf numFmtId="0" fontId="21" fillId="0" borderId="0" xfId="13" applyFont="1"/>
    <xf numFmtId="0" fontId="21" fillId="0" borderId="0" xfId="13" applyFont="1" applyAlignment="1">
      <alignment horizontal="justify"/>
    </xf>
    <xf numFmtId="0" fontId="6" fillId="11" borderId="2" xfId="8" applyFont="1" applyFill="1" applyBorder="1" applyAlignment="1">
      <alignment horizontal="center" vertical="center" wrapText="1"/>
    </xf>
    <xf numFmtId="0" fontId="6" fillId="0" borderId="14" xfId="8" applyFont="1" applyBorder="1" applyAlignment="1">
      <alignment horizontal="center" vertical="center" wrapText="1"/>
    </xf>
    <xf numFmtId="0" fontId="20" fillId="0" borderId="0" xfId="13" applyFont="1" applyAlignment="1">
      <alignment horizontal="justify"/>
    </xf>
    <xf numFmtId="0" fontId="21" fillId="11" borderId="40" xfId="8" applyFont="1" applyFill="1" applyBorder="1" applyAlignment="1">
      <alignment horizontal="center" vertical="center" wrapText="1"/>
    </xf>
    <xf numFmtId="0" fontId="21" fillId="11" borderId="41" xfId="8" applyFont="1" applyFill="1" applyBorder="1" applyAlignment="1">
      <alignment horizontal="center" vertical="center" wrapText="1"/>
    </xf>
    <xf numFmtId="0" fontId="21" fillId="11" borderId="42" xfId="8" applyFont="1" applyFill="1" applyBorder="1" applyAlignment="1">
      <alignment horizontal="center" vertical="center" wrapText="1"/>
    </xf>
    <xf numFmtId="0" fontId="21" fillId="11" borderId="21" xfId="8" applyFont="1" applyFill="1" applyBorder="1" applyAlignment="1">
      <alignment horizontal="center" vertical="center" wrapText="1"/>
    </xf>
    <xf numFmtId="49" fontId="21" fillId="11" borderId="9" xfId="8" applyNumberFormat="1" applyFont="1" applyFill="1" applyBorder="1" applyAlignment="1">
      <alignment horizontal="center" vertical="center" wrapText="1"/>
    </xf>
    <xf numFmtId="49" fontId="20" fillId="0" borderId="2" xfId="13" applyNumberFormat="1" applyFont="1" applyBorder="1" applyAlignment="1">
      <alignment horizontal="center" vertical="center"/>
    </xf>
    <xf numFmtId="0" fontId="21" fillId="11" borderId="10" xfId="8" applyFont="1" applyFill="1" applyBorder="1" applyAlignment="1">
      <alignment horizontal="center" vertical="center" wrapText="1"/>
    </xf>
    <xf numFmtId="49" fontId="21" fillId="0" borderId="2" xfId="13" applyNumberFormat="1" applyFont="1" applyBorder="1" applyAlignment="1">
      <alignment horizontal="center" vertical="center"/>
    </xf>
    <xf numFmtId="49" fontId="21" fillId="11" borderId="2" xfId="8" applyNumberFormat="1" applyFont="1" applyFill="1" applyBorder="1" applyAlignment="1">
      <alignment horizontal="center" vertical="center" wrapText="1"/>
    </xf>
    <xf numFmtId="49" fontId="20" fillId="0" borderId="14" xfId="13" applyNumberFormat="1" applyFont="1" applyBorder="1" applyAlignment="1">
      <alignment horizontal="center" vertical="center"/>
    </xf>
    <xf numFmtId="0" fontId="5" fillId="0" borderId="0" xfId="14" applyFont="1" applyAlignment="1">
      <alignment vertical="center"/>
    </xf>
    <xf numFmtId="0" fontId="20" fillId="0" borderId="0" xfId="13" applyFont="1" applyAlignment="1">
      <alignment horizontal="center"/>
    </xf>
    <xf numFmtId="0" fontId="5" fillId="0" borderId="0" xfId="8" applyFont="1"/>
    <xf numFmtId="0" fontId="6" fillId="0" borderId="0" xfId="8" applyFont="1" applyAlignment="1">
      <alignment horizontal="center" vertical="center"/>
    </xf>
    <xf numFmtId="164" fontId="6" fillId="0" borderId="0" xfId="8" applyNumberFormat="1" applyFont="1" applyAlignment="1">
      <alignment horizontal="center" vertical="center"/>
    </xf>
    <xf numFmtId="0" fontId="6" fillId="11" borderId="20" xfId="8" applyFont="1" applyFill="1" applyBorder="1" applyAlignment="1">
      <alignment horizontal="center" vertical="center" wrapText="1"/>
    </xf>
    <xf numFmtId="164" fontId="6" fillId="11" borderId="20" xfId="8" applyNumberFormat="1" applyFont="1" applyFill="1" applyBorder="1" applyAlignment="1">
      <alignment horizontal="center" vertical="center" wrapText="1"/>
    </xf>
    <xf numFmtId="165" fontId="6" fillId="11" borderId="20" xfId="8" applyNumberFormat="1" applyFont="1" applyFill="1" applyBorder="1" applyAlignment="1">
      <alignment horizontal="center" vertical="center" wrapText="1"/>
    </xf>
    <xf numFmtId="0" fontId="6" fillId="11" borderId="10" xfId="8" applyFont="1" applyFill="1" applyBorder="1" applyAlignment="1">
      <alignment horizontal="left" vertical="center" wrapText="1" indent="1"/>
    </xf>
    <xf numFmtId="164" fontId="6" fillId="11" borderId="12" xfId="8" applyNumberFormat="1" applyFont="1" applyFill="1" applyBorder="1" applyAlignment="1">
      <alignment horizontal="center" vertical="center" wrapText="1"/>
    </xf>
    <xf numFmtId="0" fontId="5" fillId="0" borderId="10" xfId="8" applyFont="1" applyBorder="1" applyAlignment="1">
      <alignment horizontal="left" vertical="center"/>
    </xf>
    <xf numFmtId="49" fontId="5" fillId="0" borderId="2" xfId="8" applyNumberFormat="1" applyFont="1" applyBorder="1" applyAlignment="1">
      <alignment horizontal="center" vertical="center"/>
    </xf>
    <xf numFmtId="164" fontId="5" fillId="10" borderId="12" xfId="8" applyNumberFormat="1" applyFont="1" applyFill="1" applyBorder="1" applyAlignment="1">
      <alignment horizontal="right" vertical="center"/>
    </xf>
    <xf numFmtId="0" fontId="5" fillId="0" borderId="10" xfId="8" applyFont="1" applyBorder="1" applyAlignment="1">
      <alignment horizontal="left" vertical="center" wrapText="1"/>
    </xf>
    <xf numFmtId="164" fontId="5" fillId="9" borderId="12" xfId="8" applyNumberFormat="1" applyFont="1" applyFill="1" applyBorder="1" applyAlignment="1">
      <alignment horizontal="right" vertical="center"/>
    </xf>
    <xf numFmtId="164" fontId="5" fillId="0" borderId="12" xfId="8" applyNumberFormat="1" applyFont="1" applyBorder="1" applyAlignment="1">
      <alignment horizontal="right" vertical="center"/>
    </xf>
    <xf numFmtId="0" fontId="5" fillId="11" borderId="10" xfId="8" applyFont="1" applyFill="1" applyBorder="1" applyAlignment="1">
      <alignment horizontal="left" vertical="center" wrapText="1"/>
    </xf>
    <xf numFmtId="0" fontId="5" fillId="11" borderId="13" xfId="8" applyFont="1" applyFill="1" applyBorder="1" applyAlignment="1">
      <alignment horizontal="left" vertical="center" wrapText="1"/>
    </xf>
    <xf numFmtId="49" fontId="5" fillId="0" borderId="14" xfId="8" applyNumberFormat="1" applyFont="1" applyBorder="1" applyAlignment="1">
      <alignment horizontal="center" vertical="center"/>
    </xf>
    <xf numFmtId="164" fontId="5" fillId="9" borderId="15" xfId="8" applyNumberFormat="1" applyFont="1" applyFill="1" applyBorder="1" applyAlignment="1">
      <alignment horizontal="right" vertical="center"/>
    </xf>
    <xf numFmtId="164" fontId="5" fillId="0" borderId="0" xfId="8" applyNumberFormat="1" applyFont="1" applyAlignment="1">
      <alignment horizontal="center" vertical="center"/>
    </xf>
    <xf numFmtId="2" fontId="20" fillId="11" borderId="13" xfId="8" applyNumberFormat="1" applyFont="1" applyFill="1" applyBorder="1" applyAlignment="1">
      <alignment horizontal="justify" vertical="center" wrapText="1"/>
    </xf>
    <xf numFmtId="2" fontId="20" fillId="11" borderId="10" xfId="8" applyNumberFormat="1" applyFont="1" applyFill="1" applyBorder="1" applyAlignment="1">
      <alignment horizontal="justify" vertical="center" wrapText="1"/>
    </xf>
    <xf numFmtId="0" fontId="18" fillId="0" borderId="0" xfId="0" applyFont="1" applyAlignment="1">
      <alignment horizontal="center" vertical="center" shrinkToFit="1"/>
    </xf>
    <xf numFmtId="0" fontId="18" fillId="0" borderId="0" xfId="0" applyFont="1" applyAlignment="1">
      <alignment horizontal="center" vertical="center"/>
    </xf>
    <xf numFmtId="0" fontId="5" fillId="0" borderId="10" xfId="0" applyFont="1" applyBorder="1" applyAlignment="1">
      <alignment horizontal="left" vertical="center" wrapText="1" indent="1"/>
    </xf>
    <xf numFmtId="0" fontId="14" fillId="0" borderId="0" xfId="0" applyFont="1" applyAlignment="1">
      <alignment horizontal="center" vertical="center"/>
    </xf>
    <xf numFmtId="164" fontId="5" fillId="0" borderId="0" xfId="0" applyNumberFormat="1" applyFont="1" applyAlignment="1">
      <alignment vertical="center"/>
    </xf>
    <xf numFmtId="0" fontId="15" fillId="0" borderId="0" xfId="0" applyFont="1" applyAlignment="1">
      <alignment horizontal="center" vertical="center" wrapText="1"/>
    </xf>
    <xf numFmtId="0" fontId="6" fillId="0" borderId="0" xfId="0" applyFont="1"/>
    <xf numFmtId="0" fontId="5" fillId="9" borderId="1" xfId="0" applyFont="1" applyFill="1" applyBorder="1" applyAlignment="1">
      <alignment horizontal="center" vertical="center"/>
    </xf>
    <xf numFmtId="0" fontId="5" fillId="0" borderId="0" xfId="15"/>
    <xf numFmtId="0" fontId="5" fillId="0" borderId="0" xfId="15" applyAlignment="1">
      <alignment horizontal="right" vertical="center" wrapText="1"/>
    </xf>
    <xf numFmtId="0" fontId="6" fillId="0" borderId="37" xfId="0" applyFont="1" applyBorder="1" applyAlignment="1">
      <alignment horizontal="center" vertical="center"/>
    </xf>
    <xf numFmtId="0" fontId="6" fillId="0" borderId="38" xfId="0" applyFont="1" applyBorder="1" applyAlignment="1">
      <alignment horizontal="center" vertical="center"/>
    </xf>
    <xf numFmtId="0" fontId="6" fillId="0" borderId="39" xfId="0" applyFont="1" applyBorder="1" applyAlignment="1">
      <alignment horizontal="center" vertical="center"/>
    </xf>
    <xf numFmtId="49" fontId="6" fillId="0" borderId="9" xfId="0" applyNumberFormat="1" applyFont="1" applyBorder="1" applyAlignment="1">
      <alignment horizontal="center" vertical="center" wrapText="1"/>
    </xf>
    <xf numFmtId="49" fontId="6" fillId="0" borderId="2" xfId="0" applyNumberFormat="1" applyFont="1" applyBorder="1" applyAlignment="1">
      <alignment horizontal="center" vertical="center" wrapText="1"/>
    </xf>
    <xf numFmtId="49" fontId="14" fillId="0" borderId="2" xfId="0" applyNumberFormat="1" applyFont="1" applyBorder="1" applyAlignment="1">
      <alignment horizontal="center" vertical="center" wrapText="1"/>
    </xf>
    <xf numFmtId="0" fontId="5" fillId="0" borderId="0" xfId="0" applyFont="1" applyAlignment="1">
      <alignment vertical="top" wrapText="1"/>
    </xf>
    <xf numFmtId="0" fontId="10" fillId="0" borderId="0" xfId="0" applyFont="1" applyAlignment="1">
      <alignment horizontal="center" vertical="center"/>
    </xf>
    <xf numFmtId="0" fontId="6" fillId="0" borderId="0" xfId="0" applyFont="1" applyAlignment="1">
      <alignment vertical="center" wrapText="1"/>
    </xf>
    <xf numFmtId="0" fontId="6" fillId="0" borderId="0" xfId="0" applyFont="1" applyAlignment="1">
      <alignment vertical="center"/>
    </xf>
    <xf numFmtId="0" fontId="15" fillId="0" borderId="0" xfId="0" applyFont="1" applyAlignment="1">
      <alignment vertical="center"/>
    </xf>
    <xf numFmtId="168" fontId="5" fillId="0" borderId="0" xfId="0" applyNumberFormat="1" applyFont="1" applyAlignment="1">
      <alignment vertical="center"/>
    </xf>
    <xf numFmtId="164" fontId="5" fillId="0" borderId="2" xfId="0" applyNumberFormat="1" applyFont="1" applyBorder="1" applyAlignment="1">
      <alignment horizontal="right" vertical="center" wrapText="1"/>
    </xf>
    <xf numFmtId="164" fontId="5" fillId="0" borderId="12" xfId="0" applyNumberFormat="1" applyFont="1" applyBorder="1" applyAlignment="1">
      <alignment horizontal="right" vertical="center" wrapText="1"/>
    </xf>
    <xf numFmtId="164" fontId="14" fillId="2" borderId="2" xfId="0" applyNumberFormat="1" applyFont="1" applyFill="1" applyBorder="1" applyAlignment="1">
      <alignment horizontal="right" vertical="center" wrapText="1"/>
    </xf>
    <xf numFmtId="164" fontId="14" fillId="2" borderId="12" xfId="0" applyNumberFormat="1" applyFont="1" applyFill="1" applyBorder="1" applyAlignment="1">
      <alignment horizontal="right" vertical="center" wrapText="1"/>
    </xf>
    <xf numFmtId="164" fontId="5" fillId="9" borderId="2" xfId="0" applyNumberFormat="1" applyFont="1" applyFill="1" applyBorder="1" applyAlignment="1">
      <alignment horizontal="right" vertical="center" wrapText="1"/>
    </xf>
    <xf numFmtId="164" fontId="5" fillId="9" borderId="12" xfId="0" applyNumberFormat="1" applyFont="1" applyFill="1" applyBorder="1" applyAlignment="1">
      <alignment horizontal="right" vertical="center" wrapText="1"/>
    </xf>
    <xf numFmtId="164" fontId="6" fillId="9" borderId="20" xfId="0" applyNumberFormat="1" applyFont="1" applyFill="1" applyBorder="1" applyAlignment="1">
      <alignment horizontal="right" vertical="center" wrapText="1"/>
    </xf>
    <xf numFmtId="164" fontId="6" fillId="0" borderId="20" xfId="0" applyNumberFormat="1" applyFont="1" applyBorder="1" applyAlignment="1">
      <alignment horizontal="center" vertical="center" wrapText="1"/>
    </xf>
    <xf numFmtId="164" fontId="5" fillId="10" borderId="20" xfId="0" applyNumberFormat="1" applyFont="1" applyFill="1" applyBorder="1" applyAlignment="1">
      <alignment horizontal="right" vertical="center" wrapText="1"/>
    </xf>
    <xf numFmtId="164" fontId="14" fillId="10" borderId="20" xfId="0" applyNumberFormat="1" applyFont="1" applyFill="1" applyBorder="1" applyAlignment="1">
      <alignment horizontal="right" vertical="center" wrapText="1"/>
    </xf>
    <xf numFmtId="164" fontId="5" fillId="9" borderId="20" xfId="0" applyNumberFormat="1" applyFont="1" applyFill="1" applyBorder="1" applyAlignment="1">
      <alignment horizontal="right" vertical="center" wrapText="1"/>
    </xf>
    <xf numFmtId="164" fontId="5" fillId="0" borderId="20" xfId="0" applyNumberFormat="1" applyFont="1" applyBorder="1" applyAlignment="1">
      <alignment horizontal="center" vertical="center" wrapText="1"/>
    </xf>
    <xf numFmtId="164" fontId="6" fillId="10" borderId="20" xfId="0" applyNumberFormat="1" applyFont="1" applyFill="1" applyBorder="1" applyAlignment="1">
      <alignment horizontal="right" vertical="center" wrapText="1"/>
    </xf>
    <xf numFmtId="164" fontId="20" fillId="9" borderId="9" xfId="13" applyNumberFormat="1" applyFont="1" applyFill="1" applyBorder="1" applyAlignment="1">
      <alignment horizontal="right" vertical="center"/>
    </xf>
    <xf numFmtId="164" fontId="20" fillId="9" borderId="11" xfId="13" applyNumberFormat="1" applyFont="1" applyFill="1" applyBorder="1" applyAlignment="1">
      <alignment horizontal="right" vertical="center"/>
    </xf>
    <xf numFmtId="164" fontId="20" fillId="10" borderId="2" xfId="13" applyNumberFormat="1" applyFont="1" applyFill="1" applyBorder="1" applyAlignment="1">
      <alignment horizontal="right" vertical="center"/>
    </xf>
    <xf numFmtId="164" fontId="20" fillId="9" borderId="2" xfId="13" applyNumberFormat="1" applyFont="1" applyFill="1" applyBorder="1" applyAlignment="1">
      <alignment horizontal="right" vertical="center"/>
    </xf>
    <xf numFmtId="164" fontId="20" fillId="9" borderId="12" xfId="13" applyNumberFormat="1" applyFont="1" applyFill="1" applyBorder="1" applyAlignment="1">
      <alignment horizontal="right" vertical="center"/>
    </xf>
    <xf numFmtId="164" fontId="21" fillId="9" borderId="2" xfId="13" applyNumberFormat="1" applyFont="1" applyFill="1" applyBorder="1" applyAlignment="1">
      <alignment horizontal="right" vertical="center"/>
    </xf>
    <xf numFmtId="164" fontId="21" fillId="9" borderId="12" xfId="13" applyNumberFormat="1" applyFont="1" applyFill="1" applyBorder="1" applyAlignment="1">
      <alignment horizontal="right" vertical="center"/>
    </xf>
    <xf numFmtId="164" fontId="20" fillId="10" borderId="14" xfId="13" applyNumberFormat="1" applyFont="1" applyFill="1" applyBorder="1" applyAlignment="1">
      <alignment horizontal="right" vertical="center"/>
    </xf>
    <xf numFmtId="164" fontId="20" fillId="9" borderId="14" xfId="13" applyNumberFormat="1" applyFont="1" applyFill="1" applyBorder="1" applyAlignment="1">
      <alignment horizontal="right" vertical="center"/>
    </xf>
    <xf numFmtId="164" fontId="20" fillId="9" borderId="15" xfId="13" applyNumberFormat="1" applyFont="1" applyFill="1" applyBorder="1" applyAlignment="1">
      <alignment horizontal="right" vertical="center"/>
    </xf>
    <xf numFmtId="0" fontId="22" fillId="0" borderId="0" xfId="0" applyFont="1" applyAlignment="1">
      <alignment vertical="center"/>
    </xf>
    <xf numFmtId="0" fontId="22" fillId="0" borderId="0" xfId="0" applyFont="1" applyAlignment="1">
      <alignment horizontal="center" vertical="center"/>
    </xf>
    <xf numFmtId="169" fontId="5" fillId="9" borderId="20" xfId="0" applyNumberFormat="1" applyFont="1" applyFill="1" applyBorder="1" applyAlignment="1">
      <alignment horizontal="right" vertical="center" wrapText="1"/>
    </xf>
    <xf numFmtId="0" fontId="6" fillId="0" borderId="10" xfId="0" applyFont="1" applyBorder="1" applyAlignment="1">
      <alignment horizontal="left" vertical="center" wrapText="1" indent="1"/>
    </xf>
    <xf numFmtId="0" fontId="5" fillId="0" borderId="13" xfId="0" applyFont="1" applyBorder="1" applyAlignment="1">
      <alignment horizontal="left" vertical="center" wrapText="1" indent="1"/>
    </xf>
    <xf numFmtId="0" fontId="5" fillId="0" borderId="10" xfId="0" applyFont="1" applyBorder="1" applyAlignment="1">
      <alignment vertical="center"/>
    </xf>
    <xf numFmtId="0" fontId="5" fillId="0" borderId="0" xfId="0" applyFont="1" applyAlignment="1">
      <alignment horizontal="center" vertical="center"/>
    </xf>
    <xf numFmtId="0" fontId="5" fillId="0" borderId="0" xfId="0" applyFont="1" applyAlignment="1">
      <alignment horizontal="right" vertical="center"/>
    </xf>
    <xf numFmtId="0" fontId="5" fillId="3" borderId="8" xfId="0" applyFont="1" applyFill="1" applyBorder="1" applyAlignment="1">
      <alignment horizontal="center" vertical="center"/>
    </xf>
    <xf numFmtId="0" fontId="10" fillId="0" borderId="0" xfId="0" applyFont="1" applyAlignment="1">
      <alignment horizontal="center" vertical="center" wrapText="1"/>
    </xf>
    <xf numFmtId="0" fontId="8" fillId="0" borderId="0" xfId="0" applyFont="1" applyAlignment="1">
      <alignment horizontal="left" vertical="center"/>
    </xf>
    <xf numFmtId="0" fontId="5" fillId="0" borderId="0" xfId="0" applyFont="1" applyAlignment="1">
      <alignment horizontal="right" vertical="center" wrapText="1"/>
    </xf>
    <xf numFmtId="0" fontId="5" fillId="3" borderId="8" xfId="0" applyFont="1" applyFill="1" applyBorder="1" applyAlignment="1">
      <alignment horizontal="center" vertical="center" wrapText="1"/>
    </xf>
    <xf numFmtId="0" fontId="5" fillId="0" borderId="33" xfId="0" applyFont="1" applyBorder="1" applyAlignment="1" applyProtection="1">
      <alignment horizontal="left" vertical="center" wrapText="1"/>
      <protection locked="0"/>
    </xf>
    <xf numFmtId="0" fontId="5" fillId="0" borderId="34" xfId="0" applyFont="1" applyBorder="1" applyAlignment="1" applyProtection="1">
      <alignment horizontal="left" vertical="center" wrapText="1"/>
      <protection locked="0"/>
    </xf>
    <xf numFmtId="0" fontId="5" fillId="0" borderId="10" xfId="0" applyFont="1" applyBorder="1" applyAlignment="1" applyProtection="1">
      <alignment horizontal="left" vertical="center" wrapText="1"/>
      <protection locked="0"/>
    </xf>
    <xf numFmtId="0" fontId="5" fillId="0" borderId="2" xfId="0" applyFont="1" applyBorder="1" applyAlignment="1" applyProtection="1">
      <alignment horizontal="left" vertical="center" wrapText="1"/>
      <protection locked="0"/>
    </xf>
    <xf numFmtId="0" fontId="5" fillId="3" borderId="8" xfId="0" applyFont="1" applyFill="1" applyBorder="1" applyAlignment="1">
      <alignment horizontal="left" vertical="center"/>
    </xf>
    <xf numFmtId="0" fontId="5" fillId="0" borderId="0" xfId="0" applyFont="1" applyAlignment="1">
      <alignment horizontal="left" vertical="center" wrapText="1"/>
    </xf>
    <xf numFmtId="0" fontId="5" fillId="8" borderId="10" xfId="0" applyFont="1" applyFill="1" applyBorder="1" applyAlignment="1" applyProtection="1">
      <alignment horizontal="left" vertical="center" wrapText="1"/>
      <protection locked="0"/>
    </xf>
    <xf numFmtId="0" fontId="5" fillId="8" borderId="2" xfId="0" applyFont="1" applyFill="1" applyBorder="1" applyAlignment="1" applyProtection="1">
      <alignment horizontal="left" vertical="center" wrapText="1"/>
      <protection locked="0"/>
    </xf>
    <xf numFmtId="49" fontId="5" fillId="0" borderId="0" xfId="0" applyNumberFormat="1" applyFont="1" applyAlignment="1">
      <alignment horizontal="left" vertical="center" wrapText="1"/>
    </xf>
    <xf numFmtId="0" fontId="5" fillId="8" borderId="13" xfId="0" applyFont="1" applyFill="1" applyBorder="1" applyAlignment="1" applyProtection="1">
      <alignment horizontal="left" vertical="center" wrapText="1"/>
      <protection locked="0"/>
    </xf>
    <xf numFmtId="0" fontId="5" fillId="8" borderId="14" xfId="0" applyFont="1" applyFill="1" applyBorder="1" applyAlignment="1" applyProtection="1">
      <alignment horizontal="left" vertical="center" wrapText="1"/>
      <protection locked="0"/>
    </xf>
    <xf numFmtId="0" fontId="5" fillId="0" borderId="0" xfId="1" applyFont="1" applyAlignment="1">
      <alignment horizontal="right" vertical="center"/>
    </xf>
    <xf numFmtId="0" fontId="6" fillId="0" borderId="31" xfId="0" applyFont="1" applyBorder="1" applyAlignment="1">
      <alignment horizontal="center" vertical="center" wrapText="1"/>
    </xf>
    <xf numFmtId="0" fontId="6" fillId="0" borderId="25" xfId="0" applyFont="1" applyBorder="1" applyAlignment="1">
      <alignment horizontal="center" vertical="center" wrapText="1"/>
    </xf>
    <xf numFmtId="0" fontId="6" fillId="0" borderId="32" xfId="0" applyFont="1" applyBorder="1" applyAlignment="1">
      <alignment horizontal="center" vertical="center" wrapText="1"/>
    </xf>
    <xf numFmtId="0" fontId="5" fillId="0" borderId="0" xfId="0" applyFont="1" applyAlignment="1">
      <alignment horizontal="center" vertical="center" wrapText="1"/>
    </xf>
    <xf numFmtId="0" fontId="8" fillId="0" borderId="0" xfId="0" applyFont="1" applyAlignment="1">
      <alignment horizontal="center" vertical="center" wrapText="1"/>
    </xf>
    <xf numFmtId="0" fontId="8" fillId="0" borderId="0" xfId="0" applyFont="1" applyAlignment="1">
      <alignment horizontal="right" vertical="center" wrapText="1"/>
    </xf>
    <xf numFmtId="0" fontId="6" fillId="0" borderId="26" xfId="0" applyFont="1" applyBorder="1" applyAlignment="1">
      <alignment horizontal="center" vertical="center" wrapText="1"/>
    </xf>
    <xf numFmtId="0" fontId="6" fillId="0" borderId="27" xfId="0" applyFont="1" applyBorder="1" applyAlignment="1">
      <alignment horizontal="center" vertical="center" wrapText="1"/>
    </xf>
    <xf numFmtId="0" fontId="6" fillId="0" borderId="28" xfId="0" applyFont="1" applyBorder="1" applyAlignment="1">
      <alignment horizontal="center" vertical="center" wrapText="1"/>
    </xf>
    <xf numFmtId="0" fontId="5" fillId="0" borderId="0" xfId="0" applyFont="1" applyAlignment="1">
      <alignment horizontal="center"/>
    </xf>
    <xf numFmtId="0" fontId="10" fillId="0" borderId="0" xfId="0" applyFont="1" applyAlignment="1">
      <alignment horizontal="center" vertical="center"/>
    </xf>
    <xf numFmtId="0" fontId="5" fillId="0" borderId="0" xfId="0" applyFont="1" applyAlignment="1">
      <alignment horizontal="left" vertical="top" wrapText="1"/>
    </xf>
    <xf numFmtId="0" fontId="5" fillId="0" borderId="0" xfId="0" applyFont="1"/>
    <xf numFmtId="0" fontId="23" fillId="0" borderId="0" xfId="0" applyFont="1" applyAlignment="1">
      <alignment horizontal="left" vertical="center" wrapText="1"/>
    </xf>
    <xf numFmtId="0" fontId="18" fillId="0" borderId="0" xfId="0" applyFont="1" applyAlignment="1">
      <alignment horizontal="left" vertical="center"/>
    </xf>
    <xf numFmtId="0" fontId="5" fillId="0" borderId="0" xfId="0" applyFont="1" applyAlignment="1">
      <alignment horizontal="justify" vertical="center" wrapText="1"/>
    </xf>
    <xf numFmtId="0" fontId="6" fillId="0" borderId="0" xfId="0" applyFont="1" applyAlignment="1">
      <alignment horizontal="center" vertical="center" wrapText="1"/>
    </xf>
    <xf numFmtId="0" fontId="10" fillId="8" borderId="33" xfId="0" applyFont="1" applyFill="1" applyBorder="1" applyAlignment="1">
      <alignment horizontal="center" vertical="center" wrapText="1"/>
    </xf>
    <xf numFmtId="0" fontId="10" fillId="8" borderId="13" xfId="0" applyFont="1" applyFill="1" applyBorder="1" applyAlignment="1">
      <alignment horizontal="center" vertical="center" wrapText="1"/>
    </xf>
    <xf numFmtId="0" fontId="6" fillId="8" borderId="34" xfId="0" applyFont="1" applyFill="1" applyBorder="1" applyAlignment="1">
      <alignment horizontal="center" vertical="center" wrapText="1"/>
    </xf>
    <xf numFmtId="0" fontId="6" fillId="8" borderId="14" xfId="0" applyFont="1" applyFill="1" applyBorder="1" applyAlignment="1">
      <alignment horizontal="center" vertical="center" wrapText="1"/>
    </xf>
    <xf numFmtId="0" fontId="6" fillId="8" borderId="35" xfId="0" applyFont="1" applyFill="1" applyBorder="1" applyAlignment="1">
      <alignment horizontal="center" vertical="center" wrapText="1"/>
    </xf>
    <xf numFmtId="0" fontId="23" fillId="0" borderId="0" xfId="0" applyFont="1" applyAlignment="1">
      <alignment horizontal="left" vertical="center"/>
    </xf>
    <xf numFmtId="0" fontId="6" fillId="0" borderId="34" xfId="0" applyFont="1" applyBorder="1" applyAlignment="1">
      <alignment horizontal="center" vertical="center" wrapText="1"/>
    </xf>
    <xf numFmtId="0" fontId="6" fillId="0" borderId="35" xfId="0" applyFont="1" applyBorder="1" applyAlignment="1">
      <alignment horizontal="center" vertical="center" wrapText="1"/>
    </xf>
    <xf numFmtId="0" fontId="5" fillId="0" borderId="0" xfId="0" applyFont="1" applyAlignment="1">
      <alignment horizontal="left" vertical="center"/>
    </xf>
    <xf numFmtId="0" fontId="10" fillId="0" borderId="8" xfId="0" applyFont="1" applyBorder="1" applyAlignment="1">
      <alignment horizontal="center" vertical="center" wrapText="1"/>
    </xf>
    <xf numFmtId="0" fontId="6" fillId="0" borderId="29" xfId="0" applyFont="1" applyBorder="1" applyAlignment="1">
      <alignment horizontal="center" vertical="center" wrapText="1"/>
    </xf>
    <xf numFmtId="0" fontId="6" fillId="0" borderId="30" xfId="0" applyFont="1" applyBorder="1" applyAlignment="1">
      <alignment horizontal="center" vertical="center" wrapText="1"/>
    </xf>
    <xf numFmtId="0" fontId="5" fillId="0" borderId="0" xfId="13" applyFont="1" applyAlignment="1">
      <alignment horizontal="right" vertical="center" wrapText="1"/>
    </xf>
    <xf numFmtId="0" fontId="21" fillId="0" borderId="0" xfId="8" applyFont="1" applyAlignment="1">
      <alignment horizontal="center" vertical="center"/>
    </xf>
    <xf numFmtId="0" fontId="21" fillId="0" borderId="33" xfId="13" applyFont="1" applyBorder="1" applyAlignment="1">
      <alignment horizontal="center" vertical="center"/>
    </xf>
    <xf numFmtId="0" fontId="21" fillId="0" borderId="10" xfId="13" applyFont="1" applyBorder="1" applyAlignment="1">
      <alignment horizontal="center" vertical="center"/>
    </xf>
    <xf numFmtId="0" fontId="21" fillId="0" borderId="13" xfId="13" applyFont="1" applyBorder="1" applyAlignment="1">
      <alignment horizontal="center" vertical="center"/>
    </xf>
    <xf numFmtId="0" fontId="21" fillId="11" borderId="34" xfId="8" applyFont="1" applyFill="1" applyBorder="1" applyAlignment="1">
      <alignment horizontal="center" vertical="center" wrapText="1"/>
    </xf>
    <xf numFmtId="0" fontId="21" fillId="11" borderId="2" xfId="8" applyFont="1" applyFill="1" applyBorder="1" applyAlignment="1">
      <alignment horizontal="center" vertical="center" wrapText="1"/>
    </xf>
    <xf numFmtId="0" fontId="21" fillId="11" borderId="14" xfId="8" applyFont="1" applyFill="1" applyBorder="1" applyAlignment="1">
      <alignment horizontal="center" vertical="center" wrapText="1"/>
    </xf>
    <xf numFmtId="0" fontId="6" fillId="11" borderId="34" xfId="8" applyFont="1" applyFill="1" applyBorder="1" applyAlignment="1">
      <alignment horizontal="center" vertical="center" wrapText="1"/>
    </xf>
    <xf numFmtId="0" fontId="6" fillId="11" borderId="35" xfId="8" applyFont="1" applyFill="1" applyBorder="1" applyAlignment="1">
      <alignment horizontal="center" vertical="center" wrapText="1"/>
    </xf>
    <xf numFmtId="0" fontId="6" fillId="0" borderId="2" xfId="8" applyFont="1" applyBorder="1" applyAlignment="1">
      <alignment horizontal="center" vertical="center" wrapText="1"/>
    </xf>
    <xf numFmtId="0" fontId="6" fillId="0" borderId="14" xfId="8" applyFont="1" applyBorder="1" applyAlignment="1">
      <alignment horizontal="center" vertical="center" wrapText="1"/>
    </xf>
    <xf numFmtId="0" fontId="6" fillId="11" borderId="2" xfId="8" applyFont="1" applyFill="1" applyBorder="1" applyAlignment="1">
      <alignment horizontal="center" vertical="center" wrapText="1"/>
    </xf>
    <xf numFmtId="0" fontId="6" fillId="11" borderId="14" xfId="8" applyFont="1" applyFill="1" applyBorder="1" applyAlignment="1">
      <alignment horizontal="center" vertical="center" wrapText="1"/>
    </xf>
    <xf numFmtId="0" fontId="21" fillId="0" borderId="12" xfId="8" applyFont="1" applyBorder="1" applyAlignment="1">
      <alignment horizontal="center" vertical="center" wrapText="1"/>
    </xf>
    <xf numFmtId="0" fontId="21" fillId="0" borderId="15" xfId="8" applyFont="1" applyBorder="1" applyAlignment="1">
      <alignment horizontal="center" vertical="center" wrapText="1"/>
    </xf>
    <xf numFmtId="0" fontId="20" fillId="0" borderId="0" xfId="13" applyFont="1" applyAlignment="1">
      <alignment horizontal="left"/>
    </xf>
    <xf numFmtId="0" fontId="6" fillId="0" borderId="0" xfId="8" applyFont="1" applyAlignment="1">
      <alignment horizontal="center" vertical="center"/>
    </xf>
    <xf numFmtId="0" fontId="6" fillId="11" borderId="43" xfId="8" applyFont="1" applyFill="1" applyBorder="1" applyAlignment="1">
      <alignment horizontal="center" vertical="center" wrapText="1"/>
    </xf>
    <xf numFmtId="0" fontId="6" fillId="11" borderId="44" xfId="8" applyFont="1" applyFill="1" applyBorder="1" applyAlignment="1">
      <alignment horizontal="center" vertical="center" wrapText="1"/>
    </xf>
    <xf numFmtId="0" fontId="6" fillId="11" borderId="45" xfId="8" applyFont="1" applyFill="1" applyBorder="1" applyAlignment="1">
      <alignment horizontal="center" vertical="center" wrapText="1"/>
    </xf>
    <xf numFmtId="0" fontId="6" fillId="0" borderId="22" xfId="8" applyFont="1" applyBorder="1" applyAlignment="1">
      <alignment horizontal="center" vertical="center" wrapText="1"/>
    </xf>
    <xf numFmtId="0" fontId="6" fillId="0" borderId="46" xfId="8" applyFont="1" applyBorder="1" applyAlignment="1">
      <alignment horizontal="center" vertical="center" wrapText="1"/>
    </xf>
    <xf numFmtId="0" fontId="6" fillId="0" borderId="47" xfId="8" applyFont="1" applyBorder="1" applyAlignment="1">
      <alignment horizontal="center" vertical="center" wrapText="1"/>
    </xf>
    <xf numFmtId="0" fontId="5" fillId="0" borderId="0" xfId="14" applyFont="1" applyAlignment="1">
      <alignment horizontal="justify" vertical="center" wrapText="1"/>
    </xf>
    <xf numFmtId="0" fontId="14" fillId="3" borderId="10" xfId="0" applyFont="1" applyFill="1" applyBorder="1" applyAlignment="1">
      <alignment horizontal="left" vertical="center" wrapText="1"/>
    </xf>
    <xf numFmtId="0" fontId="14" fillId="3" borderId="2" xfId="0" applyFont="1" applyFill="1" applyBorder="1" applyAlignment="1">
      <alignment horizontal="left" vertical="center" wrapText="1"/>
    </xf>
    <xf numFmtId="0" fontId="5" fillId="0" borderId="0" xfId="0" applyFont="1" applyAlignment="1">
      <alignment horizontal="right"/>
    </xf>
    <xf numFmtId="0" fontId="6" fillId="0" borderId="20" xfId="0" applyFont="1" applyBorder="1" applyAlignment="1">
      <alignment horizontal="center" vertical="center" wrapText="1"/>
    </xf>
    <xf numFmtId="0" fontId="6" fillId="0" borderId="20" xfId="0" applyFont="1" applyBorder="1" applyAlignment="1">
      <alignment horizontal="center" vertical="top" wrapText="1"/>
    </xf>
    <xf numFmtId="0" fontId="6" fillId="0" borderId="21" xfId="0" applyFont="1" applyBorder="1" applyAlignment="1">
      <alignment horizontal="left" vertical="center" wrapText="1"/>
    </xf>
    <xf numFmtId="0" fontId="6" fillId="0" borderId="9" xfId="0" applyFont="1" applyBorder="1" applyAlignment="1">
      <alignment horizontal="left" vertical="center" wrapText="1"/>
    </xf>
    <xf numFmtId="0" fontId="5" fillId="0" borderId="10" xfId="0" applyFont="1" applyBorder="1" applyAlignment="1">
      <alignment horizontal="left" vertical="center" wrapText="1"/>
    </xf>
    <xf numFmtId="0" fontId="5" fillId="0" borderId="2" xfId="0" applyFont="1" applyBorder="1" applyAlignment="1">
      <alignment horizontal="left" vertical="center" wrapText="1"/>
    </xf>
    <xf numFmtId="0" fontId="6" fillId="0" borderId="10" xfId="0" applyFont="1" applyBorder="1" applyAlignment="1">
      <alignment horizontal="left" vertical="center" wrapText="1"/>
    </xf>
    <xf numFmtId="0" fontId="6" fillId="0" borderId="2" xfId="0" applyFont="1" applyBorder="1" applyAlignment="1">
      <alignment horizontal="left" vertical="center" wrapText="1"/>
    </xf>
    <xf numFmtId="2" fontId="5" fillId="0" borderId="22" xfId="0" applyNumberFormat="1" applyFont="1" applyBorder="1" applyAlignment="1">
      <alignment horizontal="left" vertical="center" wrapText="1"/>
    </xf>
    <xf numFmtId="2" fontId="5" fillId="0" borderId="4" xfId="0" applyNumberFormat="1" applyFont="1" applyBorder="1" applyAlignment="1">
      <alignment horizontal="left" vertical="center" wrapText="1"/>
    </xf>
    <xf numFmtId="0" fontId="14" fillId="3" borderId="22" xfId="0" applyFont="1" applyFill="1" applyBorder="1" applyAlignment="1">
      <alignment horizontal="left" vertical="center" wrapText="1"/>
    </xf>
    <xf numFmtId="0" fontId="14" fillId="3" borderId="4" xfId="0" applyFont="1" applyFill="1" applyBorder="1" applyAlignment="1">
      <alignment horizontal="left" vertical="center" wrapText="1"/>
    </xf>
    <xf numFmtId="0" fontId="5" fillId="3" borderId="1" xfId="0" applyFont="1" applyFill="1" applyBorder="1" applyAlignment="1">
      <alignment horizontal="left"/>
    </xf>
    <xf numFmtId="0" fontId="5" fillId="0" borderId="0" xfId="0" applyFont="1" applyAlignment="1">
      <alignment horizontal="left"/>
    </xf>
    <xf numFmtId="0" fontId="6" fillId="0" borderId="8" xfId="0" applyFont="1" applyBorder="1" applyAlignment="1">
      <alignment horizontal="center" vertical="center" wrapText="1"/>
    </xf>
    <xf numFmtId="0" fontId="5" fillId="0" borderId="33" xfId="0" applyFont="1" applyBorder="1" applyAlignment="1">
      <alignment horizontal="left" vertical="top" wrapText="1"/>
    </xf>
    <xf numFmtId="0" fontId="5" fillId="0" borderId="34" xfId="0" applyFont="1" applyBorder="1" applyAlignment="1">
      <alignment horizontal="left" vertical="top" wrapText="1"/>
    </xf>
    <xf numFmtId="0" fontId="5" fillId="0" borderId="10" xfId="0" applyFont="1" applyBorder="1" applyAlignment="1">
      <alignment horizontal="left" vertical="top" wrapText="1"/>
    </xf>
    <xf numFmtId="0" fontId="5" fillId="0" borderId="2" xfId="0" applyFont="1" applyBorder="1" applyAlignment="1">
      <alignment horizontal="left" vertical="top" wrapText="1"/>
    </xf>
    <xf numFmtId="0" fontId="5" fillId="0" borderId="33" xfId="0" applyFont="1" applyBorder="1" applyAlignment="1">
      <alignment horizontal="left" vertical="center" wrapText="1"/>
    </xf>
    <xf numFmtId="0" fontId="5" fillId="0" borderId="34" xfId="0" applyFont="1" applyBorder="1" applyAlignment="1">
      <alignment horizontal="left" vertical="center" wrapText="1"/>
    </xf>
    <xf numFmtId="0" fontId="11" fillId="0" borderId="0" xfId="0" applyFont="1" applyAlignment="1">
      <alignment horizontal="left"/>
    </xf>
    <xf numFmtId="0" fontId="5" fillId="0" borderId="13" xfId="0" applyFont="1" applyBorder="1" applyAlignment="1">
      <alignment horizontal="left" vertical="center" wrapText="1"/>
    </xf>
    <xf numFmtId="0" fontId="5" fillId="0" borderId="14" xfId="0" applyFont="1" applyBorder="1" applyAlignment="1">
      <alignment horizontal="left" vertical="center" wrapText="1"/>
    </xf>
    <xf numFmtId="0" fontId="5" fillId="3" borderId="8" xfId="15" applyFill="1" applyBorder="1" applyAlignment="1">
      <alignment horizontal="left" vertical="center"/>
    </xf>
    <xf numFmtId="164" fontId="5" fillId="2" borderId="22" xfId="0" applyNumberFormat="1" applyFont="1" applyFill="1" applyBorder="1" applyAlignment="1">
      <alignment horizontal="center" vertical="center" wrapText="1"/>
    </xf>
    <xf numFmtId="164" fontId="5" fillId="2" borderId="46" xfId="0" applyNumberFormat="1" applyFont="1" applyFill="1" applyBorder="1" applyAlignment="1">
      <alignment horizontal="center" vertical="center" wrapText="1"/>
    </xf>
    <xf numFmtId="164" fontId="5" fillId="2" borderId="4" xfId="0" applyNumberFormat="1" applyFont="1" applyFill="1" applyBorder="1" applyAlignment="1">
      <alignment horizontal="center" vertical="center" wrapText="1"/>
    </xf>
    <xf numFmtId="0" fontId="6" fillId="0" borderId="0" xfId="15" applyFont="1" applyAlignment="1">
      <alignment horizontal="center" vertical="center" wrapText="1"/>
    </xf>
    <xf numFmtId="0" fontId="5" fillId="0" borderId="0" xfId="15" applyAlignment="1">
      <alignment horizontal="right" vertical="center" wrapText="1"/>
    </xf>
    <xf numFmtId="0" fontId="5" fillId="0" borderId="0" xfId="15" applyAlignment="1">
      <alignment horizontal="left" vertical="center" wrapText="1"/>
    </xf>
    <xf numFmtId="49" fontId="5" fillId="0" borderId="34" xfId="0" applyNumberFormat="1" applyFont="1" applyBorder="1" applyAlignment="1">
      <alignment horizontal="center" vertical="center" wrapText="1"/>
    </xf>
    <xf numFmtId="0" fontId="5" fillId="0" borderId="22" xfId="0" applyFont="1" applyBorder="1" applyAlignment="1" applyProtection="1">
      <alignment horizontal="left" vertical="center" wrapText="1"/>
      <protection locked="0"/>
    </xf>
    <xf numFmtId="0" fontId="5" fillId="0" borderId="46" xfId="0" applyFont="1" applyBorder="1" applyAlignment="1" applyProtection="1">
      <alignment horizontal="left" vertical="center" wrapText="1"/>
      <protection locked="0"/>
    </xf>
    <xf numFmtId="0" fontId="5" fillId="0" borderId="4" xfId="0" applyFont="1" applyBorder="1" applyAlignment="1" applyProtection="1">
      <alignment horizontal="left" vertical="center" wrapText="1"/>
      <protection locked="0"/>
    </xf>
    <xf numFmtId="165" fontId="5" fillId="0" borderId="0" xfId="0" applyNumberFormat="1" applyFont="1" applyAlignment="1">
      <alignment horizontal="right" vertical="center"/>
    </xf>
  </cellXfs>
  <cellStyles count="17">
    <cellStyle name="Контрольная ячейка 2" xfId="3" xr:uid="{00000000-0005-0000-0000-000000000000}"/>
    <cellStyle name="Обычный" xfId="0" builtinId="0"/>
    <cellStyle name="Обычный 2" xfId="4" xr:uid="{00000000-0005-0000-0000-000002000000}"/>
    <cellStyle name="Обычный 2 2" xfId="6" xr:uid="{00000000-0005-0000-0000-000003000000}"/>
    <cellStyle name="Обычный 2 3" xfId="16" xr:uid="{00000000-0005-0000-0000-000004000000}"/>
    <cellStyle name="Обычный 3" xfId="5" xr:uid="{00000000-0005-0000-0000-000005000000}"/>
    <cellStyle name="Обычный 4" xfId="7" xr:uid="{00000000-0005-0000-0000-000006000000}"/>
    <cellStyle name="Обычный 4 2" xfId="9" xr:uid="{00000000-0005-0000-0000-000007000000}"/>
    <cellStyle name="Обычный 4 2 2" xfId="11" xr:uid="{00000000-0005-0000-0000-000008000000}"/>
    <cellStyle name="Обычный 4 2 2 2" xfId="14" xr:uid="{00000000-0005-0000-0000-000009000000}"/>
    <cellStyle name="Обычный 5" xfId="8" xr:uid="{00000000-0005-0000-0000-00000A000000}"/>
    <cellStyle name="Обычный 6" xfId="10" xr:uid="{00000000-0005-0000-0000-00000B000000}"/>
    <cellStyle name="Обычный 7" xfId="13" xr:uid="{00000000-0005-0000-0000-00000C000000}"/>
    <cellStyle name="Обычный 8" xfId="15" xr:uid="{00000000-0005-0000-0000-00000D000000}"/>
    <cellStyle name="Обычный_10007ru" xfId="1" xr:uid="{00000000-0005-0000-0000-00000E000000}"/>
    <cellStyle name="Примечание 2" xfId="2" xr:uid="{00000000-0005-0000-0000-00000F000000}"/>
    <cellStyle name="Финансовый" xfId="12" builtinId="3"/>
  </cellStyles>
  <dxfs count="0"/>
  <tableStyles count="0" defaultTableStyle="TableStyleMedium9" defaultPivotStyle="PivotStyleLight16"/>
  <colors>
    <mruColors>
      <color rgb="FFD8F2F6"/>
      <color rgb="FFCCFF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fitToPage="1"/>
  </sheetPr>
  <dimension ref="A1:S66"/>
  <sheetViews>
    <sheetView tabSelected="1" topLeftCell="A13" zoomScale="85" zoomScaleNormal="85" zoomScaleSheetLayoutView="100" workbookViewId="0">
      <selection activeCell="L65" sqref="L65:L66"/>
    </sheetView>
  </sheetViews>
  <sheetFormatPr defaultColWidth="9.109375" defaultRowHeight="13.2" x14ac:dyDescent="0.25"/>
  <cols>
    <col min="1" max="1" width="1.88671875" style="1" customWidth="1"/>
    <col min="2" max="2" width="36.33203125" style="90" customWidth="1"/>
    <col min="3" max="3" width="17.33203125" style="1" customWidth="1"/>
    <col min="4" max="4" width="3.6640625" style="1" customWidth="1"/>
    <col min="5" max="5" width="4.44140625" style="1" customWidth="1"/>
    <col min="6" max="6" width="28.88671875" style="1" customWidth="1"/>
    <col min="7" max="7" width="10.6640625" style="1" customWidth="1"/>
    <col min="8" max="8" width="18.44140625" style="1" customWidth="1"/>
    <col min="9" max="9" width="11.44140625" style="1" customWidth="1"/>
    <col min="10" max="10" width="42.21875" style="1" customWidth="1"/>
    <col min="11" max="11" width="8.109375" style="1" customWidth="1"/>
    <col min="12" max="12" width="31.88671875" style="1" customWidth="1"/>
    <col min="13" max="13" width="51.88671875" style="1" bestFit="1" customWidth="1"/>
    <col min="14" max="14" width="17.5546875" style="1" bestFit="1" customWidth="1"/>
    <col min="15" max="15" width="9.109375" style="1"/>
    <col min="16" max="16" width="10.109375" style="1" bestFit="1" customWidth="1"/>
    <col min="17" max="17" width="19.109375" style="1" bestFit="1" customWidth="1"/>
    <col min="18" max="16384" width="9.109375" style="1"/>
  </cols>
  <sheetData>
    <row r="1" spans="1:14" ht="11.25" customHeight="1" x14ac:dyDescent="0.25"/>
    <row r="2" spans="1:14" ht="34.5" customHeight="1" x14ac:dyDescent="0.25">
      <c r="B2" s="257" t="s">
        <v>97</v>
      </c>
      <c r="C2" s="257"/>
      <c r="D2" s="257"/>
      <c r="E2" s="257"/>
      <c r="F2" s="257"/>
      <c r="G2" s="257"/>
      <c r="H2" s="257"/>
      <c r="I2" s="257"/>
      <c r="J2" s="257"/>
      <c r="K2" s="257"/>
      <c r="L2" s="257"/>
    </row>
    <row r="3" spans="1:14" ht="6" customHeight="1" x14ac:dyDescent="0.25">
      <c r="C3" s="90"/>
      <c r="D3" s="90"/>
      <c r="E3" s="90"/>
      <c r="F3" s="90"/>
      <c r="G3" s="90"/>
      <c r="H3" s="90"/>
      <c r="I3" s="90"/>
      <c r="J3" s="90"/>
      <c r="K3" s="90"/>
      <c r="L3" s="90"/>
    </row>
    <row r="4" spans="1:14" ht="15" customHeight="1" x14ac:dyDescent="0.25">
      <c r="B4" s="91" t="s">
        <v>90</v>
      </c>
      <c r="C4" s="92"/>
      <c r="D4" s="254"/>
      <c r="E4" s="254"/>
      <c r="F4" s="254"/>
      <c r="G4" s="254"/>
      <c r="H4" s="254"/>
      <c r="I4" s="254"/>
      <c r="J4" s="254"/>
      <c r="K4" s="254"/>
      <c r="L4" s="254"/>
    </row>
    <row r="5" spans="1:14" ht="12" customHeight="1" x14ac:dyDescent="0.25">
      <c r="B5" s="254"/>
      <c r="C5" s="254"/>
      <c r="D5" s="254"/>
      <c r="E5" s="254"/>
      <c r="F5" s="254"/>
      <c r="G5" s="254"/>
      <c r="H5" s="254"/>
      <c r="I5" s="254"/>
      <c r="J5" s="254"/>
      <c r="K5" s="254"/>
      <c r="L5" s="254"/>
    </row>
    <row r="6" spans="1:14" s="90" customFormat="1" ht="15" customHeight="1" x14ac:dyDescent="0.25">
      <c r="A6" s="1"/>
      <c r="C6" s="98" t="s">
        <v>98</v>
      </c>
      <c r="D6" s="92"/>
      <c r="E6" s="92"/>
      <c r="F6" s="1" t="s">
        <v>99</v>
      </c>
      <c r="G6" s="92"/>
      <c r="H6" s="92"/>
      <c r="I6" s="1" t="s">
        <v>100</v>
      </c>
      <c r="J6" s="91" t="s">
        <v>101</v>
      </c>
      <c r="K6" s="92"/>
      <c r="M6" s="1"/>
    </row>
    <row r="7" spans="1:14" ht="7.5" customHeight="1" x14ac:dyDescent="0.25">
      <c r="B7" s="258"/>
      <c r="C7" s="258"/>
      <c r="D7" s="258"/>
      <c r="E7" s="258"/>
      <c r="F7" s="258"/>
      <c r="G7" s="258"/>
      <c r="H7" s="258"/>
      <c r="I7" s="258"/>
      <c r="J7" s="258"/>
      <c r="K7" s="258"/>
      <c r="L7" s="258"/>
    </row>
    <row r="8" spans="1:14" ht="15" customHeight="1" x14ac:dyDescent="0.25">
      <c r="B8" s="259" t="s">
        <v>96</v>
      </c>
      <c r="C8" s="259"/>
      <c r="D8" s="259"/>
      <c r="E8" s="259"/>
      <c r="F8" s="259"/>
      <c r="G8" s="260"/>
      <c r="H8" s="260"/>
      <c r="I8" s="260"/>
      <c r="J8" s="260"/>
      <c r="K8" s="2"/>
      <c r="L8" s="2"/>
    </row>
    <row r="9" spans="1:14" ht="3.9" customHeight="1" x14ac:dyDescent="0.25">
      <c r="B9" s="254"/>
      <c r="C9" s="254"/>
      <c r="D9" s="254"/>
      <c r="E9" s="254"/>
      <c r="F9" s="254"/>
      <c r="G9" s="254"/>
      <c r="H9" s="254"/>
      <c r="I9" s="254"/>
      <c r="J9" s="254"/>
      <c r="K9" s="254"/>
      <c r="L9" s="254"/>
    </row>
    <row r="10" spans="1:14" ht="15" customHeight="1" x14ac:dyDescent="0.25">
      <c r="B10" s="255" t="s">
        <v>102</v>
      </c>
      <c r="C10" s="255"/>
      <c r="D10" s="255"/>
      <c r="E10" s="255"/>
      <c r="F10" s="255"/>
      <c r="G10" s="256"/>
      <c r="H10" s="256"/>
      <c r="I10" s="256"/>
      <c r="J10" s="256"/>
    </row>
    <row r="11" spans="1:14" ht="3.9" customHeight="1" x14ac:dyDescent="0.25">
      <c r="B11" s="254"/>
      <c r="C11" s="254"/>
      <c r="D11" s="254"/>
      <c r="E11" s="254"/>
      <c r="F11" s="254"/>
      <c r="G11" s="254"/>
      <c r="H11" s="254"/>
      <c r="I11" s="254"/>
      <c r="J11" s="254"/>
      <c r="K11" s="254"/>
      <c r="L11" s="254"/>
    </row>
    <row r="12" spans="1:14" ht="15" customHeight="1" x14ac:dyDescent="0.25">
      <c r="B12" s="255" t="s">
        <v>103</v>
      </c>
      <c r="C12" s="255"/>
      <c r="D12" s="255"/>
      <c r="E12" s="255"/>
      <c r="F12" s="255"/>
      <c r="G12" s="256"/>
      <c r="H12" s="256"/>
      <c r="I12" s="256"/>
      <c r="J12" s="256"/>
    </row>
    <row r="13" spans="1:14" ht="4.05" customHeight="1" x14ac:dyDescent="0.25">
      <c r="B13" s="254"/>
      <c r="C13" s="254"/>
      <c r="D13" s="254"/>
      <c r="E13" s="254"/>
      <c r="F13" s="254"/>
      <c r="G13" s="254"/>
      <c r="H13" s="254"/>
      <c r="I13" s="254"/>
      <c r="J13" s="254"/>
      <c r="K13" s="254"/>
      <c r="L13" s="254"/>
    </row>
    <row r="14" spans="1:14" ht="15" customHeight="1" x14ac:dyDescent="0.25">
      <c r="B14" s="1"/>
      <c r="C14" s="272" t="s">
        <v>104</v>
      </c>
      <c r="D14" s="272"/>
      <c r="E14" s="272"/>
      <c r="F14" s="272"/>
      <c r="G14" s="44"/>
      <c r="H14" s="272" t="s">
        <v>105</v>
      </c>
      <c r="I14" s="272"/>
      <c r="J14" s="272"/>
      <c r="K14" s="44"/>
    </row>
    <row r="15" spans="1:14" ht="4.05" customHeight="1" x14ac:dyDescent="0.25">
      <c r="B15" s="71"/>
      <c r="C15" s="71"/>
      <c r="D15" s="71"/>
      <c r="E15" s="71"/>
      <c r="F15" s="71"/>
      <c r="G15" s="71"/>
      <c r="H15" s="71"/>
      <c r="I15" s="71"/>
      <c r="J15" s="71"/>
      <c r="K15" s="71"/>
      <c r="L15" s="71"/>
      <c r="N15" s="71"/>
    </row>
    <row r="16" spans="1:14" ht="15" customHeight="1" x14ac:dyDescent="0.25">
      <c r="B16" s="255" t="s">
        <v>490</v>
      </c>
      <c r="C16" s="255"/>
      <c r="D16" s="255"/>
      <c r="E16" s="255"/>
      <c r="F16" s="255"/>
      <c r="G16" s="44"/>
      <c r="H16" s="98" t="s">
        <v>472</v>
      </c>
      <c r="I16" s="44"/>
      <c r="J16" s="1" t="s">
        <v>473</v>
      </c>
      <c r="K16" s="248"/>
      <c r="L16" s="93" t="s">
        <v>474</v>
      </c>
    </row>
    <row r="17" spans="2:19" ht="15" customHeight="1" x14ac:dyDescent="0.25">
      <c r="B17" s="255" t="s">
        <v>489</v>
      </c>
      <c r="C17" s="255"/>
      <c r="D17" s="255"/>
      <c r="E17" s="255"/>
      <c r="F17" s="255"/>
      <c r="G17" s="44"/>
      <c r="H17" s="98" t="s">
        <v>472</v>
      </c>
      <c r="I17" s="44"/>
      <c r="J17" s="1" t="s">
        <v>473</v>
      </c>
      <c r="L17" s="93"/>
    </row>
    <row r="18" spans="2:19" ht="6" customHeight="1" x14ac:dyDescent="0.25">
      <c r="B18" s="1"/>
    </row>
    <row r="19" spans="2:19" ht="15" customHeight="1" x14ac:dyDescent="0.25">
      <c r="B19" s="272" t="s">
        <v>106</v>
      </c>
      <c r="C19" s="272"/>
      <c r="D19" s="272"/>
      <c r="E19" s="272"/>
      <c r="F19" s="272"/>
      <c r="G19" s="272"/>
      <c r="H19" s="272"/>
      <c r="I19" s="45"/>
      <c r="J19" s="71" t="s">
        <v>107</v>
      </c>
    </row>
    <row r="20" spans="2:19" ht="6" customHeight="1" x14ac:dyDescent="0.25">
      <c r="B20" s="1"/>
    </row>
    <row r="21" spans="2:19" ht="15" customHeight="1" x14ac:dyDescent="0.25">
      <c r="B21" s="255" t="s">
        <v>108</v>
      </c>
      <c r="C21" s="255"/>
      <c r="D21" s="255"/>
      <c r="E21" s="255"/>
      <c r="F21" s="255"/>
      <c r="G21" s="256"/>
      <c r="H21" s="256"/>
    </row>
    <row r="22" spans="2:19" ht="4.05" customHeight="1" x14ac:dyDescent="0.25">
      <c r="B22" s="2"/>
      <c r="C22" s="2"/>
      <c r="D22" s="2"/>
      <c r="E22" s="2"/>
      <c r="F22" s="2"/>
    </row>
    <row r="23" spans="2:19" ht="15" customHeight="1" x14ac:dyDescent="0.25">
      <c r="B23" s="259"/>
      <c r="C23" s="259"/>
      <c r="D23" s="259"/>
      <c r="E23" s="259"/>
      <c r="F23" s="259"/>
      <c r="G23" s="260"/>
      <c r="H23" s="260"/>
      <c r="I23" s="260"/>
      <c r="J23" s="260"/>
      <c r="K23" s="266" t="s">
        <v>110</v>
      </c>
      <c r="L23" s="266"/>
    </row>
    <row r="24" spans="2:19" ht="12.75" customHeight="1" x14ac:dyDescent="0.25">
      <c r="B24" s="276"/>
      <c r="C24" s="276"/>
      <c r="D24" s="277" t="s">
        <v>109</v>
      </c>
      <c r="E24" s="277"/>
      <c r="F24" s="277"/>
      <c r="G24" s="277"/>
      <c r="H24" s="277"/>
      <c r="I24" s="277"/>
      <c r="J24" s="277"/>
      <c r="K24" s="277"/>
      <c r="L24" s="277"/>
    </row>
    <row r="25" spans="2:19" ht="4.05" customHeight="1" x14ac:dyDescent="0.25">
      <c r="B25" s="93"/>
      <c r="C25" s="93"/>
      <c r="D25" s="94"/>
      <c r="E25" s="94"/>
      <c r="F25" s="94"/>
      <c r="G25" s="94"/>
      <c r="H25" s="94"/>
      <c r="I25" s="94"/>
      <c r="J25" s="94"/>
      <c r="K25" s="94"/>
      <c r="L25" s="94"/>
    </row>
    <row r="26" spans="2:19" x14ac:dyDescent="0.25">
      <c r="B26" s="93"/>
      <c r="C26" s="93"/>
      <c r="D26" s="94"/>
      <c r="E26" s="94"/>
      <c r="F26" s="94"/>
      <c r="G26" s="94"/>
      <c r="J26" s="72" t="s">
        <v>111</v>
      </c>
      <c r="K26" s="41" t="s">
        <v>112</v>
      </c>
      <c r="N26" s="73"/>
      <c r="O26" s="73"/>
      <c r="P26" s="73"/>
      <c r="Q26" s="74"/>
      <c r="S26" s="73"/>
    </row>
    <row r="27" spans="2:19" ht="4.05" customHeight="1" x14ac:dyDescent="0.25">
      <c r="B27" s="278"/>
      <c r="C27" s="278"/>
      <c r="D27" s="278"/>
      <c r="E27" s="278"/>
      <c r="F27" s="278"/>
      <c r="G27" s="278"/>
      <c r="H27" s="278"/>
      <c r="I27" s="278"/>
      <c r="J27" s="278"/>
      <c r="K27" s="278"/>
      <c r="L27" s="278"/>
    </row>
    <row r="28" spans="2:19" ht="26.25" customHeight="1" x14ac:dyDescent="0.25">
      <c r="B28" s="279" t="s">
        <v>538</v>
      </c>
      <c r="C28" s="280"/>
      <c r="D28" s="280"/>
      <c r="E28" s="280"/>
      <c r="F28" s="280"/>
      <c r="G28" s="280"/>
      <c r="H28" s="280"/>
      <c r="I28" s="280"/>
      <c r="J28" s="281"/>
      <c r="K28" s="101" t="s">
        <v>113</v>
      </c>
      <c r="L28" s="101" t="s">
        <v>3</v>
      </c>
    </row>
    <row r="29" spans="2:19" ht="20.100000000000001" customHeight="1" x14ac:dyDescent="0.25">
      <c r="B29" s="261" t="s">
        <v>539</v>
      </c>
      <c r="C29" s="262"/>
      <c r="D29" s="262"/>
      <c r="E29" s="262"/>
      <c r="F29" s="262"/>
      <c r="G29" s="262"/>
      <c r="H29" s="262"/>
      <c r="I29" s="262"/>
      <c r="J29" s="262"/>
      <c r="K29" s="361" t="s">
        <v>0</v>
      </c>
      <c r="L29" s="65"/>
    </row>
    <row r="30" spans="2:19" ht="20.100000000000001" customHeight="1" x14ac:dyDescent="0.25">
      <c r="B30" s="263" t="s">
        <v>540</v>
      </c>
      <c r="C30" s="264"/>
      <c r="D30" s="264"/>
      <c r="E30" s="264"/>
      <c r="F30" s="264"/>
      <c r="G30" s="264"/>
      <c r="H30" s="264"/>
      <c r="I30" s="264"/>
      <c r="J30" s="264"/>
      <c r="K30" s="57" t="s">
        <v>1</v>
      </c>
      <c r="L30" s="68"/>
      <c r="Q30" s="75"/>
    </row>
    <row r="31" spans="2:19" ht="20.100000000000001" customHeight="1" x14ac:dyDescent="0.25">
      <c r="B31" s="263" t="s">
        <v>278</v>
      </c>
      <c r="C31" s="264"/>
      <c r="D31" s="264"/>
      <c r="E31" s="264"/>
      <c r="F31" s="264"/>
      <c r="G31" s="264"/>
      <c r="H31" s="264"/>
      <c r="I31" s="264"/>
      <c r="J31" s="264"/>
      <c r="K31" s="57" t="s">
        <v>4</v>
      </c>
      <c r="L31" s="68"/>
    </row>
    <row r="32" spans="2:19" ht="20.100000000000001" customHeight="1" x14ac:dyDescent="0.25">
      <c r="B32" s="263" t="s">
        <v>541</v>
      </c>
      <c r="C32" s="264"/>
      <c r="D32" s="264"/>
      <c r="E32" s="264"/>
      <c r="F32" s="264"/>
      <c r="G32" s="264"/>
      <c r="H32" s="264"/>
      <c r="I32" s="264"/>
      <c r="J32" s="264"/>
      <c r="K32" s="57" t="s">
        <v>2</v>
      </c>
      <c r="L32" s="68"/>
    </row>
    <row r="33" spans="2:16" ht="20.100000000000001" customHeight="1" x14ac:dyDescent="0.25">
      <c r="B33" s="263" t="s">
        <v>542</v>
      </c>
      <c r="C33" s="264"/>
      <c r="D33" s="264"/>
      <c r="E33" s="264"/>
      <c r="F33" s="264"/>
      <c r="G33" s="264"/>
      <c r="H33" s="264"/>
      <c r="I33" s="264"/>
      <c r="J33" s="264"/>
      <c r="K33" s="57" t="s">
        <v>6</v>
      </c>
      <c r="L33" s="68"/>
    </row>
    <row r="34" spans="2:16" ht="20.100000000000001" customHeight="1" x14ac:dyDescent="0.25">
      <c r="B34" s="263" t="s">
        <v>327</v>
      </c>
      <c r="C34" s="264"/>
      <c r="D34" s="264"/>
      <c r="E34" s="264"/>
      <c r="F34" s="264"/>
      <c r="G34" s="264"/>
      <c r="H34" s="264"/>
      <c r="I34" s="264"/>
      <c r="J34" s="264"/>
      <c r="K34" s="57" t="s">
        <v>7</v>
      </c>
      <c r="L34" s="68"/>
      <c r="N34" s="16"/>
    </row>
    <row r="35" spans="2:16" ht="20.100000000000001" customHeight="1" x14ac:dyDescent="0.25">
      <c r="B35" s="362" t="s">
        <v>619</v>
      </c>
      <c r="C35" s="363"/>
      <c r="D35" s="363"/>
      <c r="E35" s="363"/>
      <c r="F35" s="363"/>
      <c r="G35" s="363"/>
      <c r="H35" s="363"/>
      <c r="I35" s="363"/>
      <c r="J35" s="364"/>
      <c r="K35" s="66" t="s">
        <v>264</v>
      </c>
      <c r="L35" s="67"/>
      <c r="N35" s="16"/>
    </row>
    <row r="36" spans="2:16" ht="20.100000000000001" customHeight="1" x14ac:dyDescent="0.25">
      <c r="B36" s="263" t="s">
        <v>114</v>
      </c>
      <c r="C36" s="264"/>
      <c r="D36" s="264"/>
      <c r="E36" s="264"/>
      <c r="F36" s="264"/>
      <c r="G36" s="264"/>
      <c r="H36" s="264"/>
      <c r="I36" s="264"/>
      <c r="J36" s="264"/>
      <c r="K36" s="66" t="s">
        <v>8</v>
      </c>
      <c r="L36" s="136"/>
      <c r="M36" s="76"/>
      <c r="P36" s="16"/>
    </row>
    <row r="37" spans="2:16" ht="20.100000000000001" customHeight="1" x14ac:dyDescent="0.25">
      <c r="B37" s="263" t="s">
        <v>620</v>
      </c>
      <c r="C37" s="264"/>
      <c r="D37" s="264"/>
      <c r="E37" s="264"/>
      <c r="F37" s="264"/>
      <c r="G37" s="264"/>
      <c r="H37" s="264"/>
      <c r="I37" s="264"/>
      <c r="J37" s="264"/>
      <c r="K37" s="66" t="s">
        <v>326</v>
      </c>
      <c r="L37" s="68"/>
      <c r="M37" s="76"/>
      <c r="P37" s="16"/>
    </row>
    <row r="38" spans="2:16" ht="20.100000000000001" customHeight="1" x14ac:dyDescent="0.25">
      <c r="B38" s="263" t="s">
        <v>115</v>
      </c>
      <c r="C38" s="264"/>
      <c r="D38" s="264"/>
      <c r="E38" s="264"/>
      <c r="F38" s="264"/>
      <c r="G38" s="264"/>
      <c r="H38" s="264"/>
      <c r="I38" s="264"/>
      <c r="J38" s="264"/>
      <c r="K38" s="66" t="s">
        <v>618</v>
      </c>
      <c r="L38" s="68"/>
      <c r="M38" s="76"/>
      <c r="P38" s="16"/>
    </row>
    <row r="39" spans="2:16" ht="20.100000000000001" customHeight="1" x14ac:dyDescent="0.25">
      <c r="B39" s="263" t="s">
        <v>621</v>
      </c>
      <c r="C39" s="264"/>
      <c r="D39" s="264"/>
      <c r="E39" s="264"/>
      <c r="F39" s="264"/>
      <c r="G39" s="264"/>
      <c r="H39" s="264"/>
      <c r="I39" s="264"/>
      <c r="J39" s="264"/>
      <c r="K39" s="66" t="s">
        <v>9</v>
      </c>
      <c r="L39" s="68"/>
    </row>
    <row r="40" spans="2:16" ht="20.100000000000001" customHeight="1" x14ac:dyDescent="0.25">
      <c r="B40" s="263" t="s">
        <v>117</v>
      </c>
      <c r="C40" s="264"/>
      <c r="D40" s="264"/>
      <c r="E40" s="264"/>
      <c r="F40" s="264"/>
      <c r="G40" s="264"/>
      <c r="H40" s="264"/>
      <c r="I40" s="264"/>
      <c r="J40" s="264"/>
      <c r="K40" s="57" t="s">
        <v>10</v>
      </c>
      <c r="L40" s="67"/>
    </row>
    <row r="41" spans="2:16" ht="30" customHeight="1" x14ac:dyDescent="0.25">
      <c r="B41" s="267" t="s">
        <v>331</v>
      </c>
      <c r="C41" s="268"/>
      <c r="D41" s="268"/>
      <c r="E41" s="268"/>
      <c r="F41" s="268"/>
      <c r="G41" s="268"/>
      <c r="H41" s="268"/>
      <c r="I41" s="268"/>
      <c r="J41" s="268"/>
      <c r="K41" s="66" t="s">
        <v>11</v>
      </c>
      <c r="L41" s="67"/>
      <c r="M41" s="207"/>
    </row>
    <row r="42" spans="2:16" ht="20.100000000000001" customHeight="1" x14ac:dyDescent="0.25">
      <c r="B42" s="263" t="s">
        <v>116</v>
      </c>
      <c r="C42" s="264"/>
      <c r="D42" s="264"/>
      <c r="E42" s="264"/>
      <c r="F42" s="264"/>
      <c r="G42" s="264"/>
      <c r="H42" s="264"/>
      <c r="I42" s="264"/>
      <c r="J42" s="264"/>
      <c r="K42" s="57" t="s">
        <v>12</v>
      </c>
      <c r="L42" s="67"/>
      <c r="M42" s="207"/>
    </row>
    <row r="43" spans="2:16" ht="20.100000000000001" customHeight="1" x14ac:dyDescent="0.25">
      <c r="B43" s="267" t="s">
        <v>311</v>
      </c>
      <c r="C43" s="268"/>
      <c r="D43" s="268"/>
      <c r="E43" s="268"/>
      <c r="F43" s="268"/>
      <c r="G43" s="268"/>
      <c r="H43" s="268"/>
      <c r="I43" s="268"/>
      <c r="J43" s="268"/>
      <c r="K43" s="140" t="s">
        <v>13</v>
      </c>
      <c r="L43" s="67"/>
    </row>
    <row r="44" spans="2:16" ht="20.100000000000001" customHeight="1" x14ac:dyDescent="0.25">
      <c r="B44" s="267" t="s">
        <v>312</v>
      </c>
      <c r="C44" s="268"/>
      <c r="D44" s="268"/>
      <c r="E44" s="268"/>
      <c r="F44" s="268"/>
      <c r="G44" s="268"/>
      <c r="H44" s="268"/>
      <c r="I44" s="268"/>
      <c r="J44" s="268"/>
      <c r="K44" s="140" t="s">
        <v>14</v>
      </c>
      <c r="L44" s="67"/>
    </row>
    <row r="45" spans="2:16" ht="20.100000000000001" customHeight="1" x14ac:dyDescent="0.25">
      <c r="B45" s="267" t="s">
        <v>330</v>
      </c>
      <c r="C45" s="268"/>
      <c r="D45" s="268"/>
      <c r="E45" s="268"/>
      <c r="F45" s="268"/>
      <c r="G45" s="268"/>
      <c r="H45" s="268"/>
      <c r="I45" s="268"/>
      <c r="J45" s="268"/>
      <c r="K45" s="140" t="s">
        <v>15</v>
      </c>
      <c r="L45" s="136"/>
    </row>
    <row r="46" spans="2:16" ht="30" customHeight="1" x14ac:dyDescent="0.25">
      <c r="B46" s="270" t="s">
        <v>543</v>
      </c>
      <c r="C46" s="271"/>
      <c r="D46" s="271"/>
      <c r="E46" s="271"/>
      <c r="F46" s="271"/>
      <c r="G46" s="271"/>
      <c r="H46" s="271"/>
      <c r="I46" s="271"/>
      <c r="J46" s="271"/>
      <c r="K46" s="37" t="s">
        <v>17</v>
      </c>
      <c r="L46" s="137"/>
    </row>
    <row r="47" spans="2:16" ht="19.5" customHeight="1" x14ac:dyDescent="0.25">
      <c r="B47" s="269" t="s">
        <v>118</v>
      </c>
      <c r="C47" s="269"/>
      <c r="D47" s="269"/>
      <c r="E47" s="269"/>
      <c r="F47" s="269"/>
      <c r="G47" s="269"/>
      <c r="H47" s="269"/>
      <c r="I47" s="269"/>
      <c r="J47" s="269"/>
      <c r="K47" s="269"/>
      <c r="L47" s="77"/>
    </row>
    <row r="48" spans="2:16" ht="15" customHeight="1" x14ac:dyDescent="0.25">
      <c r="B48" s="266" t="s">
        <v>119</v>
      </c>
      <c r="C48" s="266"/>
      <c r="D48" s="266"/>
      <c r="E48" s="266"/>
      <c r="F48" s="266"/>
      <c r="G48" s="266"/>
      <c r="H48" s="266"/>
      <c r="I48" s="266"/>
      <c r="J48" s="266"/>
      <c r="K48" s="266"/>
      <c r="L48" s="266"/>
    </row>
    <row r="49" spans="2:12" x14ac:dyDescent="0.25">
      <c r="B49" s="266" t="s">
        <v>622</v>
      </c>
      <c r="C49" s="266"/>
      <c r="D49" s="266"/>
      <c r="E49" s="266"/>
      <c r="F49" s="266"/>
      <c r="G49" s="266"/>
      <c r="H49" s="266"/>
      <c r="I49" s="266"/>
      <c r="J49" s="266"/>
      <c r="K49" s="266"/>
      <c r="L49" s="266"/>
    </row>
    <row r="50" spans="2:12" ht="26.25" customHeight="1" x14ac:dyDescent="0.25">
      <c r="B50" s="266" t="s">
        <v>623</v>
      </c>
      <c r="C50" s="266"/>
      <c r="D50" s="266"/>
      <c r="E50" s="266"/>
      <c r="F50" s="266"/>
      <c r="G50" s="266"/>
      <c r="H50" s="266"/>
      <c r="I50" s="266"/>
      <c r="J50" s="266"/>
      <c r="K50" s="266"/>
      <c r="L50" s="266"/>
    </row>
    <row r="51" spans="2:12" ht="15" customHeight="1" x14ac:dyDescent="0.25">
      <c r="B51" s="266" t="s">
        <v>624</v>
      </c>
      <c r="C51" s="266"/>
      <c r="D51" s="266"/>
      <c r="E51" s="266"/>
      <c r="F51" s="266"/>
      <c r="G51" s="266"/>
      <c r="H51" s="266"/>
      <c r="I51" s="266"/>
      <c r="J51" s="266"/>
      <c r="K51" s="266"/>
      <c r="L51" s="266"/>
    </row>
    <row r="52" spans="2:12" ht="15" customHeight="1" x14ac:dyDescent="0.25">
      <c r="B52" s="266" t="s">
        <v>625</v>
      </c>
      <c r="C52" s="266"/>
      <c r="D52" s="266"/>
      <c r="E52" s="266"/>
      <c r="F52" s="266"/>
      <c r="G52" s="266"/>
      <c r="H52" s="266"/>
      <c r="I52" s="266"/>
      <c r="J52" s="266"/>
      <c r="K52" s="266"/>
      <c r="L52" s="266"/>
    </row>
    <row r="53" spans="2:12" ht="15" customHeight="1" x14ac:dyDescent="0.25">
      <c r="B53" s="78"/>
      <c r="C53" s="78"/>
      <c r="D53" s="78"/>
      <c r="E53" s="78"/>
      <c r="F53" s="78"/>
      <c r="G53" s="78"/>
      <c r="H53" s="78"/>
      <c r="I53" s="78"/>
      <c r="J53" s="78"/>
      <c r="K53" s="78"/>
      <c r="L53" s="78"/>
    </row>
    <row r="54" spans="2:12" ht="21" customHeight="1" x14ac:dyDescent="0.25">
      <c r="B54" s="273" t="s">
        <v>120</v>
      </c>
      <c r="C54" s="274"/>
      <c r="D54" s="274"/>
      <c r="E54" s="274"/>
      <c r="F54" s="274"/>
      <c r="G54" s="274"/>
      <c r="H54" s="274"/>
      <c r="I54" s="274"/>
      <c r="J54" s="274"/>
      <c r="K54" s="274"/>
      <c r="L54" s="275"/>
    </row>
    <row r="55" spans="2:12" ht="17.25" customHeight="1" x14ac:dyDescent="0.25">
      <c r="B55" s="49" t="s">
        <v>91</v>
      </c>
      <c r="H55" s="1" t="s">
        <v>94</v>
      </c>
      <c r="L55" s="48"/>
    </row>
    <row r="56" spans="2:12" ht="3.9" customHeight="1" x14ac:dyDescent="0.25">
      <c r="B56" s="139"/>
      <c r="C56" s="98"/>
      <c r="D56" s="98"/>
      <c r="E56" s="98"/>
      <c r="F56" s="98"/>
      <c r="G56" s="98"/>
      <c r="L56" s="48"/>
    </row>
    <row r="57" spans="2:12" ht="15.75" customHeight="1" x14ac:dyDescent="0.25">
      <c r="B57" s="49" t="s">
        <v>292</v>
      </c>
      <c r="C57" s="138"/>
      <c r="H57" s="1" t="s">
        <v>292</v>
      </c>
      <c r="I57" s="138"/>
      <c r="L57" s="48"/>
    </row>
    <row r="58" spans="2:12" ht="3.9" customHeight="1" x14ac:dyDescent="0.25">
      <c r="B58" s="139"/>
      <c r="C58" s="98"/>
      <c r="D58" s="98"/>
      <c r="E58" s="98"/>
      <c r="F58" s="98"/>
      <c r="H58" s="98"/>
      <c r="L58" s="48"/>
    </row>
    <row r="59" spans="2:12" ht="15.75" customHeight="1" x14ac:dyDescent="0.25">
      <c r="B59" s="49" t="s">
        <v>92</v>
      </c>
      <c r="C59" s="265"/>
      <c r="D59" s="265"/>
      <c r="E59" s="265"/>
      <c r="F59" s="265"/>
      <c r="G59" s="265"/>
      <c r="H59" s="98" t="s">
        <v>92</v>
      </c>
      <c r="I59" s="265"/>
      <c r="J59" s="265"/>
      <c r="K59" s="265"/>
      <c r="L59" s="48"/>
    </row>
    <row r="60" spans="2:12" ht="16.5" customHeight="1" x14ac:dyDescent="0.25">
      <c r="B60" s="49" t="s">
        <v>93</v>
      </c>
      <c r="H60" s="1" t="s">
        <v>93</v>
      </c>
      <c r="L60" s="48"/>
    </row>
    <row r="61" spans="2:12" ht="3.9" customHeight="1" x14ac:dyDescent="0.25">
      <c r="B61" s="49"/>
      <c r="L61" s="48"/>
    </row>
    <row r="62" spans="2:12" x14ac:dyDescent="0.25">
      <c r="B62" s="139" t="s">
        <v>121</v>
      </c>
      <c r="C62" s="42"/>
      <c r="L62" s="48"/>
    </row>
    <row r="63" spans="2:12" x14ac:dyDescent="0.25">
      <c r="B63" s="49"/>
      <c r="C63" s="79" t="s">
        <v>122</v>
      </c>
      <c r="E63" s="80"/>
      <c r="F63" s="80"/>
      <c r="L63" s="48"/>
    </row>
    <row r="64" spans="2:12" x14ac:dyDescent="0.25">
      <c r="B64" s="50"/>
      <c r="C64" s="51"/>
      <c r="D64" s="51"/>
      <c r="E64" s="51"/>
      <c r="F64" s="51"/>
      <c r="G64" s="51"/>
      <c r="H64" s="51"/>
      <c r="I64" s="51"/>
      <c r="J64" s="51"/>
      <c r="K64" s="51"/>
      <c r="L64" s="52"/>
    </row>
    <row r="65" spans="2:12" x14ac:dyDescent="0.25">
      <c r="B65" s="1"/>
      <c r="L65" s="365"/>
    </row>
    <row r="66" spans="2:12" x14ac:dyDescent="0.25">
      <c r="L66" s="365"/>
    </row>
  </sheetData>
  <mergeCells count="54">
    <mergeCell ref="B38:J38"/>
    <mergeCell ref="B35:J35"/>
    <mergeCell ref="B52:L52"/>
    <mergeCell ref="H14:J14"/>
    <mergeCell ref="C14:F14"/>
    <mergeCell ref="B50:L50"/>
    <mergeCell ref="B51:L51"/>
    <mergeCell ref="B54:L54"/>
    <mergeCell ref="K23:L23"/>
    <mergeCell ref="B24:C24"/>
    <mergeCell ref="D24:L24"/>
    <mergeCell ref="B27:L27"/>
    <mergeCell ref="B28:J28"/>
    <mergeCell ref="B19:H19"/>
    <mergeCell ref="B21:F21"/>
    <mergeCell ref="G21:H21"/>
    <mergeCell ref="B33:J33"/>
    <mergeCell ref="B23:F23"/>
    <mergeCell ref="G23:J23"/>
    <mergeCell ref="C59:G59"/>
    <mergeCell ref="I59:K59"/>
    <mergeCell ref="B49:L49"/>
    <mergeCell ref="B34:J34"/>
    <mergeCell ref="B36:J36"/>
    <mergeCell ref="B37:J37"/>
    <mergeCell ref="B39:J39"/>
    <mergeCell ref="B40:J40"/>
    <mergeCell ref="B41:J41"/>
    <mergeCell ref="B43:J43"/>
    <mergeCell ref="B47:K47"/>
    <mergeCell ref="B48:L48"/>
    <mergeCell ref="B44:J44"/>
    <mergeCell ref="B45:J45"/>
    <mergeCell ref="B46:J46"/>
    <mergeCell ref="B42:J42"/>
    <mergeCell ref="B29:J29"/>
    <mergeCell ref="B30:J30"/>
    <mergeCell ref="B31:J31"/>
    <mergeCell ref="B32:J32"/>
    <mergeCell ref="B16:F16"/>
    <mergeCell ref="B17:F17"/>
    <mergeCell ref="B2:L2"/>
    <mergeCell ref="D4:L4"/>
    <mergeCell ref="B5:L5"/>
    <mergeCell ref="B7:L7"/>
    <mergeCell ref="B8:F8"/>
    <mergeCell ref="G8:J8"/>
    <mergeCell ref="B13:L13"/>
    <mergeCell ref="B9:L9"/>
    <mergeCell ref="B10:F10"/>
    <mergeCell ref="G10:J10"/>
    <mergeCell ref="B11:L11"/>
    <mergeCell ref="B12:F12"/>
    <mergeCell ref="G12:J12"/>
  </mergeCells>
  <printOptions horizontalCentered="1"/>
  <pageMargins left="0.39370078740157483" right="0.39370078740157483" top="0.19685039370078741" bottom="0.19685039370078741" header="0.51181102362204722" footer="0.51181102362204722"/>
  <pageSetup scale="57"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53"/>
  <sheetViews>
    <sheetView zoomScale="85" zoomScaleNormal="85" zoomScaleSheetLayoutView="100" workbookViewId="0">
      <selection activeCell="D7" sqref="D7:D44"/>
    </sheetView>
  </sheetViews>
  <sheetFormatPr defaultColWidth="9.109375" defaultRowHeight="13.2" x14ac:dyDescent="0.25"/>
  <cols>
    <col min="1" max="1" width="0.88671875" style="4" customWidth="1"/>
    <col min="2" max="2" width="127.44140625" style="4" customWidth="1"/>
    <col min="3" max="3" width="7.33203125" style="95" customWidth="1"/>
    <col min="4" max="4" width="20.33203125" style="4" customWidth="1"/>
    <col min="5" max="5" width="3.5546875" style="4" customWidth="1"/>
    <col min="6" max="6" width="10.109375" style="4" bestFit="1" customWidth="1"/>
    <col min="7" max="12" width="6.6640625" style="4" customWidth="1"/>
    <col min="13" max="15" width="7.5546875" style="4" customWidth="1"/>
    <col min="16" max="16384" width="9.109375" style="4"/>
  </cols>
  <sheetData>
    <row r="1" spans="1:6" x14ac:dyDescent="0.25">
      <c r="A1" s="4" t="s">
        <v>16</v>
      </c>
      <c r="B1" s="282"/>
      <c r="C1" s="282"/>
      <c r="D1" s="282"/>
    </row>
    <row r="2" spans="1:6" ht="18" customHeight="1" x14ac:dyDescent="0.25">
      <c r="B2" s="259" t="s">
        <v>123</v>
      </c>
      <c r="C2" s="255"/>
      <c r="D2" s="255"/>
    </row>
    <row r="3" spans="1:6" x14ac:dyDescent="0.25">
      <c r="C3" s="4" t="s">
        <v>90</v>
      </c>
      <c r="D3" s="107">
        <f>list01!C4</f>
        <v>0</v>
      </c>
    </row>
    <row r="4" spans="1:6" ht="23.25" customHeight="1" x14ac:dyDescent="0.25">
      <c r="B4" s="283" t="s">
        <v>124</v>
      </c>
      <c r="C4" s="283"/>
      <c r="D4" s="283"/>
    </row>
    <row r="5" spans="1:6" ht="31.5" customHeight="1" x14ac:dyDescent="0.25">
      <c r="B5" s="101" t="s">
        <v>125</v>
      </c>
      <c r="C5" s="101" t="s">
        <v>113</v>
      </c>
      <c r="D5" s="101" t="s">
        <v>3</v>
      </c>
    </row>
    <row r="6" spans="1:6" s="90" customFormat="1" ht="15" customHeight="1" x14ac:dyDescent="0.25">
      <c r="B6" s="109">
        <v>1</v>
      </c>
      <c r="C6" s="109">
        <v>2</v>
      </c>
      <c r="D6" s="109">
        <v>3</v>
      </c>
    </row>
    <row r="7" spans="1:6" s="5" customFormat="1" ht="15" customHeight="1" x14ac:dyDescent="0.25">
      <c r="A7" s="1"/>
      <c r="B7" s="103" t="s">
        <v>313</v>
      </c>
      <c r="C7" s="63" t="s">
        <v>0</v>
      </c>
      <c r="D7" s="29">
        <f>SUM(D15:D36)+D8-D25-D27</f>
        <v>0</v>
      </c>
      <c r="E7" s="1"/>
      <c r="F7" s="28"/>
    </row>
    <row r="8" spans="1:6" s="1" customFormat="1" ht="15" customHeight="1" x14ac:dyDescent="0.25">
      <c r="B8" s="99" t="s">
        <v>126</v>
      </c>
      <c r="C8" s="57" t="s">
        <v>1</v>
      </c>
      <c r="D8" s="23">
        <f>SUM(D9:D14)</f>
        <v>0</v>
      </c>
    </row>
    <row r="9" spans="1:6" s="1" customFormat="1" ht="15" customHeight="1" x14ac:dyDescent="0.25">
      <c r="B9" s="38"/>
      <c r="C9" s="57" t="s">
        <v>32</v>
      </c>
      <c r="D9" s="24"/>
    </row>
    <row r="10" spans="1:6" s="1" customFormat="1" ht="15" customHeight="1" x14ac:dyDescent="0.25">
      <c r="B10" s="38"/>
      <c r="C10" s="57" t="s">
        <v>33</v>
      </c>
      <c r="D10" s="24"/>
    </row>
    <row r="11" spans="1:6" s="1" customFormat="1" ht="15" customHeight="1" x14ac:dyDescent="0.25">
      <c r="B11" s="38"/>
      <c r="C11" s="57" t="s">
        <v>38</v>
      </c>
      <c r="D11" s="24"/>
    </row>
    <row r="12" spans="1:6" s="1" customFormat="1" ht="15" customHeight="1" x14ac:dyDescent="0.25">
      <c r="B12" s="38"/>
      <c r="C12" s="57" t="s">
        <v>39</v>
      </c>
      <c r="D12" s="24"/>
    </row>
    <row r="13" spans="1:6" s="1" customFormat="1" ht="15" customHeight="1" x14ac:dyDescent="0.25">
      <c r="B13" s="38"/>
      <c r="C13" s="57" t="s">
        <v>40</v>
      </c>
      <c r="D13" s="24"/>
    </row>
    <row r="14" spans="1:6" s="1" customFormat="1" ht="15" customHeight="1" x14ac:dyDescent="0.25">
      <c r="B14" s="38"/>
      <c r="C14" s="57" t="s">
        <v>78</v>
      </c>
      <c r="D14" s="24"/>
    </row>
    <row r="15" spans="1:6" s="1" customFormat="1" ht="15" customHeight="1" x14ac:dyDescent="0.25">
      <c r="B15" s="99" t="s">
        <v>127</v>
      </c>
      <c r="C15" s="57" t="s">
        <v>4</v>
      </c>
      <c r="D15" s="24"/>
    </row>
    <row r="16" spans="1:6" s="1" customFormat="1" ht="15" customHeight="1" x14ac:dyDescent="0.25">
      <c r="B16" s="99" t="s">
        <v>128</v>
      </c>
      <c r="C16" s="57" t="s">
        <v>2</v>
      </c>
      <c r="D16" s="24"/>
      <c r="E16" s="5"/>
    </row>
    <row r="17" spans="1:5" s="1" customFormat="1" ht="15" customHeight="1" x14ac:dyDescent="0.25">
      <c r="B17" s="60" t="s">
        <v>291</v>
      </c>
      <c r="C17" s="88" t="s">
        <v>6</v>
      </c>
      <c r="D17" s="24"/>
      <c r="E17" s="5"/>
    </row>
    <row r="18" spans="1:5" s="1" customFormat="1" ht="15" customHeight="1" x14ac:dyDescent="0.25">
      <c r="B18" s="99" t="s">
        <v>129</v>
      </c>
      <c r="C18" s="57" t="s">
        <v>7</v>
      </c>
      <c r="D18" s="24"/>
    </row>
    <row r="19" spans="1:5" s="1" customFormat="1" ht="15" customHeight="1" x14ac:dyDescent="0.25">
      <c r="B19" s="99" t="s">
        <v>130</v>
      </c>
      <c r="C19" s="57" t="s">
        <v>8</v>
      </c>
      <c r="D19" s="24"/>
    </row>
    <row r="20" spans="1:5" s="1" customFormat="1" ht="15" customHeight="1" x14ac:dyDescent="0.25">
      <c r="B20" s="99" t="s">
        <v>131</v>
      </c>
      <c r="C20" s="57" t="s">
        <v>9</v>
      </c>
      <c r="D20" s="24"/>
    </row>
    <row r="21" spans="1:5" s="1" customFormat="1" ht="15" customHeight="1" x14ac:dyDescent="0.25">
      <c r="B21" s="99" t="s">
        <v>268</v>
      </c>
      <c r="C21" s="57" t="s">
        <v>10</v>
      </c>
      <c r="D21" s="24"/>
    </row>
    <row r="22" spans="1:5" s="1" customFormat="1" ht="15" customHeight="1" x14ac:dyDescent="0.25">
      <c r="B22" s="99" t="s">
        <v>132</v>
      </c>
      <c r="C22" s="57" t="s">
        <v>11</v>
      </c>
      <c r="D22" s="24"/>
    </row>
    <row r="23" spans="1:5" s="1" customFormat="1" ht="15" customHeight="1" x14ac:dyDescent="0.25">
      <c r="B23" s="99" t="s">
        <v>133</v>
      </c>
      <c r="C23" s="57" t="s">
        <v>12</v>
      </c>
      <c r="D23" s="24"/>
    </row>
    <row r="24" spans="1:5" s="1" customFormat="1" ht="15" customHeight="1" x14ac:dyDescent="0.25">
      <c r="B24" s="99" t="s">
        <v>134</v>
      </c>
      <c r="C24" s="57" t="s">
        <v>13</v>
      </c>
      <c r="D24" s="24"/>
    </row>
    <row r="25" spans="1:5" s="5" customFormat="1" ht="15" customHeight="1" x14ac:dyDescent="0.25">
      <c r="A25" s="1"/>
      <c r="B25" s="62" t="s">
        <v>135</v>
      </c>
      <c r="C25" s="57" t="s">
        <v>55</v>
      </c>
      <c r="D25" s="24"/>
    </row>
    <row r="26" spans="1:5" s="1" customFormat="1" ht="15" customHeight="1" x14ac:dyDescent="0.25">
      <c r="B26" s="99" t="s">
        <v>136</v>
      </c>
      <c r="C26" s="57" t="s">
        <v>14</v>
      </c>
      <c r="D26" s="24"/>
    </row>
    <row r="27" spans="1:5" s="1" customFormat="1" ht="15" customHeight="1" x14ac:dyDescent="0.25">
      <c r="B27" s="62" t="s">
        <v>279</v>
      </c>
      <c r="C27" s="57" t="s">
        <v>277</v>
      </c>
      <c r="D27" s="24"/>
    </row>
    <row r="28" spans="1:5" s="1" customFormat="1" ht="15" customHeight="1" x14ac:dyDescent="0.25">
      <c r="B28" s="99" t="s">
        <v>137</v>
      </c>
      <c r="C28" s="57" t="s">
        <v>15</v>
      </c>
      <c r="D28" s="24"/>
    </row>
    <row r="29" spans="1:5" s="1" customFormat="1" ht="28.5" customHeight="1" x14ac:dyDescent="0.25">
      <c r="B29" s="99" t="s">
        <v>281</v>
      </c>
      <c r="C29" s="57" t="s">
        <v>17</v>
      </c>
      <c r="D29" s="24"/>
    </row>
    <row r="30" spans="1:5" s="1" customFormat="1" ht="15" customHeight="1" x14ac:dyDescent="0.25">
      <c r="B30" s="99" t="s">
        <v>287</v>
      </c>
      <c r="C30" s="57" t="s">
        <v>18</v>
      </c>
      <c r="D30" s="24"/>
    </row>
    <row r="31" spans="1:5" s="1" customFormat="1" ht="15" customHeight="1" x14ac:dyDescent="0.25">
      <c r="B31" s="99" t="s">
        <v>438</v>
      </c>
      <c r="C31" s="57" t="s">
        <v>79</v>
      </c>
      <c r="D31" s="24"/>
    </row>
    <row r="32" spans="1:5" s="1" customFormat="1" ht="30" customHeight="1" x14ac:dyDescent="0.25">
      <c r="B32" s="99" t="s">
        <v>289</v>
      </c>
      <c r="C32" s="57" t="s">
        <v>80</v>
      </c>
      <c r="D32" s="24"/>
    </row>
    <row r="33" spans="2:4" s="1" customFormat="1" ht="15" customHeight="1" x14ac:dyDescent="0.25">
      <c r="B33" s="99" t="s">
        <v>253</v>
      </c>
      <c r="C33" s="57" t="s">
        <v>280</v>
      </c>
      <c r="D33" s="24"/>
    </row>
    <row r="34" spans="2:4" s="1" customFormat="1" ht="15" customHeight="1" x14ac:dyDescent="0.25">
      <c r="B34" s="151" t="s">
        <v>521</v>
      </c>
      <c r="C34" s="57" t="s">
        <v>285</v>
      </c>
      <c r="D34" s="23">
        <f>SUM(list13!F13:K13)</f>
        <v>0</v>
      </c>
    </row>
    <row r="35" spans="2:4" s="1" customFormat="1" ht="15" customHeight="1" x14ac:dyDescent="0.25">
      <c r="B35" s="99" t="s">
        <v>138</v>
      </c>
      <c r="C35" s="57" t="s">
        <v>286</v>
      </c>
      <c r="D35" s="24"/>
    </row>
    <row r="36" spans="2:4" s="1" customFormat="1" ht="15" customHeight="1" x14ac:dyDescent="0.25">
      <c r="B36" s="112" t="s">
        <v>314</v>
      </c>
      <c r="C36" s="57" t="s">
        <v>290</v>
      </c>
      <c r="D36" s="23">
        <f>SUM(D37:D44)</f>
        <v>0</v>
      </c>
    </row>
    <row r="37" spans="2:4" s="1" customFormat="1" ht="15" customHeight="1" x14ac:dyDescent="0.25">
      <c r="B37" s="58"/>
      <c r="C37" s="57" t="s">
        <v>315</v>
      </c>
      <c r="D37" s="24"/>
    </row>
    <row r="38" spans="2:4" s="1" customFormat="1" ht="15" customHeight="1" x14ac:dyDescent="0.25">
      <c r="B38" s="58"/>
      <c r="C38" s="57" t="s">
        <v>316</v>
      </c>
      <c r="D38" s="24"/>
    </row>
    <row r="39" spans="2:4" s="1" customFormat="1" ht="15" customHeight="1" x14ac:dyDescent="0.25">
      <c r="B39" s="58"/>
      <c r="C39" s="57" t="s">
        <v>317</v>
      </c>
      <c r="D39" s="24"/>
    </row>
    <row r="40" spans="2:4" s="1" customFormat="1" ht="15" customHeight="1" x14ac:dyDescent="0.25">
      <c r="B40" s="58"/>
      <c r="C40" s="57" t="s">
        <v>318</v>
      </c>
      <c r="D40" s="24"/>
    </row>
    <row r="41" spans="2:4" s="1" customFormat="1" ht="15" customHeight="1" x14ac:dyDescent="0.25">
      <c r="B41" s="58"/>
      <c r="C41" s="57" t="s">
        <v>319</v>
      </c>
      <c r="D41" s="24"/>
    </row>
    <row r="42" spans="2:4" s="1" customFormat="1" ht="15" customHeight="1" x14ac:dyDescent="0.25">
      <c r="B42" s="58"/>
      <c r="C42" s="57" t="s">
        <v>320</v>
      </c>
      <c r="D42" s="24"/>
    </row>
    <row r="43" spans="2:4" s="1" customFormat="1" ht="15" customHeight="1" x14ac:dyDescent="0.25">
      <c r="B43" s="58"/>
      <c r="C43" s="57" t="s">
        <v>321</v>
      </c>
      <c r="D43" s="24"/>
    </row>
    <row r="44" spans="2:4" s="1" customFormat="1" ht="15" customHeight="1" x14ac:dyDescent="0.25">
      <c r="B44" s="59"/>
      <c r="C44" s="37" t="s">
        <v>322</v>
      </c>
      <c r="D44" s="27"/>
    </row>
    <row r="45" spans="2:4" ht="15" customHeight="1" x14ac:dyDescent="0.25">
      <c r="B45" s="266" t="s">
        <v>139</v>
      </c>
      <c r="C45" s="266"/>
      <c r="D45" s="266"/>
    </row>
    <row r="46" spans="2:4" ht="15" customHeight="1" x14ac:dyDescent="0.25">
      <c r="B46" s="266" t="s">
        <v>140</v>
      </c>
      <c r="C46" s="266"/>
      <c r="D46" s="266"/>
    </row>
    <row r="47" spans="2:4" x14ac:dyDescent="0.25">
      <c r="B47" s="266" t="s">
        <v>141</v>
      </c>
      <c r="C47" s="266"/>
      <c r="D47" s="266"/>
    </row>
    <row r="48" spans="2:4" x14ac:dyDescent="0.25">
      <c r="B48" s="266" t="s">
        <v>142</v>
      </c>
      <c r="C48" s="266"/>
      <c r="D48" s="266"/>
    </row>
    <row r="49" spans="2:4" ht="25.5" customHeight="1" x14ac:dyDescent="0.25">
      <c r="B49" s="266" t="s">
        <v>492</v>
      </c>
      <c r="C49" s="266"/>
      <c r="D49" s="266"/>
    </row>
    <row r="50" spans="2:4" ht="20.100000000000001" customHeight="1" x14ac:dyDescent="0.25">
      <c r="B50" s="4" t="s">
        <v>91</v>
      </c>
    </row>
    <row r="51" spans="2:4" ht="15" customHeight="1" x14ac:dyDescent="0.25">
      <c r="B51" s="97"/>
    </row>
    <row r="52" spans="2:4" ht="20.100000000000001" customHeight="1" x14ac:dyDescent="0.25">
      <c r="B52" s="4" t="s">
        <v>95</v>
      </c>
    </row>
    <row r="53" spans="2:4" ht="15" customHeight="1" x14ac:dyDescent="0.25">
      <c r="B53" s="97"/>
    </row>
  </sheetData>
  <mergeCells count="8">
    <mergeCell ref="B49:D49"/>
    <mergeCell ref="B48:D48"/>
    <mergeCell ref="B1:D1"/>
    <mergeCell ref="B2:D2"/>
    <mergeCell ref="B4:D4"/>
    <mergeCell ref="B45:D45"/>
    <mergeCell ref="B46:D46"/>
    <mergeCell ref="B47:D47"/>
  </mergeCells>
  <printOptions horizontalCentered="1"/>
  <pageMargins left="0.37" right="0.23" top="0.61" bottom="0.98425196850393704" header="0.51181102362204722" footer="0.51181102362204722"/>
  <pageSetup paperSize="9" scale="75" orientation="portrait" r:id="rId1"/>
  <headerFooter alignWithMargins="0"/>
  <ignoredErrors>
    <ignoredError sqref="C7:C32 C33:C44" numberStoredAsText="1"/>
    <ignoredError sqref="D8"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J76"/>
  <sheetViews>
    <sheetView topLeftCell="A22" zoomScale="85" zoomScaleNormal="85" zoomScaleSheetLayoutView="70" workbookViewId="0">
      <selection activeCell="A47" sqref="A47:XFD47"/>
    </sheetView>
  </sheetViews>
  <sheetFormatPr defaultColWidth="9.109375" defaultRowHeight="13.2" x14ac:dyDescent="0.25"/>
  <cols>
    <col min="1" max="1" width="0.88671875" style="4" customWidth="1"/>
    <col min="2" max="2" width="147.109375" style="4" customWidth="1"/>
    <col min="3" max="3" width="8.6640625" style="95" customWidth="1"/>
    <col min="4" max="4" width="23" style="4" customWidth="1"/>
    <col min="5" max="5" width="23.5546875" style="4" customWidth="1"/>
    <col min="6" max="6" width="6.6640625" style="4" customWidth="1"/>
    <col min="7" max="7" width="7.109375" style="4" bestFit="1" customWidth="1"/>
    <col min="8" max="10" width="6.6640625" style="4" customWidth="1"/>
    <col min="11" max="13" width="7.5546875" style="4" customWidth="1"/>
    <col min="14" max="16384" width="9.109375" style="4"/>
  </cols>
  <sheetData>
    <row r="1" spans="1:5" x14ac:dyDescent="0.25">
      <c r="A1" s="4" t="s">
        <v>84</v>
      </c>
      <c r="C1" s="4"/>
    </row>
    <row r="2" spans="1:5" ht="18" customHeight="1" x14ac:dyDescent="0.25">
      <c r="B2" s="259" t="s">
        <v>143</v>
      </c>
      <c r="C2" s="255"/>
      <c r="D2" s="255"/>
      <c r="E2" s="255"/>
    </row>
    <row r="3" spans="1:5" x14ac:dyDescent="0.25">
      <c r="C3" s="4"/>
      <c r="D3" s="100" t="s">
        <v>90</v>
      </c>
      <c r="E3" s="107">
        <f>list01!C4</f>
        <v>0</v>
      </c>
    </row>
    <row r="4" spans="1:5" ht="27.75" customHeight="1" x14ac:dyDescent="0.25">
      <c r="B4" s="220" t="s">
        <v>525</v>
      </c>
      <c r="C4" s="203" t="s">
        <v>259</v>
      </c>
      <c r="D4" s="204">
        <f>IF(SUM(D8:D9)*100.0001%&lt;D10,"Ошибка",IF(D10&lt;SUM(D8:D9)*0.9,"Ошибка",SUM(D8:D9)))</f>
        <v>0</v>
      </c>
      <c r="E4" s="204">
        <f>IF(SUM(E8:E9)*100.0001%&lt;E10,"Ошибка",IF(E10&lt;SUM(E8:E9)*0.9,"Ошибка",SUM(E8:E9)))</f>
        <v>0</v>
      </c>
    </row>
    <row r="5" spans="1:5" ht="39.6" x14ac:dyDescent="0.25">
      <c r="B5" s="101" t="s">
        <v>332</v>
      </c>
      <c r="C5" s="101" t="s">
        <v>113</v>
      </c>
      <c r="D5" s="101" t="s">
        <v>144</v>
      </c>
      <c r="E5" s="101" t="s">
        <v>145</v>
      </c>
    </row>
    <row r="6" spans="1:5" s="90" customFormat="1" x14ac:dyDescent="0.25">
      <c r="B6" s="109">
        <v>1</v>
      </c>
      <c r="C6" s="109">
        <v>2</v>
      </c>
      <c r="D6" s="109">
        <v>3</v>
      </c>
      <c r="E6" s="109">
        <v>4</v>
      </c>
    </row>
    <row r="7" spans="1:5" s="1" customFormat="1" ht="15" customHeight="1" x14ac:dyDescent="0.25">
      <c r="B7" s="103" t="s">
        <v>333</v>
      </c>
      <c r="C7" s="63" t="s">
        <v>0</v>
      </c>
      <c r="D7" s="23">
        <f>SUM(D8:D9)</f>
        <v>0</v>
      </c>
      <c r="E7" s="23">
        <f>SUM(E8:E9)</f>
        <v>0</v>
      </c>
    </row>
    <row r="8" spans="1:5" s="1" customFormat="1" ht="15" customHeight="1" x14ac:dyDescent="0.25">
      <c r="B8" s="112" t="s">
        <v>432</v>
      </c>
      <c r="C8" s="57" t="s">
        <v>1</v>
      </c>
      <c r="D8" s="128"/>
      <c r="E8" s="24"/>
    </row>
    <row r="9" spans="1:5" s="1" customFormat="1" ht="15" customHeight="1" x14ac:dyDescent="0.25">
      <c r="B9" s="112" t="s">
        <v>444</v>
      </c>
      <c r="C9" s="57" t="s">
        <v>4</v>
      </c>
      <c r="D9" s="128"/>
      <c r="E9" s="24"/>
    </row>
    <row r="10" spans="1:5" s="1" customFormat="1" ht="15" customHeight="1" x14ac:dyDescent="0.25">
      <c r="B10" s="112" t="s">
        <v>445</v>
      </c>
      <c r="C10" s="57" t="s">
        <v>41</v>
      </c>
      <c r="D10" s="225">
        <f>SUM(D11:D51)-D46-D25-D17-D30-D50</f>
        <v>0</v>
      </c>
      <c r="E10" s="226">
        <f>SUM(E11:E51)-E46-E25-E17-E30-E50</f>
        <v>0</v>
      </c>
    </row>
    <row r="11" spans="1:5" s="1" customFormat="1" ht="15" customHeight="1" x14ac:dyDescent="0.25">
      <c r="B11" s="99" t="s">
        <v>146</v>
      </c>
      <c r="C11" s="57" t="s">
        <v>45</v>
      </c>
      <c r="D11" s="128"/>
      <c r="E11" s="24"/>
    </row>
    <row r="12" spans="1:5" s="1" customFormat="1" ht="15" customHeight="1" x14ac:dyDescent="0.25">
      <c r="B12" s="99" t="s">
        <v>147</v>
      </c>
      <c r="C12" s="57" t="s">
        <v>46</v>
      </c>
      <c r="D12" s="128"/>
      <c r="E12" s="24"/>
    </row>
    <row r="13" spans="1:5" s="1" customFormat="1" ht="15" customHeight="1" x14ac:dyDescent="0.25">
      <c r="B13" s="99" t="s">
        <v>148</v>
      </c>
      <c r="C13" s="57" t="s">
        <v>47</v>
      </c>
      <c r="D13" s="128"/>
      <c r="E13" s="24"/>
    </row>
    <row r="14" spans="1:5" s="1" customFormat="1" ht="15" customHeight="1" x14ac:dyDescent="0.25">
      <c r="B14" s="99" t="s">
        <v>149</v>
      </c>
      <c r="C14" s="57" t="s">
        <v>48</v>
      </c>
      <c r="D14" s="128"/>
      <c r="E14" s="24"/>
    </row>
    <row r="15" spans="1:5" s="1" customFormat="1" ht="15" customHeight="1" x14ac:dyDescent="0.25">
      <c r="B15" s="99" t="s">
        <v>150</v>
      </c>
      <c r="C15" s="57" t="s">
        <v>49</v>
      </c>
      <c r="D15" s="128"/>
      <c r="E15" s="24"/>
    </row>
    <row r="16" spans="1:5" s="1" customFormat="1" ht="15" customHeight="1" x14ac:dyDescent="0.25">
      <c r="A16" s="222"/>
      <c r="B16" s="60" t="s">
        <v>294</v>
      </c>
      <c r="C16" s="88" t="s">
        <v>50</v>
      </c>
      <c r="D16" s="128"/>
      <c r="E16" s="24"/>
    </row>
    <row r="17" spans="1:5" s="110" customFormat="1" ht="15" customHeight="1" x14ac:dyDescent="0.25">
      <c r="A17" s="223"/>
      <c r="B17" s="61" t="s">
        <v>296</v>
      </c>
      <c r="C17" s="113" t="s">
        <v>293</v>
      </c>
      <c r="D17" s="227"/>
      <c r="E17" s="228"/>
    </row>
    <row r="18" spans="1:5" s="110" customFormat="1" ht="15" customHeight="1" x14ac:dyDescent="0.25">
      <c r="A18" s="223"/>
      <c r="B18" s="60" t="s">
        <v>484</v>
      </c>
      <c r="C18" s="57" t="s">
        <v>51</v>
      </c>
      <c r="D18" s="227"/>
      <c r="E18" s="228"/>
    </row>
    <row r="19" spans="1:5" s="1" customFormat="1" ht="15" customHeight="1" x14ac:dyDescent="0.25">
      <c r="B19" s="99" t="s">
        <v>433</v>
      </c>
      <c r="C19" s="57" t="s">
        <v>52</v>
      </c>
      <c r="D19" s="128"/>
      <c r="E19" s="24"/>
    </row>
    <row r="20" spans="1:5" s="1" customFormat="1" ht="15" customHeight="1" x14ac:dyDescent="0.25">
      <c r="B20" s="99" t="s">
        <v>151</v>
      </c>
      <c r="C20" s="57" t="s">
        <v>53</v>
      </c>
      <c r="D20" s="128"/>
      <c r="E20" s="24"/>
    </row>
    <row r="21" spans="1:5" s="1" customFormat="1" ht="15" customHeight="1" x14ac:dyDescent="0.25">
      <c r="B21" s="99" t="s">
        <v>152</v>
      </c>
      <c r="C21" s="57" t="s">
        <v>54</v>
      </c>
      <c r="D21" s="128"/>
      <c r="E21" s="24"/>
    </row>
    <row r="22" spans="1:5" s="1" customFormat="1" ht="15" customHeight="1" x14ac:dyDescent="0.25">
      <c r="B22" s="99" t="s">
        <v>153</v>
      </c>
      <c r="C22" s="57" t="s">
        <v>28</v>
      </c>
      <c r="D22" s="128"/>
      <c r="E22" s="24"/>
    </row>
    <row r="23" spans="1:5" s="1" customFormat="1" ht="15" customHeight="1" x14ac:dyDescent="0.25">
      <c r="B23" s="99" t="s">
        <v>154</v>
      </c>
      <c r="C23" s="57" t="s">
        <v>29</v>
      </c>
      <c r="D23" s="128"/>
      <c r="E23" s="24"/>
    </row>
    <row r="24" spans="1:5" s="1" customFormat="1" ht="15" customHeight="1" x14ac:dyDescent="0.25">
      <c r="B24" s="60" t="s">
        <v>155</v>
      </c>
      <c r="C24" s="57" t="s">
        <v>61</v>
      </c>
      <c r="D24" s="128"/>
      <c r="E24" s="24"/>
    </row>
    <row r="25" spans="1:5" s="1" customFormat="1" ht="15" customHeight="1" x14ac:dyDescent="0.25">
      <c r="B25" s="61" t="s">
        <v>156</v>
      </c>
      <c r="C25" s="57" t="s">
        <v>496</v>
      </c>
      <c r="D25" s="128"/>
      <c r="E25" s="24"/>
    </row>
    <row r="26" spans="1:5" s="1" customFormat="1" ht="15" customHeight="1" x14ac:dyDescent="0.25">
      <c r="B26" s="99" t="s">
        <v>157</v>
      </c>
      <c r="C26" s="57" t="s">
        <v>62</v>
      </c>
      <c r="D26" s="128"/>
      <c r="E26" s="24"/>
    </row>
    <row r="27" spans="1:5" s="1" customFormat="1" ht="15" customHeight="1" x14ac:dyDescent="0.25">
      <c r="B27" s="99" t="s">
        <v>266</v>
      </c>
      <c r="C27" s="57" t="s">
        <v>63</v>
      </c>
      <c r="D27" s="128"/>
      <c r="E27" s="24"/>
    </row>
    <row r="28" spans="1:5" s="1" customFormat="1" ht="15" customHeight="1" x14ac:dyDescent="0.25">
      <c r="B28" s="99" t="s">
        <v>284</v>
      </c>
      <c r="C28" s="57" t="s">
        <v>64</v>
      </c>
      <c r="D28" s="128"/>
      <c r="E28" s="24"/>
    </row>
    <row r="29" spans="1:5" s="1" customFormat="1" ht="15" customHeight="1" x14ac:dyDescent="0.25">
      <c r="B29" s="99" t="s">
        <v>158</v>
      </c>
      <c r="C29" s="57" t="s">
        <v>65</v>
      </c>
      <c r="D29" s="128"/>
      <c r="E29" s="24"/>
    </row>
    <row r="30" spans="1:5" s="1" customFormat="1" ht="15" customHeight="1" x14ac:dyDescent="0.25">
      <c r="B30" s="99" t="s">
        <v>495</v>
      </c>
      <c r="C30" s="57" t="s">
        <v>66</v>
      </c>
      <c r="D30" s="128"/>
      <c r="E30" s="24"/>
    </row>
    <row r="31" spans="1:5" s="1" customFormat="1" ht="15" customHeight="1" x14ac:dyDescent="0.25">
      <c r="B31" s="99" t="s">
        <v>159</v>
      </c>
      <c r="C31" s="57" t="s">
        <v>67</v>
      </c>
      <c r="D31" s="128"/>
      <c r="E31" s="23">
        <f>D31</f>
        <v>0</v>
      </c>
    </row>
    <row r="32" spans="1:5" s="1" customFormat="1" ht="15" customHeight="1" x14ac:dyDescent="0.25">
      <c r="B32" s="99" t="s">
        <v>160</v>
      </c>
      <c r="C32" s="57" t="s">
        <v>68</v>
      </c>
      <c r="D32" s="128"/>
      <c r="E32" s="29">
        <f t="shared" ref="E32:E44" si="0">D32</f>
        <v>0</v>
      </c>
    </row>
    <row r="33" spans="1:5" s="1" customFormat="1" ht="15" customHeight="1" x14ac:dyDescent="0.25">
      <c r="B33" s="99" t="s">
        <v>269</v>
      </c>
      <c r="C33" s="57" t="s">
        <v>30</v>
      </c>
      <c r="D33" s="128"/>
      <c r="E33" s="23">
        <f>D33</f>
        <v>0</v>
      </c>
    </row>
    <row r="34" spans="1:5" s="1" customFormat="1" ht="39.6" x14ac:dyDescent="0.25">
      <c r="B34" s="99" t="s">
        <v>437</v>
      </c>
      <c r="C34" s="57" t="s">
        <v>31</v>
      </c>
      <c r="D34" s="128"/>
      <c r="E34" s="23">
        <f>D34</f>
        <v>0</v>
      </c>
    </row>
    <row r="35" spans="1:5" s="1" customFormat="1" ht="26.25" customHeight="1" x14ac:dyDescent="0.25">
      <c r="B35" s="99" t="s">
        <v>161</v>
      </c>
      <c r="C35" s="57" t="s">
        <v>69</v>
      </c>
      <c r="D35" s="128"/>
      <c r="E35" s="23">
        <f t="shared" si="0"/>
        <v>0</v>
      </c>
    </row>
    <row r="36" spans="1:5" s="1" customFormat="1" ht="15" customHeight="1" x14ac:dyDescent="0.25">
      <c r="A36" s="20"/>
      <c r="B36" s="60" t="s">
        <v>162</v>
      </c>
      <c r="C36" s="57" t="s">
        <v>70</v>
      </c>
      <c r="D36" s="128"/>
      <c r="E36" s="23">
        <f t="shared" si="0"/>
        <v>0</v>
      </c>
    </row>
    <row r="37" spans="1:5" s="1" customFormat="1" ht="15" customHeight="1" x14ac:dyDescent="0.25">
      <c r="B37" s="99" t="s">
        <v>163</v>
      </c>
      <c r="C37" s="57" t="s">
        <v>71</v>
      </c>
      <c r="D37" s="128"/>
      <c r="E37" s="23">
        <f t="shared" si="0"/>
        <v>0</v>
      </c>
    </row>
    <row r="38" spans="1:5" s="1" customFormat="1" ht="39.6" x14ac:dyDescent="0.25">
      <c r="B38" s="99" t="s">
        <v>436</v>
      </c>
      <c r="C38" s="57" t="s">
        <v>72</v>
      </c>
      <c r="D38" s="128"/>
      <c r="E38" s="23">
        <f t="shared" si="0"/>
        <v>0</v>
      </c>
    </row>
    <row r="39" spans="1:5" s="1" customFormat="1" ht="29.25" customHeight="1" x14ac:dyDescent="0.25">
      <c r="B39" s="99" t="s">
        <v>164</v>
      </c>
      <c r="C39" s="57" t="s">
        <v>73</v>
      </c>
      <c r="D39" s="128"/>
      <c r="E39" s="23">
        <f t="shared" si="0"/>
        <v>0</v>
      </c>
    </row>
    <row r="40" spans="1:5" s="1" customFormat="1" ht="29.25" customHeight="1" x14ac:dyDescent="0.25">
      <c r="B40" s="99" t="s">
        <v>270</v>
      </c>
      <c r="C40" s="57" t="s">
        <v>74</v>
      </c>
      <c r="D40" s="128"/>
      <c r="E40" s="23">
        <f t="shared" si="0"/>
        <v>0</v>
      </c>
    </row>
    <row r="41" spans="1:5" s="1" customFormat="1" ht="15" customHeight="1" x14ac:dyDescent="0.25">
      <c r="B41" s="99" t="s">
        <v>165</v>
      </c>
      <c r="C41" s="57" t="s">
        <v>75</v>
      </c>
      <c r="D41" s="128"/>
      <c r="E41" s="23">
        <f t="shared" si="0"/>
        <v>0</v>
      </c>
    </row>
    <row r="42" spans="1:5" s="1" customFormat="1" ht="43.5" customHeight="1" x14ac:dyDescent="0.25">
      <c r="B42" s="99" t="s">
        <v>435</v>
      </c>
      <c r="C42" s="57" t="s">
        <v>76</v>
      </c>
      <c r="D42" s="128"/>
      <c r="E42" s="23">
        <f t="shared" si="0"/>
        <v>0</v>
      </c>
    </row>
    <row r="43" spans="1:5" s="1" customFormat="1" ht="52.8" x14ac:dyDescent="0.25">
      <c r="B43" s="99" t="s">
        <v>434</v>
      </c>
      <c r="C43" s="57" t="s">
        <v>77</v>
      </c>
      <c r="D43" s="128"/>
      <c r="E43" s="23">
        <f t="shared" si="0"/>
        <v>0</v>
      </c>
    </row>
    <row r="44" spans="1:5" s="1" customFormat="1" ht="15" customHeight="1" x14ac:dyDescent="0.25">
      <c r="B44" s="99" t="s">
        <v>166</v>
      </c>
      <c r="C44" s="57" t="s">
        <v>477</v>
      </c>
      <c r="D44" s="128"/>
      <c r="E44" s="23">
        <f t="shared" si="0"/>
        <v>0</v>
      </c>
    </row>
    <row r="45" spans="1:5" s="1" customFormat="1" ht="15" customHeight="1" x14ac:dyDescent="0.25">
      <c r="B45" s="99" t="s">
        <v>167</v>
      </c>
      <c r="C45" s="57" t="s">
        <v>478</v>
      </c>
      <c r="D45" s="128"/>
      <c r="E45" s="24"/>
    </row>
    <row r="46" spans="1:5" s="1" customFormat="1" ht="15" customHeight="1" x14ac:dyDescent="0.25">
      <c r="B46" s="99" t="s">
        <v>325</v>
      </c>
      <c r="C46" s="57" t="s">
        <v>479</v>
      </c>
      <c r="D46" s="3">
        <f>SUM(D47:D48)</f>
        <v>0</v>
      </c>
      <c r="E46" s="23">
        <f>SUM(E47:E48)</f>
        <v>0</v>
      </c>
    </row>
    <row r="47" spans="1:5" s="1" customFormat="1" ht="15" customHeight="1" x14ac:dyDescent="0.25">
      <c r="B47" s="62" t="s">
        <v>168</v>
      </c>
      <c r="C47" s="57" t="s">
        <v>480</v>
      </c>
      <c r="D47" s="128"/>
      <c r="E47" s="24"/>
    </row>
    <row r="48" spans="1:5" s="1" customFormat="1" ht="15" customHeight="1" x14ac:dyDescent="0.25">
      <c r="B48" s="62" t="s">
        <v>169</v>
      </c>
      <c r="C48" s="57" t="s">
        <v>481</v>
      </c>
      <c r="D48" s="128"/>
      <c r="E48" s="24"/>
    </row>
    <row r="49" spans="2:5" s="1" customFormat="1" ht="15" customHeight="1" x14ac:dyDescent="0.25">
      <c r="B49" s="253" t="s">
        <v>594</v>
      </c>
      <c r="C49" s="57" t="s">
        <v>482</v>
      </c>
      <c r="D49" s="128"/>
      <c r="E49" s="24"/>
    </row>
    <row r="50" spans="2:5" s="1" customFormat="1" ht="15" customHeight="1" x14ac:dyDescent="0.25">
      <c r="B50" s="62" t="s">
        <v>595</v>
      </c>
      <c r="C50" s="57" t="s">
        <v>483</v>
      </c>
      <c r="D50" s="128"/>
      <c r="E50" s="24"/>
    </row>
    <row r="51" spans="2:5" s="1" customFormat="1" ht="15" customHeight="1" x14ac:dyDescent="0.25">
      <c r="B51" s="112" t="s">
        <v>606</v>
      </c>
      <c r="C51" s="57" t="s">
        <v>596</v>
      </c>
      <c r="D51" s="3">
        <f>SUM(D52:D60)</f>
        <v>0</v>
      </c>
      <c r="E51" s="3">
        <f>SUM(E52:E60)</f>
        <v>0</v>
      </c>
    </row>
    <row r="52" spans="2:5" s="1" customFormat="1" ht="15" customHeight="1" x14ac:dyDescent="0.25">
      <c r="B52" s="58"/>
      <c r="C52" s="57" t="s">
        <v>597</v>
      </c>
      <c r="D52" s="128"/>
      <c r="E52" s="24"/>
    </row>
    <row r="53" spans="2:5" s="1" customFormat="1" ht="15" customHeight="1" x14ac:dyDescent="0.25">
      <c r="B53" s="58"/>
      <c r="C53" s="57" t="s">
        <v>598</v>
      </c>
      <c r="D53" s="128"/>
      <c r="E53" s="24"/>
    </row>
    <row r="54" spans="2:5" s="1" customFormat="1" ht="15" customHeight="1" x14ac:dyDescent="0.25">
      <c r="B54" s="58"/>
      <c r="C54" s="57" t="s">
        <v>599</v>
      </c>
      <c r="D54" s="128"/>
      <c r="E54" s="24"/>
    </row>
    <row r="55" spans="2:5" s="1" customFormat="1" ht="15" customHeight="1" x14ac:dyDescent="0.25">
      <c r="B55" s="58"/>
      <c r="C55" s="57" t="s">
        <v>600</v>
      </c>
      <c r="D55" s="128"/>
      <c r="E55" s="24"/>
    </row>
    <row r="56" spans="2:5" s="1" customFormat="1" ht="15" customHeight="1" x14ac:dyDescent="0.25">
      <c r="B56" s="58"/>
      <c r="C56" s="57" t="s">
        <v>601</v>
      </c>
      <c r="D56" s="128"/>
      <c r="E56" s="24"/>
    </row>
    <row r="57" spans="2:5" s="1" customFormat="1" ht="15" customHeight="1" x14ac:dyDescent="0.25">
      <c r="B57" s="58"/>
      <c r="C57" s="57" t="s">
        <v>602</v>
      </c>
      <c r="D57" s="128"/>
      <c r="E57" s="24"/>
    </row>
    <row r="58" spans="2:5" s="1" customFormat="1" ht="15" customHeight="1" x14ac:dyDescent="0.25">
      <c r="B58" s="58"/>
      <c r="C58" s="57" t="s">
        <v>603</v>
      </c>
      <c r="D58" s="128"/>
      <c r="E58" s="24"/>
    </row>
    <row r="59" spans="2:5" s="1" customFormat="1" ht="15" customHeight="1" x14ac:dyDescent="0.25">
      <c r="B59" s="59"/>
      <c r="C59" s="37" t="s">
        <v>604</v>
      </c>
      <c r="D59" s="128"/>
      <c r="E59" s="24"/>
    </row>
    <row r="60" spans="2:5" s="1" customFormat="1" ht="15" customHeight="1" x14ac:dyDescent="0.25">
      <c r="B60" s="58"/>
      <c r="C60" s="57" t="s">
        <v>605</v>
      </c>
      <c r="D60" s="128"/>
      <c r="E60" s="24"/>
    </row>
    <row r="61" spans="2:5" s="1" customFormat="1" ht="5.25" customHeight="1" x14ac:dyDescent="0.25">
      <c r="B61" s="81"/>
      <c r="C61" s="82"/>
      <c r="D61" s="81"/>
      <c r="E61" s="81"/>
    </row>
    <row r="62" spans="2:5" x14ac:dyDescent="0.25">
      <c r="B62" s="284" t="s">
        <v>139</v>
      </c>
      <c r="C62" s="284"/>
      <c r="D62" s="284"/>
      <c r="E62" s="284"/>
    </row>
    <row r="63" spans="2:5" ht="15" customHeight="1" x14ac:dyDescent="0.25">
      <c r="B63" s="266" t="s">
        <v>170</v>
      </c>
      <c r="C63" s="266"/>
      <c r="D63" s="266"/>
      <c r="E63" s="266"/>
    </row>
    <row r="64" spans="2:5" x14ac:dyDescent="0.25">
      <c r="B64" s="285"/>
      <c r="C64" s="282"/>
      <c r="D64" s="285"/>
      <c r="E64" s="285"/>
    </row>
    <row r="65" spans="2:10" ht="15" customHeight="1" x14ac:dyDescent="0.25">
      <c r="B65" s="266" t="s">
        <v>485</v>
      </c>
      <c r="C65" s="266"/>
      <c r="D65" s="266"/>
      <c r="E65" s="266"/>
    </row>
    <row r="66" spans="2:10" ht="15" customHeight="1" x14ac:dyDescent="0.25">
      <c r="B66" s="266" t="s">
        <v>486</v>
      </c>
      <c r="C66" s="266"/>
      <c r="D66" s="266"/>
      <c r="E66" s="266"/>
    </row>
    <row r="67" spans="2:10" ht="15" customHeight="1" x14ac:dyDescent="0.25">
      <c r="B67" s="266" t="s">
        <v>493</v>
      </c>
      <c r="C67" s="266"/>
      <c r="D67" s="266"/>
      <c r="E67" s="266"/>
    </row>
    <row r="68" spans="2:10" ht="25.5" customHeight="1" x14ac:dyDescent="0.25">
      <c r="B68" s="266" t="s">
        <v>522</v>
      </c>
      <c r="C68" s="266"/>
      <c r="D68" s="266"/>
      <c r="E68" s="266"/>
    </row>
    <row r="69" spans="2:10" ht="24.9" customHeight="1" x14ac:dyDescent="0.25">
      <c r="B69" s="266" t="s">
        <v>524</v>
      </c>
      <c r="C69" s="266"/>
      <c r="D69" s="266"/>
      <c r="E69" s="266"/>
    </row>
    <row r="70" spans="2:10" ht="15" customHeight="1" x14ac:dyDescent="0.25">
      <c r="B70" s="266" t="s">
        <v>552</v>
      </c>
      <c r="C70" s="266"/>
      <c r="D70" s="266"/>
      <c r="E70" s="266"/>
      <c r="G70" s="2"/>
      <c r="H70" s="2"/>
      <c r="I70" s="2"/>
      <c r="J70" s="2"/>
    </row>
    <row r="71" spans="2:10" ht="20.100000000000001" customHeight="1" x14ac:dyDescent="0.25">
      <c r="B71" s="4" t="s">
        <v>91</v>
      </c>
    </row>
    <row r="72" spans="2:10" x14ac:dyDescent="0.25">
      <c r="B72" s="97"/>
    </row>
    <row r="73" spans="2:10" ht="20.100000000000001" customHeight="1" x14ac:dyDescent="0.25">
      <c r="B73" s="4" t="s">
        <v>94</v>
      </c>
      <c r="C73" s="4"/>
    </row>
    <row r="74" spans="2:10" x14ac:dyDescent="0.25">
      <c r="B74" s="97"/>
      <c r="C74" s="4"/>
    </row>
    <row r="76" spans="2:10" x14ac:dyDescent="0.25">
      <c r="C76" s="4"/>
    </row>
  </sheetData>
  <mergeCells count="10">
    <mergeCell ref="B70:E70"/>
    <mergeCell ref="B69:E69"/>
    <mergeCell ref="B68:E68"/>
    <mergeCell ref="B2:E2"/>
    <mergeCell ref="B62:E62"/>
    <mergeCell ref="B63:E63"/>
    <mergeCell ref="B64:E64"/>
    <mergeCell ref="B65:E65"/>
    <mergeCell ref="B66:E66"/>
    <mergeCell ref="B67:E67"/>
  </mergeCells>
  <printOptions horizontalCentered="1"/>
  <pageMargins left="0.37" right="0.23" top="0.19" bottom="0.17" header="0.27" footer="0.17"/>
  <pageSetup paperSize="9" scale="49" orientation="portrait" r:id="rId1"/>
  <headerFooter alignWithMargins="0"/>
  <ignoredErrors>
    <ignoredError sqref="C7:C9 C11:C4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I73"/>
  <sheetViews>
    <sheetView topLeftCell="A22" zoomScale="85" zoomScaleNormal="85" zoomScaleSheetLayoutView="70" workbookViewId="0">
      <selection activeCell="B60" sqref="B60:E60"/>
    </sheetView>
  </sheetViews>
  <sheetFormatPr defaultColWidth="9.109375" defaultRowHeight="13.2" x14ac:dyDescent="0.25"/>
  <cols>
    <col min="1" max="1" width="0.88671875" style="4" customWidth="1"/>
    <col min="2" max="2" width="147.109375" style="4" customWidth="1"/>
    <col min="3" max="3" width="8.6640625" style="95" customWidth="1"/>
    <col min="4" max="4" width="23" style="4" customWidth="1"/>
    <col min="5" max="5" width="23.5546875" style="4" customWidth="1"/>
    <col min="6" max="6" width="6.6640625" style="4" customWidth="1"/>
    <col min="7" max="7" width="7.109375" style="4" bestFit="1" customWidth="1"/>
    <col min="8" max="10" width="6.6640625" style="4" customWidth="1"/>
    <col min="11" max="13" width="7.5546875" style="4" customWidth="1"/>
    <col min="14" max="16384" width="9.109375" style="4"/>
  </cols>
  <sheetData>
    <row r="1" spans="1:5" x14ac:dyDescent="0.25">
      <c r="A1" s="4" t="s">
        <v>84</v>
      </c>
      <c r="C1" s="4"/>
    </row>
    <row r="2" spans="1:5" ht="18" customHeight="1" x14ac:dyDescent="0.25">
      <c r="B2" s="259" t="s">
        <v>354</v>
      </c>
      <c r="C2" s="255"/>
      <c r="D2" s="255"/>
      <c r="E2" s="255"/>
    </row>
    <row r="3" spans="1:5" x14ac:dyDescent="0.25">
      <c r="C3" s="4"/>
      <c r="D3" s="100" t="s">
        <v>90</v>
      </c>
      <c r="E3" s="107">
        <f>list01!C4</f>
        <v>0</v>
      </c>
    </row>
    <row r="4" spans="1:5" ht="27.75" customHeight="1" x14ac:dyDescent="0.25">
      <c r="B4" s="220" t="s">
        <v>525</v>
      </c>
      <c r="C4" s="203" t="s">
        <v>259</v>
      </c>
      <c r="D4" s="204"/>
      <c r="E4" s="204"/>
    </row>
    <row r="5" spans="1:5" ht="39.6" x14ac:dyDescent="0.25">
      <c r="B5" s="101" t="s">
        <v>332</v>
      </c>
      <c r="C5" s="101" t="s">
        <v>113</v>
      </c>
      <c r="D5" s="101" t="s">
        <v>144</v>
      </c>
      <c r="E5" s="101" t="s">
        <v>145</v>
      </c>
    </row>
    <row r="6" spans="1:5" s="90" customFormat="1" x14ac:dyDescent="0.25">
      <c r="B6" s="109">
        <v>1</v>
      </c>
      <c r="C6" s="109">
        <v>2</v>
      </c>
      <c r="D6" s="109">
        <v>3</v>
      </c>
      <c r="E6" s="109">
        <v>4</v>
      </c>
    </row>
    <row r="7" spans="1:5" s="1" customFormat="1" ht="15" customHeight="1" x14ac:dyDescent="0.25">
      <c r="B7" s="70" t="s">
        <v>333</v>
      </c>
      <c r="C7" s="63" t="s">
        <v>0</v>
      </c>
      <c r="D7" s="23">
        <f>SUM(D8:D9)</f>
        <v>0</v>
      </c>
      <c r="E7" s="23">
        <f>SUM(E8:E9)</f>
        <v>0</v>
      </c>
    </row>
    <row r="8" spans="1:5" s="1" customFormat="1" ht="15" customHeight="1" x14ac:dyDescent="0.25">
      <c r="B8" s="99" t="s">
        <v>547</v>
      </c>
      <c r="C8" s="57" t="s">
        <v>1</v>
      </c>
      <c r="D8" s="229"/>
      <c r="E8" s="230"/>
    </row>
    <row r="9" spans="1:5" s="1" customFormat="1" ht="15" customHeight="1" x14ac:dyDescent="0.25">
      <c r="B9" s="99" t="s">
        <v>523</v>
      </c>
      <c r="C9" s="57" t="s">
        <v>4</v>
      </c>
      <c r="D9" s="229">
        <f>SUM(D10:D49)-D16-D23-D28-D44-D48</f>
        <v>0</v>
      </c>
      <c r="E9" s="230">
        <f>SUM(E10:E49)-E16-E23-E28-E44-E48</f>
        <v>0</v>
      </c>
    </row>
    <row r="10" spans="1:5" s="1" customFormat="1" ht="15" customHeight="1" x14ac:dyDescent="0.25">
      <c r="B10" s="99" t="s">
        <v>146</v>
      </c>
      <c r="C10" s="57" t="s">
        <v>338</v>
      </c>
      <c r="D10" s="128"/>
      <c r="E10" s="24"/>
    </row>
    <row r="11" spans="1:5" s="1" customFormat="1" ht="15" customHeight="1" x14ac:dyDescent="0.25">
      <c r="B11" s="99" t="s">
        <v>147</v>
      </c>
      <c r="C11" s="57" t="s">
        <v>339</v>
      </c>
      <c r="D11" s="128"/>
      <c r="E11" s="24"/>
    </row>
    <row r="12" spans="1:5" s="1" customFormat="1" ht="15" customHeight="1" x14ac:dyDescent="0.25">
      <c r="B12" s="99" t="s">
        <v>148</v>
      </c>
      <c r="C12" s="57" t="s">
        <v>340</v>
      </c>
      <c r="D12" s="128"/>
      <c r="E12" s="24"/>
    </row>
    <row r="13" spans="1:5" s="1" customFormat="1" ht="15" customHeight="1" x14ac:dyDescent="0.25">
      <c r="B13" s="99" t="s">
        <v>149</v>
      </c>
      <c r="C13" s="57" t="s">
        <v>341</v>
      </c>
      <c r="D13" s="128"/>
      <c r="E13" s="24"/>
    </row>
    <row r="14" spans="1:5" s="1" customFormat="1" ht="15" customHeight="1" x14ac:dyDescent="0.25">
      <c r="B14" s="99" t="s">
        <v>150</v>
      </c>
      <c r="C14" s="57" t="s">
        <v>439</v>
      </c>
      <c r="D14" s="128"/>
      <c r="E14" s="24"/>
    </row>
    <row r="15" spans="1:5" s="1" customFormat="1" ht="15" customHeight="1" x14ac:dyDescent="0.25">
      <c r="A15" s="222"/>
      <c r="B15" s="60" t="s">
        <v>294</v>
      </c>
      <c r="C15" s="88" t="s">
        <v>440</v>
      </c>
      <c r="D15" s="128"/>
      <c r="E15" s="24"/>
    </row>
    <row r="16" spans="1:5" s="110" customFormat="1" ht="15" customHeight="1" x14ac:dyDescent="0.25">
      <c r="A16" s="223"/>
      <c r="B16" s="61" t="s">
        <v>296</v>
      </c>
      <c r="C16" s="113" t="s">
        <v>446</v>
      </c>
      <c r="D16" s="227"/>
      <c r="E16" s="228"/>
    </row>
    <row r="17" spans="2:5" s="1" customFormat="1" ht="15" customHeight="1" x14ac:dyDescent="0.25">
      <c r="B17" s="99" t="s">
        <v>433</v>
      </c>
      <c r="C17" s="57" t="s">
        <v>447</v>
      </c>
      <c r="D17" s="128"/>
      <c r="E17" s="24"/>
    </row>
    <row r="18" spans="2:5" s="1" customFormat="1" ht="15" customHeight="1" x14ac:dyDescent="0.25">
      <c r="B18" s="99" t="s">
        <v>151</v>
      </c>
      <c r="C18" s="57" t="s">
        <v>448</v>
      </c>
      <c r="D18" s="128"/>
      <c r="E18" s="24"/>
    </row>
    <row r="19" spans="2:5" s="1" customFormat="1" ht="15" customHeight="1" x14ac:dyDescent="0.25">
      <c r="B19" s="99" t="s">
        <v>152</v>
      </c>
      <c r="C19" s="57" t="s">
        <v>449</v>
      </c>
      <c r="D19" s="128"/>
      <c r="E19" s="24"/>
    </row>
    <row r="20" spans="2:5" s="1" customFormat="1" ht="15" customHeight="1" x14ac:dyDescent="0.25">
      <c r="B20" s="99" t="s">
        <v>153</v>
      </c>
      <c r="C20" s="57" t="s">
        <v>450</v>
      </c>
      <c r="D20" s="128"/>
      <c r="E20" s="24"/>
    </row>
    <row r="21" spans="2:5" s="1" customFormat="1" ht="15" customHeight="1" x14ac:dyDescent="0.25">
      <c r="B21" s="99" t="s">
        <v>154</v>
      </c>
      <c r="C21" s="57" t="s">
        <v>451</v>
      </c>
      <c r="D21" s="128"/>
      <c r="E21" s="24"/>
    </row>
    <row r="22" spans="2:5" s="1" customFormat="1" ht="15" customHeight="1" x14ac:dyDescent="0.25">
      <c r="B22" s="60" t="s">
        <v>155</v>
      </c>
      <c r="C22" s="57" t="s">
        <v>452</v>
      </c>
      <c r="D22" s="128"/>
      <c r="E22" s="24"/>
    </row>
    <row r="23" spans="2:5" s="1" customFormat="1" ht="15" customHeight="1" x14ac:dyDescent="0.25">
      <c r="B23" s="61" t="s">
        <v>156</v>
      </c>
      <c r="C23" s="57" t="s">
        <v>494</v>
      </c>
      <c r="D23" s="128"/>
      <c r="E23" s="24"/>
    </row>
    <row r="24" spans="2:5" s="1" customFormat="1" ht="15" customHeight="1" x14ac:dyDescent="0.25">
      <c r="B24" s="99" t="s">
        <v>157</v>
      </c>
      <c r="C24" s="57" t="s">
        <v>453</v>
      </c>
      <c r="D24" s="128"/>
      <c r="E24" s="24"/>
    </row>
    <row r="25" spans="2:5" s="1" customFormat="1" ht="15" customHeight="1" x14ac:dyDescent="0.25">
      <c r="B25" s="99" t="s">
        <v>266</v>
      </c>
      <c r="C25" s="57" t="s">
        <v>454</v>
      </c>
      <c r="D25" s="128"/>
      <c r="E25" s="24"/>
    </row>
    <row r="26" spans="2:5" s="1" customFormat="1" ht="15" customHeight="1" x14ac:dyDescent="0.25">
      <c r="B26" s="99" t="s">
        <v>284</v>
      </c>
      <c r="C26" s="57" t="s">
        <v>455</v>
      </c>
      <c r="D26" s="128"/>
      <c r="E26" s="24"/>
    </row>
    <row r="27" spans="2:5" s="1" customFormat="1" ht="15" customHeight="1" x14ac:dyDescent="0.25">
      <c r="B27" s="99" t="s">
        <v>158</v>
      </c>
      <c r="C27" s="57" t="s">
        <v>456</v>
      </c>
      <c r="D27" s="128"/>
      <c r="E27" s="24"/>
    </row>
    <row r="28" spans="2:5" s="1" customFormat="1" ht="15" customHeight="1" x14ac:dyDescent="0.25">
      <c r="B28" s="99" t="s">
        <v>495</v>
      </c>
      <c r="C28" s="57" t="s">
        <v>457</v>
      </c>
      <c r="D28" s="128"/>
      <c r="E28" s="24"/>
    </row>
    <row r="29" spans="2:5" s="1" customFormat="1" ht="15" customHeight="1" x14ac:dyDescent="0.25">
      <c r="B29" s="99" t="s">
        <v>159</v>
      </c>
      <c r="C29" s="57" t="s">
        <v>458</v>
      </c>
      <c r="D29" s="128"/>
      <c r="E29" s="23">
        <f>D29</f>
        <v>0</v>
      </c>
    </row>
    <row r="30" spans="2:5" s="1" customFormat="1" ht="15" customHeight="1" x14ac:dyDescent="0.25">
      <c r="B30" s="99" t="s">
        <v>160</v>
      </c>
      <c r="C30" s="57" t="s">
        <v>459</v>
      </c>
      <c r="D30" s="128"/>
      <c r="E30" s="29">
        <f t="shared" ref="E30:E42" si="0">D30</f>
        <v>0</v>
      </c>
    </row>
    <row r="31" spans="2:5" s="1" customFormat="1" ht="15" customHeight="1" x14ac:dyDescent="0.25">
      <c r="B31" s="99" t="s">
        <v>269</v>
      </c>
      <c r="C31" s="57" t="s">
        <v>460</v>
      </c>
      <c r="D31" s="128"/>
      <c r="E31" s="23">
        <f>D31</f>
        <v>0</v>
      </c>
    </row>
    <row r="32" spans="2:5" s="1" customFormat="1" ht="39.6" x14ac:dyDescent="0.25">
      <c r="B32" s="99" t="s">
        <v>437</v>
      </c>
      <c r="C32" s="57" t="s">
        <v>461</v>
      </c>
      <c r="D32" s="128"/>
      <c r="E32" s="23">
        <f>D32</f>
        <v>0</v>
      </c>
    </row>
    <row r="33" spans="1:5" s="1" customFormat="1" ht="26.25" customHeight="1" x14ac:dyDescent="0.25">
      <c r="B33" s="99" t="s">
        <v>161</v>
      </c>
      <c r="C33" s="57" t="s">
        <v>462</v>
      </c>
      <c r="D33" s="128"/>
      <c r="E33" s="23">
        <f t="shared" si="0"/>
        <v>0</v>
      </c>
    </row>
    <row r="34" spans="1:5" s="1" customFormat="1" ht="15" customHeight="1" x14ac:dyDescent="0.25">
      <c r="A34" s="20"/>
      <c r="B34" s="60" t="s">
        <v>162</v>
      </c>
      <c r="C34" s="57" t="s">
        <v>463</v>
      </c>
      <c r="D34" s="128"/>
      <c r="E34" s="23">
        <f t="shared" si="0"/>
        <v>0</v>
      </c>
    </row>
    <row r="35" spans="1:5" s="1" customFormat="1" ht="15" customHeight="1" x14ac:dyDescent="0.25">
      <c r="B35" s="99" t="s">
        <v>163</v>
      </c>
      <c r="C35" s="57" t="s">
        <v>464</v>
      </c>
      <c r="D35" s="128"/>
      <c r="E35" s="23">
        <f t="shared" si="0"/>
        <v>0</v>
      </c>
    </row>
    <row r="36" spans="1:5" s="1" customFormat="1" ht="39.6" x14ac:dyDescent="0.25">
      <c r="B36" s="99" t="s">
        <v>436</v>
      </c>
      <c r="C36" s="57" t="s">
        <v>465</v>
      </c>
      <c r="D36" s="128"/>
      <c r="E36" s="23">
        <f t="shared" si="0"/>
        <v>0</v>
      </c>
    </row>
    <row r="37" spans="1:5" s="1" customFormat="1" ht="29.25" customHeight="1" x14ac:dyDescent="0.25">
      <c r="B37" s="99" t="s">
        <v>164</v>
      </c>
      <c r="C37" s="57" t="s">
        <v>466</v>
      </c>
      <c r="D37" s="128"/>
      <c r="E37" s="23">
        <f t="shared" si="0"/>
        <v>0</v>
      </c>
    </row>
    <row r="38" spans="1:5" s="1" customFormat="1" ht="29.25" customHeight="1" x14ac:dyDescent="0.25">
      <c r="B38" s="99" t="s">
        <v>270</v>
      </c>
      <c r="C38" s="57" t="s">
        <v>467</v>
      </c>
      <c r="D38" s="128"/>
      <c r="E38" s="23">
        <f t="shared" si="0"/>
        <v>0</v>
      </c>
    </row>
    <row r="39" spans="1:5" s="1" customFormat="1" ht="15" customHeight="1" x14ac:dyDescent="0.25">
      <c r="B39" s="99" t="s">
        <v>165</v>
      </c>
      <c r="C39" s="57" t="s">
        <v>468</v>
      </c>
      <c r="D39" s="128"/>
      <c r="E39" s="23">
        <f t="shared" si="0"/>
        <v>0</v>
      </c>
    </row>
    <row r="40" spans="1:5" s="1" customFormat="1" ht="43.5" customHeight="1" x14ac:dyDescent="0.25">
      <c r="B40" s="99" t="s">
        <v>435</v>
      </c>
      <c r="C40" s="57" t="s">
        <v>469</v>
      </c>
      <c r="D40" s="128"/>
      <c r="E40" s="23">
        <f t="shared" si="0"/>
        <v>0</v>
      </c>
    </row>
    <row r="41" spans="1:5" s="1" customFormat="1" ht="52.8" x14ac:dyDescent="0.25">
      <c r="B41" s="99" t="s">
        <v>434</v>
      </c>
      <c r="C41" s="57" t="s">
        <v>470</v>
      </c>
      <c r="D41" s="128"/>
      <c r="E41" s="23">
        <f t="shared" si="0"/>
        <v>0</v>
      </c>
    </row>
    <row r="42" spans="1:5" s="1" customFormat="1" ht="15" customHeight="1" x14ac:dyDescent="0.25">
      <c r="B42" s="99" t="s">
        <v>166</v>
      </c>
      <c r="C42" s="57" t="s">
        <v>471</v>
      </c>
      <c r="D42" s="128"/>
      <c r="E42" s="23">
        <f t="shared" si="0"/>
        <v>0</v>
      </c>
    </row>
    <row r="43" spans="1:5" s="1" customFormat="1" ht="15" customHeight="1" x14ac:dyDescent="0.25">
      <c r="B43" s="99" t="s">
        <v>167</v>
      </c>
      <c r="C43" s="57" t="s">
        <v>497</v>
      </c>
      <c r="D43" s="128"/>
      <c r="E43" s="24"/>
    </row>
    <row r="44" spans="1:5" s="1" customFormat="1" ht="15" customHeight="1" x14ac:dyDescent="0.25">
      <c r="B44" s="99" t="s">
        <v>526</v>
      </c>
      <c r="C44" s="57" t="s">
        <v>498</v>
      </c>
      <c r="D44" s="3">
        <f>SUM(D45:D46)</f>
        <v>0</v>
      </c>
      <c r="E44" s="23">
        <f>SUM(E45:E46)</f>
        <v>0</v>
      </c>
    </row>
    <row r="45" spans="1:5" s="1" customFormat="1" ht="15" customHeight="1" x14ac:dyDescent="0.25">
      <c r="B45" s="62" t="s">
        <v>168</v>
      </c>
      <c r="C45" s="57" t="s">
        <v>499</v>
      </c>
      <c r="D45" s="128"/>
      <c r="E45" s="24"/>
    </row>
    <row r="46" spans="1:5" s="1" customFormat="1" ht="15" customHeight="1" x14ac:dyDescent="0.25">
      <c r="B46" s="62" t="s">
        <v>169</v>
      </c>
      <c r="C46" s="57" t="s">
        <v>500</v>
      </c>
      <c r="D46" s="128"/>
      <c r="E46" s="24"/>
    </row>
    <row r="47" spans="1:5" s="1" customFormat="1" ht="15" customHeight="1" x14ac:dyDescent="0.25">
      <c r="B47" s="253" t="s">
        <v>594</v>
      </c>
      <c r="C47" s="57" t="s">
        <v>617</v>
      </c>
      <c r="D47" s="128"/>
      <c r="E47" s="24"/>
    </row>
    <row r="48" spans="1:5" s="1" customFormat="1" ht="15" customHeight="1" x14ac:dyDescent="0.25">
      <c r="B48" s="62" t="s">
        <v>595</v>
      </c>
      <c r="C48" s="57" t="s">
        <v>501</v>
      </c>
      <c r="D48" s="128"/>
      <c r="E48" s="24"/>
    </row>
    <row r="49" spans="2:5" s="1" customFormat="1" ht="15" customHeight="1" x14ac:dyDescent="0.25">
      <c r="B49" s="99" t="s">
        <v>616</v>
      </c>
      <c r="C49" s="57" t="s">
        <v>607</v>
      </c>
      <c r="D49" s="3">
        <f>SUM(D50:D57)</f>
        <v>0</v>
      </c>
      <c r="E49" s="23">
        <f>SUM(E50:E57)</f>
        <v>0</v>
      </c>
    </row>
    <row r="50" spans="2:5" s="1" customFormat="1" ht="15" customHeight="1" x14ac:dyDescent="0.25">
      <c r="B50" s="58"/>
      <c r="C50" s="57" t="s">
        <v>608</v>
      </c>
      <c r="D50" s="128"/>
      <c r="E50" s="24"/>
    </row>
    <row r="51" spans="2:5" s="1" customFormat="1" ht="15" customHeight="1" x14ac:dyDescent="0.25">
      <c r="B51" s="58"/>
      <c r="C51" s="57" t="s">
        <v>609</v>
      </c>
      <c r="D51" s="128"/>
      <c r="E51" s="24"/>
    </row>
    <row r="52" spans="2:5" s="1" customFormat="1" ht="15" customHeight="1" x14ac:dyDescent="0.25">
      <c r="B52" s="58"/>
      <c r="C52" s="57" t="s">
        <v>610</v>
      </c>
      <c r="D52" s="128"/>
      <c r="E52" s="24"/>
    </row>
    <row r="53" spans="2:5" s="1" customFormat="1" ht="15" customHeight="1" x14ac:dyDescent="0.25">
      <c r="B53" s="58"/>
      <c r="C53" s="57" t="s">
        <v>611</v>
      </c>
      <c r="D53" s="128"/>
      <c r="E53" s="24"/>
    </row>
    <row r="54" spans="2:5" s="1" customFormat="1" ht="15" customHeight="1" x14ac:dyDescent="0.25">
      <c r="B54" s="58"/>
      <c r="C54" s="57" t="s">
        <v>612</v>
      </c>
      <c r="D54" s="128"/>
      <c r="E54" s="24"/>
    </row>
    <row r="55" spans="2:5" s="1" customFormat="1" ht="15" customHeight="1" x14ac:dyDescent="0.25">
      <c r="B55" s="58"/>
      <c r="C55" s="57" t="s">
        <v>613</v>
      </c>
      <c r="D55" s="128"/>
      <c r="E55" s="24"/>
    </row>
    <row r="56" spans="2:5" s="1" customFormat="1" ht="15" customHeight="1" x14ac:dyDescent="0.25">
      <c r="B56" s="58"/>
      <c r="C56" s="57" t="s">
        <v>614</v>
      </c>
      <c r="D56" s="128"/>
      <c r="E56" s="24"/>
    </row>
    <row r="57" spans="2:5" s="1" customFormat="1" ht="15" customHeight="1" x14ac:dyDescent="0.25">
      <c r="B57" s="59"/>
      <c r="C57" s="37" t="s">
        <v>615</v>
      </c>
      <c r="D57" s="128"/>
      <c r="E57" s="24"/>
    </row>
    <row r="58" spans="2:5" s="1" customFormat="1" ht="5.25" customHeight="1" x14ac:dyDescent="0.25">
      <c r="B58" s="81"/>
      <c r="C58" s="82"/>
      <c r="D58" s="81"/>
      <c r="E58" s="81"/>
    </row>
    <row r="59" spans="2:5" x14ac:dyDescent="0.25">
      <c r="B59" s="284" t="s">
        <v>139</v>
      </c>
      <c r="C59" s="284"/>
      <c r="D59" s="284"/>
      <c r="E59" s="284"/>
    </row>
    <row r="60" spans="2:5" ht="15" customHeight="1" x14ac:dyDescent="0.25">
      <c r="B60" s="266" t="s">
        <v>170</v>
      </c>
      <c r="C60" s="266"/>
      <c r="D60" s="266"/>
      <c r="E60" s="266"/>
    </row>
    <row r="61" spans="2:5" ht="15" customHeight="1" x14ac:dyDescent="0.25">
      <c r="B61" s="266" t="s">
        <v>171</v>
      </c>
      <c r="C61" s="266"/>
      <c r="D61" s="266"/>
      <c r="E61" s="266"/>
    </row>
    <row r="62" spans="2:5" ht="15" customHeight="1" x14ac:dyDescent="0.25">
      <c r="B62" s="266" t="s">
        <v>502</v>
      </c>
      <c r="C62" s="266"/>
      <c r="D62" s="266"/>
      <c r="E62" s="266"/>
    </row>
    <row r="63" spans="2:5" ht="15" customHeight="1" x14ac:dyDescent="0.25">
      <c r="B63" s="266" t="s">
        <v>503</v>
      </c>
      <c r="C63" s="266"/>
      <c r="D63" s="266"/>
      <c r="E63" s="266"/>
    </row>
    <row r="64" spans="2:5" ht="15" customHeight="1" x14ac:dyDescent="0.25">
      <c r="B64" s="266" t="s">
        <v>528</v>
      </c>
      <c r="C64" s="266"/>
      <c r="D64" s="266"/>
      <c r="E64" s="266"/>
    </row>
    <row r="65" spans="2:9" ht="25.5" customHeight="1" x14ac:dyDescent="0.25">
      <c r="B65" s="266" t="s">
        <v>527</v>
      </c>
      <c r="C65" s="266"/>
      <c r="D65" s="266"/>
      <c r="E65" s="266"/>
    </row>
    <row r="66" spans="2:9" ht="20.100000000000001" customHeight="1" x14ac:dyDescent="0.25">
      <c r="B66" s="286" t="s">
        <v>553</v>
      </c>
      <c r="C66" s="286"/>
      <c r="D66" s="286"/>
      <c r="E66" s="286"/>
      <c r="F66" s="2"/>
      <c r="G66" s="2"/>
      <c r="H66" s="2"/>
      <c r="I66" s="2"/>
    </row>
    <row r="67" spans="2:9" ht="15" customHeight="1" x14ac:dyDescent="0.25">
      <c r="B67" s="266"/>
      <c r="C67" s="266"/>
      <c r="D67" s="266"/>
      <c r="E67" s="266"/>
    </row>
    <row r="68" spans="2:9" ht="20.100000000000001" customHeight="1" x14ac:dyDescent="0.25">
      <c r="B68" s="4" t="s">
        <v>91</v>
      </c>
    </row>
    <row r="69" spans="2:9" x14ac:dyDescent="0.25">
      <c r="B69" s="97"/>
    </row>
    <row r="70" spans="2:9" ht="20.100000000000001" customHeight="1" x14ac:dyDescent="0.25">
      <c r="B70" s="4" t="s">
        <v>94</v>
      </c>
      <c r="C70" s="4"/>
    </row>
    <row r="71" spans="2:9" x14ac:dyDescent="0.25">
      <c r="B71" s="97"/>
      <c r="C71" s="4"/>
    </row>
    <row r="73" spans="2:9" x14ac:dyDescent="0.25">
      <c r="C73" s="4"/>
    </row>
  </sheetData>
  <mergeCells count="10">
    <mergeCell ref="B64:E64"/>
    <mergeCell ref="B65:E65"/>
    <mergeCell ref="B67:E67"/>
    <mergeCell ref="B66:E66"/>
    <mergeCell ref="B2:E2"/>
    <mergeCell ref="B59:E59"/>
    <mergeCell ref="B60:E60"/>
    <mergeCell ref="B61:E61"/>
    <mergeCell ref="B62:E62"/>
    <mergeCell ref="B63:E63"/>
  </mergeCells>
  <printOptions horizontalCentered="1"/>
  <pageMargins left="0.37" right="0.23" top="0.19" bottom="0.17" header="0.27" footer="0.17"/>
  <pageSetup paperSize="9" scale="49" orientation="portrait" r:id="rId1"/>
  <headerFooter alignWithMargins="0"/>
  <ignoredErrors>
    <ignoredError sqref="C7:C45"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2:S74"/>
  <sheetViews>
    <sheetView topLeftCell="A34" zoomScale="85" zoomScaleNormal="85" zoomScaleSheetLayoutView="100" workbookViewId="0">
      <selection activeCell="D73" sqref="D73"/>
    </sheetView>
  </sheetViews>
  <sheetFormatPr defaultColWidth="9.109375" defaultRowHeight="13.2" x14ac:dyDescent="0.25"/>
  <cols>
    <col min="1" max="1" width="0.88671875" style="4" customWidth="1"/>
    <col min="2" max="2" width="89.5546875" style="4" customWidth="1"/>
    <col min="3" max="3" width="7.5546875" style="95" customWidth="1"/>
    <col min="4" max="4" width="18.5546875" style="90" customWidth="1"/>
    <col min="5" max="5" width="15.44140625" style="90" customWidth="1"/>
    <col min="6" max="6" width="16.88671875" style="90" customWidth="1"/>
    <col min="7" max="7" width="17.5546875" style="90" customWidth="1"/>
    <col min="8" max="8" width="16.33203125" style="90" customWidth="1"/>
    <col min="9" max="9" width="18.109375" style="90" customWidth="1"/>
    <col min="10" max="10" width="10.6640625" style="4" customWidth="1"/>
    <col min="11" max="11" width="11" style="4" customWidth="1"/>
    <col min="12" max="12" width="9.88671875" style="4" customWidth="1"/>
    <col min="13" max="16384" width="9.109375" style="4"/>
  </cols>
  <sheetData>
    <row r="2" spans="1:10" ht="24.9" customHeight="1" x14ac:dyDescent="0.25">
      <c r="B2" s="289" t="s">
        <v>508</v>
      </c>
      <c r="C2" s="289"/>
      <c r="D2" s="289"/>
      <c r="E2" s="289"/>
      <c r="F2" s="289"/>
      <c r="G2" s="289"/>
      <c r="H2" s="289"/>
      <c r="I2" s="289"/>
    </row>
    <row r="3" spans="1:10" ht="18" customHeight="1" x14ac:dyDescent="0.25">
      <c r="B3" s="259" t="s">
        <v>506</v>
      </c>
      <c r="C3" s="259"/>
      <c r="D3" s="259"/>
      <c r="E3" s="259"/>
      <c r="F3" s="259"/>
      <c r="G3" s="259"/>
      <c r="H3" s="259"/>
      <c r="I3" s="259"/>
    </row>
    <row r="4" spans="1:10" ht="12.75" customHeight="1" x14ac:dyDescent="0.25">
      <c r="A4" s="141"/>
      <c r="C4" s="4"/>
      <c r="F4" s="249"/>
      <c r="G4" s="249"/>
      <c r="H4" s="91" t="s">
        <v>90</v>
      </c>
      <c r="I4" s="210">
        <f>+list01!C4</f>
        <v>0</v>
      </c>
    </row>
    <row r="5" spans="1:10" ht="13.95" customHeight="1" x14ac:dyDescent="0.25">
      <c r="C5" s="203"/>
      <c r="D5" s="204"/>
      <c r="E5" s="204"/>
      <c r="F5" s="204"/>
      <c r="H5" s="204"/>
    </row>
    <row r="6" spans="1:10" ht="35.25" customHeight="1" x14ac:dyDescent="0.25">
      <c r="A6" s="141"/>
      <c r="B6" s="290" t="s">
        <v>358</v>
      </c>
      <c r="C6" s="292" t="s">
        <v>113</v>
      </c>
      <c r="D6" s="292" t="s">
        <v>355</v>
      </c>
      <c r="E6" s="292" t="s">
        <v>550</v>
      </c>
      <c r="F6" s="292"/>
      <c r="G6" s="292"/>
      <c r="H6" s="292" t="s">
        <v>551</v>
      </c>
      <c r="I6" s="294"/>
    </row>
    <row r="7" spans="1:10" ht="54.75" customHeight="1" x14ac:dyDescent="0.25">
      <c r="A7" s="141"/>
      <c r="B7" s="291"/>
      <c r="C7" s="293"/>
      <c r="D7" s="293"/>
      <c r="E7" s="143" t="s">
        <v>356</v>
      </c>
      <c r="F7" s="143" t="s">
        <v>357</v>
      </c>
      <c r="G7" s="143" t="s">
        <v>145</v>
      </c>
      <c r="H7" s="143" t="s">
        <v>357</v>
      </c>
      <c r="I7" s="144" t="s">
        <v>145</v>
      </c>
    </row>
    <row r="8" spans="1:10" s="90" customFormat="1" ht="15" customHeight="1" x14ac:dyDescent="0.25">
      <c r="A8" s="142"/>
      <c r="B8" s="145">
        <v>1</v>
      </c>
      <c r="C8" s="146">
        <v>2</v>
      </c>
      <c r="D8" s="146">
        <v>3</v>
      </c>
      <c r="E8" s="146">
        <v>4</v>
      </c>
      <c r="F8" s="146">
        <v>5</v>
      </c>
      <c r="G8" s="146">
        <v>6</v>
      </c>
      <c r="H8" s="146">
        <v>7</v>
      </c>
      <c r="I8" s="147">
        <v>8</v>
      </c>
    </row>
    <row r="9" spans="1:10" s="1" customFormat="1" ht="29.25" customHeight="1" x14ac:dyDescent="0.25">
      <c r="A9" s="20"/>
      <c r="B9" s="148" t="s">
        <v>591</v>
      </c>
      <c r="C9" s="149" t="s">
        <v>0</v>
      </c>
      <c r="D9" s="231">
        <f>+SUM(D10:D13)</f>
        <v>0</v>
      </c>
      <c r="E9" s="232" t="s">
        <v>41</v>
      </c>
      <c r="F9" s="231">
        <f>+SUM(F10:F13)</f>
        <v>0</v>
      </c>
      <c r="G9" s="232" t="s">
        <v>41</v>
      </c>
      <c r="H9" s="231">
        <f>+SUM(H10:H13)</f>
        <v>0</v>
      </c>
      <c r="I9" s="232" t="s">
        <v>41</v>
      </c>
      <c r="J9" s="90"/>
    </row>
    <row r="10" spans="1:10" s="1" customFormat="1" ht="20.100000000000001" customHeight="1" x14ac:dyDescent="0.25">
      <c r="A10" s="20"/>
      <c r="B10" s="150" t="s">
        <v>425</v>
      </c>
      <c r="C10" s="88" t="s">
        <v>45</v>
      </c>
      <c r="D10" s="233"/>
      <c r="E10" s="232" t="s">
        <v>41</v>
      </c>
      <c r="F10" s="233"/>
      <c r="G10" s="232" t="s">
        <v>41</v>
      </c>
      <c r="H10" s="233"/>
      <c r="I10" s="232" t="s">
        <v>41</v>
      </c>
      <c r="J10" s="90"/>
    </row>
    <row r="11" spans="1:10" s="1" customFormat="1" ht="20.100000000000001" customHeight="1" x14ac:dyDescent="0.25">
      <c r="A11" s="20"/>
      <c r="B11" s="150" t="s">
        <v>150</v>
      </c>
      <c r="C11" s="88" t="s">
        <v>46</v>
      </c>
      <c r="D11" s="233"/>
      <c r="E11" s="232" t="s">
        <v>41</v>
      </c>
      <c r="F11" s="233"/>
      <c r="G11" s="232" t="s">
        <v>41</v>
      </c>
      <c r="H11" s="233"/>
      <c r="I11" s="232" t="s">
        <v>41</v>
      </c>
      <c r="J11" s="90"/>
    </row>
    <row r="12" spans="1:10" s="1" customFormat="1" ht="20.100000000000001" customHeight="1" x14ac:dyDescent="0.25">
      <c r="A12" s="20"/>
      <c r="B12" s="150" t="s">
        <v>426</v>
      </c>
      <c r="C12" s="88" t="s">
        <v>47</v>
      </c>
      <c r="D12" s="233"/>
      <c r="E12" s="232" t="s">
        <v>41</v>
      </c>
      <c r="F12" s="233"/>
      <c r="G12" s="232" t="s">
        <v>41</v>
      </c>
      <c r="H12" s="233"/>
      <c r="I12" s="232" t="s">
        <v>41</v>
      </c>
      <c r="J12" s="90"/>
    </row>
    <row r="13" spans="1:10" s="1" customFormat="1" ht="20.100000000000001" customHeight="1" x14ac:dyDescent="0.25">
      <c r="A13" s="20"/>
      <c r="B13" s="150" t="s">
        <v>428</v>
      </c>
      <c r="C13" s="88" t="s">
        <v>48</v>
      </c>
      <c r="D13" s="233"/>
      <c r="E13" s="232" t="s">
        <v>41</v>
      </c>
      <c r="F13" s="233"/>
      <c r="G13" s="233"/>
      <c r="H13" s="233"/>
      <c r="I13" s="233"/>
      <c r="J13" s="90"/>
    </row>
    <row r="14" spans="1:10" s="1" customFormat="1" ht="30" customHeight="1" x14ac:dyDescent="0.25">
      <c r="A14" s="20"/>
      <c r="B14" s="151" t="s">
        <v>476</v>
      </c>
      <c r="C14" s="152" t="s">
        <v>1</v>
      </c>
      <c r="D14" s="231">
        <f>+SUM(D16:D20)</f>
        <v>0</v>
      </c>
      <c r="E14" s="232" t="s">
        <v>41</v>
      </c>
      <c r="F14" s="231">
        <f>+SUM(F16:F20)-F19</f>
        <v>0</v>
      </c>
      <c r="G14" s="231">
        <f>+SUM(G16:G20)</f>
        <v>0</v>
      </c>
      <c r="H14" s="231">
        <f>+SUM(H16:H20)-H19</f>
        <v>0</v>
      </c>
      <c r="I14" s="231">
        <f>+SUM(I16:I20)</f>
        <v>0</v>
      </c>
      <c r="J14" s="90"/>
    </row>
    <row r="15" spans="1:10" s="1" customFormat="1" ht="30" customHeight="1" x14ac:dyDescent="0.25">
      <c r="A15" s="20"/>
      <c r="B15" s="112" t="s">
        <v>555</v>
      </c>
      <c r="C15" s="217" t="s">
        <v>32</v>
      </c>
      <c r="D15" s="237"/>
      <c r="E15" s="232" t="s">
        <v>41</v>
      </c>
      <c r="F15" s="237"/>
      <c r="G15" s="233"/>
      <c r="H15" s="237"/>
      <c r="I15" s="233"/>
      <c r="J15" s="90"/>
    </row>
    <row r="16" spans="1:10" s="1" customFormat="1" ht="20.100000000000001" customHeight="1" x14ac:dyDescent="0.25">
      <c r="A16" s="20"/>
      <c r="B16" s="150" t="s">
        <v>425</v>
      </c>
      <c r="C16" s="88" t="s">
        <v>334</v>
      </c>
      <c r="D16" s="233"/>
      <c r="E16" s="232" t="s">
        <v>41</v>
      </c>
      <c r="F16" s="233"/>
      <c r="G16" s="232" t="s">
        <v>41</v>
      </c>
      <c r="H16" s="233"/>
      <c r="I16" s="232" t="s">
        <v>41</v>
      </c>
      <c r="J16" s="90"/>
    </row>
    <row r="17" spans="1:10" s="1" customFormat="1" ht="20.100000000000001" customHeight="1" x14ac:dyDescent="0.25">
      <c r="A17" s="20"/>
      <c r="B17" s="150" t="s">
        <v>150</v>
      </c>
      <c r="C17" s="88" t="s">
        <v>335</v>
      </c>
      <c r="D17" s="233"/>
      <c r="E17" s="232" t="s">
        <v>41</v>
      </c>
      <c r="F17" s="233"/>
      <c r="G17" s="232" t="s">
        <v>41</v>
      </c>
      <c r="H17" s="233"/>
      <c r="I17" s="232" t="s">
        <v>41</v>
      </c>
      <c r="J17" s="90"/>
    </row>
    <row r="18" spans="1:10" s="1" customFormat="1" ht="20.100000000000001" customHeight="1" x14ac:dyDescent="0.25">
      <c r="A18" s="20"/>
      <c r="B18" s="150" t="s">
        <v>426</v>
      </c>
      <c r="C18" s="88" t="s">
        <v>336</v>
      </c>
      <c r="D18" s="233"/>
      <c r="E18" s="232" t="s">
        <v>41</v>
      </c>
      <c r="F18" s="233"/>
      <c r="G18" s="232" t="s">
        <v>41</v>
      </c>
      <c r="H18" s="233"/>
      <c r="I18" s="232" t="s">
        <v>41</v>
      </c>
      <c r="J18" s="90"/>
    </row>
    <row r="19" spans="1:10" s="110" customFormat="1" ht="30" customHeight="1" x14ac:dyDescent="0.25">
      <c r="A19" s="154"/>
      <c r="B19" s="153" t="s">
        <v>427</v>
      </c>
      <c r="C19" s="113" t="s">
        <v>475</v>
      </c>
      <c r="D19" s="232" t="s">
        <v>41</v>
      </c>
      <c r="E19" s="232" t="s">
        <v>41</v>
      </c>
      <c r="F19" s="234"/>
      <c r="G19" s="232" t="s">
        <v>41</v>
      </c>
      <c r="H19" s="234"/>
      <c r="I19" s="232" t="s">
        <v>41</v>
      </c>
      <c r="J19" s="206"/>
    </row>
    <row r="20" spans="1:10" s="1" customFormat="1" ht="20.100000000000001" customHeight="1" x14ac:dyDescent="0.25">
      <c r="A20" s="20"/>
      <c r="B20" s="150" t="s">
        <v>428</v>
      </c>
      <c r="C20" s="88" t="s">
        <v>337</v>
      </c>
      <c r="D20" s="233"/>
      <c r="E20" s="232" t="s">
        <v>41</v>
      </c>
      <c r="F20" s="233"/>
      <c r="G20" s="233"/>
      <c r="H20" s="233"/>
      <c r="I20" s="233"/>
      <c r="J20" s="90"/>
    </row>
    <row r="21" spans="1:10" s="1" customFormat="1" ht="30" customHeight="1" x14ac:dyDescent="0.25">
      <c r="A21" s="20"/>
      <c r="B21" s="155" t="s">
        <v>556</v>
      </c>
      <c r="C21" s="152" t="s">
        <v>4</v>
      </c>
      <c r="D21" s="231">
        <f>+SUM(D23:D26)</f>
        <v>0</v>
      </c>
      <c r="E21" s="232" t="s">
        <v>41</v>
      </c>
      <c r="F21" s="231">
        <f>+SUM(F23:F26)</f>
        <v>0</v>
      </c>
      <c r="G21" s="231">
        <f>+SUM(G23:G26)</f>
        <v>0</v>
      </c>
      <c r="H21" s="231">
        <f>+SUM(H23:H26)</f>
        <v>0</v>
      </c>
      <c r="I21" s="231">
        <f>+SUM(I23:I26)</f>
        <v>0</v>
      </c>
      <c r="J21" s="90"/>
    </row>
    <row r="22" spans="1:10" s="1" customFormat="1" ht="30" customHeight="1" x14ac:dyDescent="0.25">
      <c r="A22" s="20"/>
      <c r="B22" s="251" t="s">
        <v>557</v>
      </c>
      <c r="C22" s="217" t="s">
        <v>36</v>
      </c>
      <c r="D22" s="233"/>
      <c r="E22" s="232" t="s">
        <v>41</v>
      </c>
      <c r="F22" s="233"/>
      <c r="G22" s="232" t="s">
        <v>41</v>
      </c>
      <c r="H22" s="233"/>
      <c r="I22" s="232" t="s">
        <v>41</v>
      </c>
      <c r="J22" s="90"/>
    </row>
    <row r="23" spans="1:10" s="1" customFormat="1" ht="20.100000000000001" customHeight="1" x14ac:dyDescent="0.25">
      <c r="A23" s="20"/>
      <c r="B23" s="150" t="s">
        <v>425</v>
      </c>
      <c r="C23" s="88" t="s">
        <v>338</v>
      </c>
      <c r="D23" s="235">
        <f>D10+D16</f>
        <v>0</v>
      </c>
      <c r="E23" s="232" t="s">
        <v>41</v>
      </c>
      <c r="F23" s="235">
        <f>F10+F16</f>
        <v>0</v>
      </c>
      <c r="G23" s="232" t="s">
        <v>41</v>
      </c>
      <c r="H23" s="235">
        <f>H10+H16</f>
        <v>0</v>
      </c>
      <c r="I23" s="232" t="s">
        <v>41</v>
      </c>
      <c r="J23" s="90"/>
    </row>
    <row r="24" spans="1:10" s="1" customFormat="1" ht="20.100000000000001" customHeight="1" x14ac:dyDescent="0.25">
      <c r="A24" s="20"/>
      <c r="B24" s="150" t="s">
        <v>150</v>
      </c>
      <c r="C24" s="88" t="s">
        <v>339</v>
      </c>
      <c r="D24" s="235">
        <f>D11+D17</f>
        <v>0</v>
      </c>
      <c r="E24" s="232" t="s">
        <v>41</v>
      </c>
      <c r="F24" s="235">
        <f>F11+F17</f>
        <v>0</v>
      </c>
      <c r="G24" s="232" t="s">
        <v>41</v>
      </c>
      <c r="H24" s="235">
        <f>H11+H17</f>
        <v>0</v>
      </c>
      <c r="I24" s="232" t="s">
        <v>41</v>
      </c>
      <c r="J24" s="90"/>
    </row>
    <row r="25" spans="1:10" s="1" customFormat="1" ht="20.100000000000001" customHeight="1" x14ac:dyDescent="0.25">
      <c r="A25" s="20"/>
      <c r="B25" s="150" t="s">
        <v>426</v>
      </c>
      <c r="C25" s="88" t="s">
        <v>340</v>
      </c>
      <c r="D25" s="235">
        <f>D12+D18</f>
        <v>0</v>
      </c>
      <c r="E25" s="232" t="s">
        <v>41</v>
      </c>
      <c r="F25" s="235">
        <f>F12+F18</f>
        <v>0</v>
      </c>
      <c r="G25" s="232" t="s">
        <v>41</v>
      </c>
      <c r="H25" s="235">
        <f>H12+H18</f>
        <v>0</v>
      </c>
      <c r="I25" s="232" t="s">
        <v>41</v>
      </c>
      <c r="J25" s="90"/>
    </row>
    <row r="26" spans="1:10" s="1" customFormat="1" ht="20.100000000000001" customHeight="1" x14ac:dyDescent="0.25">
      <c r="A26" s="20"/>
      <c r="B26" s="150" t="s">
        <v>428</v>
      </c>
      <c r="C26" s="88" t="s">
        <v>341</v>
      </c>
      <c r="D26" s="235">
        <f>D13+D20</f>
        <v>0</v>
      </c>
      <c r="E26" s="232" t="s">
        <v>41</v>
      </c>
      <c r="F26" s="235">
        <f>F13+F20</f>
        <v>0</v>
      </c>
      <c r="G26" s="235">
        <f>G13+G20</f>
        <v>0</v>
      </c>
      <c r="H26" s="235">
        <f>H13+H20</f>
        <v>0</v>
      </c>
      <c r="I26" s="235">
        <f>I13+I20</f>
        <v>0</v>
      </c>
      <c r="J26" s="90"/>
    </row>
    <row r="27" spans="1:10" s="1" customFormat="1" ht="27.75" customHeight="1" x14ac:dyDescent="0.25">
      <c r="A27" s="20"/>
      <c r="B27" s="151" t="s">
        <v>592</v>
      </c>
      <c r="C27" s="152" t="s">
        <v>2</v>
      </c>
      <c r="D27" s="231">
        <f>+SUM(D28:D31)</f>
        <v>0</v>
      </c>
      <c r="E27" s="232" t="s">
        <v>41</v>
      </c>
      <c r="F27" s="231">
        <f>+SUM(F28:F31)</f>
        <v>0</v>
      </c>
      <c r="G27" s="231">
        <f>+SUM(G28:G31)</f>
        <v>0</v>
      </c>
      <c r="H27" s="231">
        <f>+SUM(H28:H31)</f>
        <v>0</v>
      </c>
      <c r="I27" s="231">
        <f>+SUM(I28:I31)</f>
        <v>0</v>
      </c>
      <c r="J27" s="90"/>
    </row>
    <row r="28" spans="1:10" s="1" customFormat="1" ht="20.100000000000001" customHeight="1" x14ac:dyDescent="0.25">
      <c r="A28" s="20"/>
      <c r="B28" s="150" t="s">
        <v>425</v>
      </c>
      <c r="C28" s="88" t="s">
        <v>342</v>
      </c>
      <c r="D28" s="233"/>
      <c r="E28" s="250">
        <f>+IFERROR(D28/D23,0)</f>
        <v>0</v>
      </c>
      <c r="F28" s="235">
        <f>E28*F23</f>
        <v>0</v>
      </c>
      <c r="G28" s="232" t="s">
        <v>41</v>
      </c>
      <c r="H28" s="233"/>
      <c r="I28" s="232" t="s">
        <v>41</v>
      </c>
      <c r="J28" s="90"/>
    </row>
    <row r="29" spans="1:10" s="1" customFormat="1" ht="20.100000000000001" customHeight="1" x14ac:dyDescent="0.25">
      <c r="A29" s="20"/>
      <c r="B29" s="150" t="s">
        <v>150</v>
      </c>
      <c r="C29" s="88" t="s">
        <v>343</v>
      </c>
      <c r="D29" s="233"/>
      <c r="E29" s="250">
        <f>+IFERROR(D29/D24,0)</f>
        <v>0</v>
      </c>
      <c r="F29" s="235">
        <f>E29*F24</f>
        <v>0</v>
      </c>
      <c r="G29" s="232" t="s">
        <v>41</v>
      </c>
      <c r="H29" s="233"/>
      <c r="I29" s="232" t="s">
        <v>41</v>
      </c>
      <c r="J29" s="90"/>
    </row>
    <row r="30" spans="1:10" s="1" customFormat="1" ht="20.100000000000001" customHeight="1" x14ac:dyDescent="0.25">
      <c r="A30" s="20"/>
      <c r="B30" s="150" t="s">
        <v>426</v>
      </c>
      <c r="C30" s="88" t="s">
        <v>344</v>
      </c>
      <c r="D30" s="233"/>
      <c r="E30" s="250">
        <f>+IFERROR(D30/D25,0)</f>
        <v>0</v>
      </c>
      <c r="F30" s="235">
        <f>E30*F25</f>
        <v>0</v>
      </c>
      <c r="G30" s="232" t="s">
        <v>41</v>
      </c>
      <c r="H30" s="233"/>
      <c r="I30" s="232" t="s">
        <v>41</v>
      </c>
      <c r="J30" s="90"/>
    </row>
    <row r="31" spans="1:10" s="1" customFormat="1" ht="20.100000000000001" customHeight="1" x14ac:dyDescent="0.25">
      <c r="A31" s="20"/>
      <c r="B31" s="150" t="s">
        <v>428</v>
      </c>
      <c r="C31" s="88" t="s">
        <v>345</v>
      </c>
      <c r="D31" s="233"/>
      <c r="E31" s="250">
        <f>+IFERROR(D31/D26,0)</f>
        <v>0</v>
      </c>
      <c r="F31" s="235">
        <f>E31*F26</f>
        <v>0</v>
      </c>
      <c r="G31" s="235">
        <f>E31*G26</f>
        <v>0</v>
      </c>
      <c r="H31" s="233"/>
      <c r="I31" s="233"/>
      <c r="J31" s="90"/>
    </row>
    <row r="32" spans="1:10" s="1" customFormat="1" ht="20.100000000000001" customHeight="1" x14ac:dyDescent="0.25">
      <c r="A32" s="20"/>
      <c r="B32" s="151" t="s">
        <v>586</v>
      </c>
      <c r="C32" s="152" t="s">
        <v>6</v>
      </c>
      <c r="D32" s="231">
        <f>SUM(D33:D34)</f>
        <v>0</v>
      </c>
      <c r="E32" s="232" t="s">
        <v>41</v>
      </c>
      <c r="F32" s="231">
        <f>SUM(F33:F34)</f>
        <v>0</v>
      </c>
      <c r="G32" s="231">
        <f>SUM(G33:G34)</f>
        <v>0</v>
      </c>
      <c r="H32" s="231">
        <f>SUM(H33:H34)</f>
        <v>0</v>
      </c>
      <c r="I32" s="231">
        <f>SUM(I33:I34)</f>
        <v>0</v>
      </c>
      <c r="J32" s="90"/>
    </row>
    <row r="33" spans="1:11" s="1" customFormat="1" ht="20.100000000000001" customHeight="1" x14ac:dyDescent="0.25">
      <c r="A33" s="20"/>
      <c r="B33" s="150" t="s">
        <v>431</v>
      </c>
      <c r="C33" s="88" t="s">
        <v>346</v>
      </c>
      <c r="D33" s="233"/>
      <c r="E33" s="232" t="s">
        <v>41</v>
      </c>
      <c r="F33" s="233"/>
      <c r="G33" s="233"/>
      <c r="H33" s="233"/>
      <c r="I33" s="233"/>
      <c r="J33" s="90"/>
    </row>
    <row r="34" spans="1:11" s="1" customFormat="1" ht="20.100000000000001" customHeight="1" x14ac:dyDescent="0.25">
      <c r="A34" s="20"/>
      <c r="B34" s="150" t="s">
        <v>429</v>
      </c>
      <c r="C34" s="88" t="s">
        <v>347</v>
      </c>
      <c r="D34" s="233"/>
      <c r="E34" s="232" t="s">
        <v>41</v>
      </c>
      <c r="F34" s="233"/>
      <c r="G34" s="232" t="s">
        <v>41</v>
      </c>
      <c r="H34" s="233"/>
      <c r="I34" s="232" t="s">
        <v>41</v>
      </c>
      <c r="J34" s="90"/>
    </row>
    <row r="35" spans="1:11" s="1" customFormat="1" ht="30" customHeight="1" x14ac:dyDescent="0.25">
      <c r="A35" s="20"/>
      <c r="B35" s="151" t="s">
        <v>587</v>
      </c>
      <c r="C35" s="152" t="s">
        <v>7</v>
      </c>
      <c r="D35" s="231">
        <f>SUM(D36:D37)</f>
        <v>0</v>
      </c>
      <c r="E35" s="232" t="s">
        <v>41</v>
      </c>
      <c r="F35" s="231">
        <f>SUM(F36:F37)</f>
        <v>0</v>
      </c>
      <c r="G35" s="231">
        <f>SUM(G36:G37)</f>
        <v>0</v>
      </c>
      <c r="H35" s="231">
        <f>SUM(H36:H37)</f>
        <v>0</v>
      </c>
      <c r="I35" s="231">
        <f>SUM(I36:I37)</f>
        <v>0</v>
      </c>
      <c r="J35" s="90"/>
    </row>
    <row r="36" spans="1:11" s="1" customFormat="1" ht="30" customHeight="1" x14ac:dyDescent="0.25">
      <c r="A36" s="20"/>
      <c r="B36" s="205" t="s">
        <v>558</v>
      </c>
      <c r="C36" s="88" t="s">
        <v>56</v>
      </c>
      <c r="D36" s="235">
        <f>D21-D27</f>
        <v>0</v>
      </c>
      <c r="E36" s="232" t="s">
        <v>41</v>
      </c>
      <c r="F36" s="235">
        <f>F21-F27</f>
        <v>0</v>
      </c>
      <c r="G36" s="235">
        <f>G21-G27</f>
        <v>0</v>
      </c>
      <c r="H36" s="235">
        <f>H21-H27</f>
        <v>0</v>
      </c>
      <c r="I36" s="235">
        <f>I21-I27</f>
        <v>0</v>
      </c>
      <c r="J36" s="90"/>
    </row>
    <row r="37" spans="1:11" s="1" customFormat="1" ht="20.100000000000001" customHeight="1" x14ac:dyDescent="0.25">
      <c r="A37" s="20"/>
      <c r="B37" s="150" t="s">
        <v>430</v>
      </c>
      <c r="C37" s="88" t="s">
        <v>57</v>
      </c>
      <c r="D37" s="233"/>
      <c r="E37" s="232" t="s">
        <v>41</v>
      </c>
      <c r="F37" s="233"/>
      <c r="G37" s="232" t="s">
        <v>41</v>
      </c>
      <c r="H37" s="233"/>
      <c r="I37" s="232" t="s">
        <v>41</v>
      </c>
      <c r="J37" s="90"/>
    </row>
    <row r="38" spans="1:11" s="1" customFormat="1" ht="30" customHeight="1" x14ac:dyDescent="0.25">
      <c r="A38" s="20"/>
      <c r="B38" s="155" t="s">
        <v>588</v>
      </c>
      <c r="C38" s="152" t="s">
        <v>8</v>
      </c>
      <c r="D38" s="231"/>
      <c r="E38" s="232" t="s">
        <v>41</v>
      </c>
      <c r="F38" s="231"/>
      <c r="G38" s="231"/>
      <c r="H38" s="231"/>
      <c r="I38" s="231"/>
    </row>
    <row r="39" spans="1:11" s="1" customFormat="1" ht="20.100000000000001" customHeight="1" x14ac:dyDescent="0.25">
      <c r="A39" s="20"/>
      <c r="B39" s="150" t="s">
        <v>431</v>
      </c>
      <c r="C39" s="88" t="s">
        <v>348</v>
      </c>
      <c r="D39" s="235"/>
      <c r="E39" s="232" t="s">
        <v>41</v>
      </c>
      <c r="F39" s="235"/>
      <c r="G39" s="235"/>
      <c r="H39" s="235"/>
      <c r="I39" s="235"/>
    </row>
    <row r="40" spans="1:11" s="1" customFormat="1" ht="20.100000000000001" customHeight="1" x14ac:dyDescent="0.25">
      <c r="A40" s="20"/>
      <c r="B40" s="205" t="s">
        <v>559</v>
      </c>
      <c r="C40" s="57" t="s">
        <v>560</v>
      </c>
      <c r="D40" s="233"/>
      <c r="E40" s="232" t="s">
        <v>41</v>
      </c>
      <c r="F40" s="233"/>
      <c r="G40" s="232" t="s">
        <v>41</v>
      </c>
      <c r="H40" s="233"/>
      <c r="I40" s="232" t="s">
        <v>41</v>
      </c>
    </row>
    <row r="41" spans="1:11" s="1" customFormat="1" ht="20.100000000000001" customHeight="1" x14ac:dyDescent="0.25">
      <c r="A41" s="20"/>
      <c r="B41" s="205" t="s">
        <v>561</v>
      </c>
      <c r="C41" s="57" t="s">
        <v>562</v>
      </c>
      <c r="D41" s="233"/>
      <c r="E41" s="232" t="s">
        <v>41</v>
      </c>
      <c r="F41" s="233"/>
      <c r="G41" s="232" t="s">
        <v>41</v>
      </c>
      <c r="H41" s="233"/>
      <c r="I41" s="232" t="s">
        <v>41</v>
      </c>
    </row>
    <row r="42" spans="1:11" s="1" customFormat="1" ht="20.100000000000001" customHeight="1" x14ac:dyDescent="0.25">
      <c r="A42" s="20"/>
      <c r="B42" s="150" t="s">
        <v>429</v>
      </c>
      <c r="C42" s="88" t="s">
        <v>349</v>
      </c>
      <c r="D42" s="235"/>
      <c r="E42" s="232" t="s">
        <v>41</v>
      </c>
      <c r="F42" s="235"/>
      <c r="G42" s="232"/>
      <c r="H42" s="235"/>
      <c r="I42" s="232" t="s">
        <v>41</v>
      </c>
    </row>
    <row r="43" spans="1:11" s="1" customFormat="1" ht="20.100000000000001" customHeight="1" x14ac:dyDescent="0.25">
      <c r="A43" s="20"/>
      <c r="B43" s="205" t="s">
        <v>563</v>
      </c>
      <c r="C43" s="57" t="s">
        <v>564</v>
      </c>
      <c r="D43" s="233"/>
      <c r="E43" s="232" t="s">
        <v>41</v>
      </c>
      <c r="F43" s="233"/>
      <c r="G43" s="232" t="s">
        <v>41</v>
      </c>
      <c r="H43" s="233"/>
      <c r="I43" s="232" t="s">
        <v>41</v>
      </c>
    </row>
    <row r="44" spans="1:11" s="1" customFormat="1" ht="20.100000000000001" customHeight="1" x14ac:dyDescent="0.25">
      <c r="A44" s="20"/>
      <c r="B44" s="205" t="s">
        <v>565</v>
      </c>
      <c r="C44" s="57" t="s">
        <v>566</v>
      </c>
      <c r="D44" s="233"/>
      <c r="E44" s="232" t="s">
        <v>41</v>
      </c>
      <c r="F44" s="233"/>
      <c r="G44" s="232" t="s">
        <v>41</v>
      </c>
      <c r="H44" s="233"/>
      <c r="I44" s="232" t="s">
        <v>41</v>
      </c>
    </row>
    <row r="45" spans="1:11" s="1" customFormat="1" ht="20.100000000000001" customHeight="1" x14ac:dyDescent="0.25">
      <c r="A45" s="20"/>
      <c r="B45" s="151" t="s">
        <v>589</v>
      </c>
      <c r="C45" s="152" t="s">
        <v>9</v>
      </c>
      <c r="D45" s="231"/>
      <c r="E45" s="232" t="s">
        <v>41</v>
      </c>
      <c r="F45" s="231"/>
      <c r="G45" s="231"/>
      <c r="H45" s="231"/>
      <c r="I45" s="231"/>
    </row>
    <row r="46" spans="1:11" s="1" customFormat="1" ht="20.100000000000001" customHeight="1" x14ac:dyDescent="0.25">
      <c r="A46" s="20"/>
      <c r="B46" s="150" t="s">
        <v>431</v>
      </c>
      <c r="C46" s="88" t="s">
        <v>350</v>
      </c>
      <c r="D46" s="233"/>
      <c r="E46" s="250"/>
      <c r="F46" s="235"/>
      <c r="G46" s="235"/>
      <c r="H46" s="233"/>
      <c r="I46" s="233"/>
    </row>
    <row r="47" spans="1:11" s="1" customFormat="1" ht="20.100000000000001" customHeight="1" x14ac:dyDescent="0.25">
      <c r="A47" s="20"/>
      <c r="B47" s="150" t="s">
        <v>429</v>
      </c>
      <c r="C47" s="88" t="s">
        <v>351</v>
      </c>
      <c r="D47" s="233"/>
      <c r="E47" s="250"/>
      <c r="F47" s="235"/>
      <c r="G47" s="232" t="s">
        <v>41</v>
      </c>
      <c r="H47" s="233"/>
      <c r="I47" s="232" t="s">
        <v>41</v>
      </c>
    </row>
    <row r="48" spans="1:11" s="1" customFormat="1" ht="20.100000000000001" customHeight="1" x14ac:dyDescent="0.25">
      <c r="A48" s="20"/>
      <c r="B48" s="151" t="s">
        <v>432</v>
      </c>
      <c r="C48" s="152" t="s">
        <v>10</v>
      </c>
      <c r="D48" s="231"/>
      <c r="E48" s="232" t="s">
        <v>41</v>
      </c>
      <c r="F48" s="231"/>
      <c r="G48" s="231"/>
      <c r="H48" s="231"/>
      <c r="I48" s="231"/>
      <c r="K48" s="207"/>
    </row>
    <row r="49" spans="1:19" s="1" customFormat="1" ht="33.6" customHeight="1" x14ac:dyDescent="0.25">
      <c r="A49" s="20"/>
      <c r="B49" s="150" t="s">
        <v>590</v>
      </c>
      <c r="C49" s="88" t="s">
        <v>352</v>
      </c>
      <c r="D49" s="235"/>
      <c r="E49" s="232" t="s">
        <v>41</v>
      </c>
      <c r="F49" s="235"/>
      <c r="G49" s="235"/>
      <c r="H49" s="235"/>
      <c r="I49" s="235"/>
      <c r="J49" s="207"/>
    </row>
    <row r="50" spans="1:19" s="1" customFormat="1" ht="20.100000000000001" customHeight="1" x14ac:dyDescent="0.25">
      <c r="A50" s="20"/>
      <c r="B50" s="156" t="s">
        <v>585</v>
      </c>
      <c r="C50" s="157" t="s">
        <v>353</v>
      </c>
      <c r="D50" s="235"/>
      <c r="E50" s="232" t="s">
        <v>41</v>
      </c>
      <c r="F50" s="235"/>
      <c r="G50" s="232" t="s">
        <v>41</v>
      </c>
      <c r="H50" s="235"/>
      <c r="I50" s="232" t="s">
        <v>41</v>
      </c>
    </row>
    <row r="51" spans="1:19" ht="22.8" customHeight="1" x14ac:dyDescent="0.25">
      <c r="B51" s="252" t="s">
        <v>567</v>
      </c>
      <c r="C51" s="37" t="s">
        <v>568</v>
      </c>
      <c r="D51" s="233"/>
      <c r="E51" s="232" t="s">
        <v>41</v>
      </c>
      <c r="F51" s="233"/>
      <c r="G51" s="232" t="s">
        <v>41</v>
      </c>
      <c r="H51" s="233"/>
      <c r="I51" s="232" t="s">
        <v>41</v>
      </c>
      <c r="J51" s="1"/>
      <c r="K51" s="1"/>
      <c r="L51" s="1"/>
    </row>
    <row r="52" spans="1:19" x14ac:dyDescent="0.25">
      <c r="B52" s="209" t="s">
        <v>177</v>
      </c>
      <c r="H52" s="208"/>
    </row>
    <row r="53" spans="1:19" ht="39.9" customHeight="1" x14ac:dyDescent="0.25">
      <c r="B53" s="288" t="s">
        <v>516</v>
      </c>
      <c r="C53" s="288"/>
      <c r="D53" s="288"/>
      <c r="E53" s="288"/>
      <c r="F53" s="288"/>
      <c r="G53" s="288"/>
      <c r="H53" s="288"/>
      <c r="I53" s="288"/>
      <c r="J53" s="1"/>
      <c r="K53" s="1"/>
      <c r="L53" s="1"/>
    </row>
    <row r="54" spans="1:19" ht="30" customHeight="1" x14ac:dyDescent="0.25">
      <c r="B54" s="288" t="s">
        <v>517</v>
      </c>
      <c r="C54" s="288"/>
      <c r="D54" s="288"/>
      <c r="E54" s="288"/>
      <c r="F54" s="288"/>
      <c r="G54" s="288"/>
      <c r="H54" s="288"/>
      <c r="I54" s="288"/>
    </row>
    <row r="55" spans="1:19" ht="15" customHeight="1" x14ac:dyDescent="0.25">
      <c r="B55" s="269" t="s">
        <v>569</v>
      </c>
      <c r="C55" s="269"/>
      <c r="D55" s="269"/>
      <c r="E55" s="269"/>
      <c r="F55" s="269"/>
      <c r="G55" s="269"/>
      <c r="H55" s="269"/>
      <c r="I55" s="269"/>
    </row>
    <row r="56" spans="1:19" ht="15" customHeight="1" x14ac:dyDescent="0.25">
      <c r="B56" s="269" t="s">
        <v>570</v>
      </c>
      <c r="C56" s="269"/>
      <c r="D56" s="269"/>
      <c r="E56" s="269"/>
      <c r="F56" s="269"/>
      <c r="G56" s="269"/>
      <c r="H56" s="269"/>
      <c r="I56" s="269"/>
      <c r="J56" s="95"/>
      <c r="K56" s="95"/>
      <c r="L56" s="95"/>
      <c r="M56" s="95"/>
      <c r="N56" s="95"/>
      <c r="O56" s="95"/>
      <c r="P56" s="95"/>
      <c r="Q56" s="95"/>
      <c r="R56" s="95"/>
      <c r="S56" s="95"/>
    </row>
    <row r="57" spans="1:19" s="1" customFormat="1" ht="15" customHeight="1" x14ac:dyDescent="0.25">
      <c r="B57" s="269" t="s">
        <v>571</v>
      </c>
      <c r="C57" s="269"/>
      <c r="D57" s="269"/>
      <c r="E57" s="269"/>
      <c r="F57" s="269"/>
      <c r="G57" s="269"/>
      <c r="H57" s="269"/>
      <c r="I57" s="269"/>
      <c r="J57" s="95"/>
      <c r="K57" s="95"/>
      <c r="L57" s="95"/>
      <c r="M57" s="95"/>
      <c r="N57" s="95"/>
      <c r="O57" s="95"/>
      <c r="P57" s="95"/>
      <c r="Q57" s="95"/>
      <c r="R57" s="95"/>
      <c r="S57" s="95"/>
    </row>
    <row r="58" spans="1:19" s="1" customFormat="1" ht="15" customHeight="1" x14ac:dyDescent="0.25">
      <c r="B58" s="269" t="s">
        <v>572</v>
      </c>
      <c r="C58" s="269"/>
      <c r="D58" s="269"/>
      <c r="E58" s="269"/>
      <c r="F58" s="269"/>
      <c r="G58" s="269"/>
      <c r="H58" s="269"/>
      <c r="I58" s="269"/>
      <c r="J58" s="95"/>
      <c r="K58" s="95"/>
      <c r="L58" s="95"/>
      <c r="M58" s="95"/>
      <c r="N58" s="95"/>
      <c r="O58" s="95"/>
      <c r="P58" s="95"/>
      <c r="Q58" s="95"/>
      <c r="R58" s="95"/>
      <c r="S58" s="95"/>
    </row>
    <row r="59" spans="1:19" s="1" customFormat="1" ht="15" customHeight="1" x14ac:dyDescent="0.25">
      <c r="B59" s="269" t="s">
        <v>573</v>
      </c>
      <c r="C59" s="269"/>
      <c r="D59" s="269"/>
      <c r="E59" s="269"/>
      <c r="F59" s="269"/>
      <c r="G59" s="269"/>
      <c r="H59" s="269"/>
      <c r="I59" s="269"/>
      <c r="J59" s="95"/>
      <c r="K59" s="95"/>
      <c r="L59" s="95"/>
      <c r="M59" s="95"/>
      <c r="N59" s="95"/>
      <c r="O59" s="95"/>
      <c r="P59" s="95"/>
      <c r="Q59" s="95"/>
      <c r="R59" s="95"/>
      <c r="S59" s="95"/>
    </row>
    <row r="60" spans="1:19" s="1" customFormat="1" ht="15" customHeight="1" x14ac:dyDescent="0.25">
      <c r="B60" s="269" t="s">
        <v>574</v>
      </c>
      <c r="C60" s="269"/>
      <c r="D60" s="269"/>
      <c r="E60" s="269"/>
      <c r="F60" s="269"/>
      <c r="G60" s="269"/>
      <c r="H60" s="269"/>
      <c r="I60" s="269"/>
      <c r="J60" s="95"/>
      <c r="K60" s="95"/>
      <c r="L60" s="95"/>
      <c r="M60" s="95"/>
      <c r="N60" s="95"/>
      <c r="O60" s="95"/>
      <c r="P60" s="95"/>
      <c r="Q60" s="95"/>
      <c r="R60" s="95"/>
      <c r="S60" s="95"/>
    </row>
    <row r="61" spans="1:19" s="1" customFormat="1" ht="15" customHeight="1" x14ac:dyDescent="0.25">
      <c r="B61" s="269" t="s">
        <v>575</v>
      </c>
      <c r="C61" s="269"/>
      <c r="D61" s="269"/>
      <c r="E61" s="269"/>
      <c r="F61" s="269"/>
      <c r="G61" s="269"/>
      <c r="H61" s="269"/>
      <c r="I61" s="269"/>
      <c r="J61" s="95"/>
      <c r="K61" s="95"/>
      <c r="L61" s="95"/>
      <c r="M61" s="95"/>
      <c r="N61" s="95"/>
      <c r="O61" s="95"/>
      <c r="P61" s="95"/>
      <c r="Q61" s="95"/>
      <c r="R61" s="95"/>
      <c r="S61" s="95"/>
    </row>
    <row r="62" spans="1:19" s="1" customFormat="1" ht="15" customHeight="1" x14ac:dyDescent="0.25">
      <c r="B62" s="269" t="s">
        <v>576</v>
      </c>
      <c r="C62" s="269"/>
      <c r="D62" s="269"/>
      <c r="E62" s="269"/>
      <c r="F62" s="269"/>
      <c r="G62" s="269"/>
      <c r="H62" s="269"/>
      <c r="I62" s="269"/>
      <c r="J62" s="95"/>
      <c r="K62" s="95"/>
      <c r="L62" s="95"/>
      <c r="M62" s="95"/>
      <c r="N62" s="95"/>
      <c r="O62" s="95"/>
      <c r="P62" s="95"/>
      <c r="Q62" s="95"/>
      <c r="R62" s="95"/>
      <c r="S62" s="95"/>
    </row>
    <row r="63" spans="1:19" s="1" customFormat="1" ht="15" customHeight="1" x14ac:dyDescent="0.25">
      <c r="B63" s="269" t="s">
        <v>577</v>
      </c>
      <c r="C63" s="269"/>
      <c r="D63" s="269"/>
      <c r="E63" s="269"/>
      <c r="F63" s="269"/>
      <c r="G63" s="269"/>
      <c r="H63" s="269"/>
      <c r="I63" s="269"/>
      <c r="J63" s="95"/>
      <c r="K63" s="95"/>
      <c r="L63" s="95"/>
      <c r="M63" s="95"/>
      <c r="N63" s="95"/>
      <c r="O63" s="95"/>
      <c r="P63" s="95"/>
      <c r="Q63" s="95"/>
      <c r="R63" s="95"/>
      <c r="S63" s="95"/>
    </row>
    <row r="64" spans="1:19" s="1" customFormat="1" ht="15" customHeight="1" x14ac:dyDescent="0.25">
      <c r="B64" s="269" t="s">
        <v>578</v>
      </c>
      <c r="C64" s="269"/>
      <c r="D64" s="269"/>
      <c r="E64" s="269"/>
      <c r="F64" s="269"/>
      <c r="G64" s="269"/>
      <c r="H64" s="269"/>
      <c r="I64" s="269"/>
      <c r="J64" s="95"/>
      <c r="K64" s="95"/>
      <c r="L64" s="95"/>
      <c r="M64" s="95"/>
      <c r="N64" s="95"/>
      <c r="O64" s="95"/>
      <c r="P64" s="95"/>
      <c r="Q64" s="95"/>
      <c r="R64" s="95"/>
      <c r="S64" s="95"/>
    </row>
    <row r="65" spans="2:19" s="1" customFormat="1" ht="15" customHeight="1" x14ac:dyDescent="0.25">
      <c r="B65" s="269" t="s">
        <v>579</v>
      </c>
      <c r="C65" s="269"/>
      <c r="D65" s="269"/>
      <c r="E65" s="269"/>
      <c r="F65" s="269"/>
      <c r="G65" s="269"/>
      <c r="H65" s="269"/>
      <c r="I65" s="269"/>
      <c r="J65" s="95"/>
      <c r="K65" s="95"/>
      <c r="L65" s="95"/>
      <c r="M65" s="95"/>
      <c r="N65" s="95"/>
      <c r="O65" s="95"/>
      <c r="P65" s="95"/>
      <c r="Q65" s="95"/>
      <c r="R65" s="95"/>
      <c r="S65" s="95"/>
    </row>
    <row r="66" spans="2:19" s="1" customFormat="1" ht="15" customHeight="1" x14ac:dyDescent="0.25">
      <c r="B66" s="269" t="s">
        <v>580</v>
      </c>
      <c r="C66" s="269"/>
      <c r="D66" s="269"/>
      <c r="E66" s="269"/>
      <c r="F66" s="269"/>
      <c r="G66" s="269"/>
      <c r="H66" s="269"/>
      <c r="I66" s="269"/>
      <c r="J66" s="95"/>
      <c r="K66" s="95"/>
      <c r="L66" s="95"/>
      <c r="M66" s="95"/>
      <c r="N66" s="95"/>
      <c r="O66" s="95"/>
      <c r="P66" s="95"/>
      <c r="Q66" s="95"/>
      <c r="R66" s="95"/>
      <c r="S66" s="95"/>
    </row>
    <row r="67" spans="2:19" s="1" customFormat="1" ht="15" customHeight="1" x14ac:dyDescent="0.25">
      <c r="B67" s="269" t="s">
        <v>581</v>
      </c>
      <c r="C67" s="269"/>
      <c r="D67" s="269"/>
      <c r="E67" s="269"/>
      <c r="F67" s="269"/>
      <c r="G67" s="269"/>
      <c r="H67" s="269"/>
      <c r="I67" s="269"/>
      <c r="J67" s="95"/>
      <c r="K67" s="95"/>
      <c r="L67" s="95"/>
      <c r="M67" s="95"/>
      <c r="N67" s="95"/>
      <c r="O67" s="95"/>
      <c r="P67" s="95"/>
      <c r="Q67" s="95"/>
      <c r="R67" s="95"/>
      <c r="S67" s="95"/>
    </row>
    <row r="68" spans="2:19" s="1" customFormat="1" ht="15" customHeight="1" x14ac:dyDescent="0.25">
      <c r="B68" s="288" t="s">
        <v>531</v>
      </c>
      <c r="C68" s="288"/>
      <c r="D68" s="288"/>
      <c r="E68" s="288"/>
      <c r="F68" s="288"/>
      <c r="G68" s="288"/>
      <c r="H68" s="288"/>
      <c r="I68" s="288"/>
      <c r="J68" s="95"/>
      <c r="K68" s="95"/>
      <c r="L68" s="95"/>
      <c r="M68" s="95"/>
      <c r="N68" s="95"/>
      <c r="O68" s="95"/>
      <c r="P68" s="95"/>
      <c r="Q68" s="95"/>
      <c r="R68" s="95"/>
      <c r="S68" s="95"/>
    </row>
    <row r="69" spans="2:19" s="1" customFormat="1" ht="20.100000000000001" customHeight="1" x14ac:dyDescent="0.25">
      <c r="B69" s="287" t="s">
        <v>554</v>
      </c>
      <c r="C69" s="287"/>
      <c r="D69" s="287"/>
      <c r="E69" s="287"/>
      <c r="F69" s="287"/>
      <c r="G69" s="287"/>
      <c r="H69" s="287"/>
      <c r="I69" s="287"/>
      <c r="J69" s="95"/>
      <c r="K69" s="95"/>
      <c r="L69" s="95"/>
      <c r="M69" s="95"/>
      <c r="N69" s="95"/>
      <c r="O69" s="95"/>
      <c r="P69" s="95"/>
      <c r="Q69" s="95"/>
      <c r="R69" s="95"/>
      <c r="S69" s="95"/>
    </row>
    <row r="70" spans="2:19" s="1" customFormat="1" ht="20.100000000000001" customHeight="1" x14ac:dyDescent="0.25">
      <c r="B70" s="1" t="s">
        <v>91</v>
      </c>
      <c r="C70" s="95"/>
      <c r="D70" s="95"/>
      <c r="E70" s="95"/>
      <c r="F70" s="95"/>
      <c r="G70" s="95"/>
      <c r="H70" s="95"/>
      <c r="I70" s="95"/>
      <c r="J70" s="95"/>
      <c r="K70" s="95"/>
      <c r="L70" s="95"/>
      <c r="M70" s="95"/>
      <c r="N70" s="95"/>
      <c r="O70" s="95"/>
      <c r="P70" s="95"/>
      <c r="Q70" s="95"/>
      <c r="R70" s="95"/>
      <c r="S70" s="95"/>
    </row>
    <row r="71" spans="2:19" s="1" customFormat="1" ht="15" customHeight="1" x14ac:dyDescent="0.25">
      <c r="B71" s="97"/>
      <c r="C71" s="95"/>
      <c r="D71" s="95"/>
      <c r="E71" s="95"/>
      <c r="F71" s="95"/>
      <c r="G71" s="95"/>
      <c r="H71" s="95"/>
      <c r="I71" s="95"/>
      <c r="J71" s="95"/>
      <c r="K71" s="95"/>
      <c r="L71" s="95"/>
      <c r="M71" s="95"/>
      <c r="N71" s="95"/>
      <c r="O71" s="95"/>
      <c r="P71" s="95"/>
      <c r="Q71" s="95"/>
      <c r="R71" s="95"/>
      <c r="S71" s="95"/>
    </row>
    <row r="72" spans="2:19" s="1" customFormat="1" ht="20.100000000000001" customHeight="1" x14ac:dyDescent="0.25">
      <c r="B72" s="1" t="s">
        <v>94</v>
      </c>
      <c r="C72" s="95"/>
      <c r="D72" s="95"/>
      <c r="E72" s="95"/>
      <c r="F72" s="95"/>
      <c r="G72" s="95"/>
      <c r="H72" s="95"/>
      <c r="I72" s="95"/>
      <c r="J72" s="95"/>
      <c r="K72" s="95"/>
      <c r="L72" s="95"/>
      <c r="M72" s="95"/>
      <c r="N72" s="95"/>
      <c r="O72" s="95"/>
      <c r="P72" s="95"/>
      <c r="Q72" s="95"/>
      <c r="R72" s="95"/>
      <c r="S72" s="95"/>
    </row>
    <row r="73" spans="2:19" s="1" customFormat="1" ht="15" customHeight="1" x14ac:dyDescent="0.25">
      <c r="B73" s="97"/>
      <c r="C73" s="95"/>
      <c r="D73" s="95"/>
      <c r="E73" s="95"/>
      <c r="F73" s="95"/>
      <c r="G73" s="95"/>
      <c r="H73" s="95"/>
      <c r="I73" s="95"/>
      <c r="J73" s="95"/>
      <c r="K73" s="95"/>
      <c r="L73" s="95"/>
      <c r="M73" s="95"/>
      <c r="N73" s="95"/>
      <c r="O73" s="95"/>
      <c r="P73" s="95"/>
      <c r="Q73" s="95"/>
      <c r="R73" s="95"/>
      <c r="S73" s="95"/>
    </row>
    <row r="74" spans="2:19" x14ac:dyDescent="0.25">
      <c r="D74" s="95"/>
      <c r="E74" s="95"/>
      <c r="F74" s="95"/>
      <c r="G74" s="95"/>
      <c r="H74" s="95"/>
      <c r="I74" s="95"/>
      <c r="J74" s="95"/>
      <c r="K74" s="95"/>
      <c r="L74" s="95"/>
      <c r="M74" s="95"/>
      <c r="N74" s="95"/>
      <c r="O74" s="95"/>
      <c r="P74" s="95"/>
      <c r="Q74" s="95"/>
      <c r="R74" s="95"/>
      <c r="S74" s="95"/>
    </row>
  </sheetData>
  <mergeCells count="24">
    <mergeCell ref="B65:I65"/>
    <mergeCell ref="B66:I66"/>
    <mergeCell ref="B67:I67"/>
    <mergeCell ref="B60:I60"/>
    <mergeCell ref="B61:I61"/>
    <mergeCell ref="B62:I62"/>
    <mergeCell ref="B63:I63"/>
    <mergeCell ref="B64:I64"/>
    <mergeCell ref="B69:I69"/>
    <mergeCell ref="B68:I68"/>
    <mergeCell ref="B53:I53"/>
    <mergeCell ref="B54:I54"/>
    <mergeCell ref="B2:I2"/>
    <mergeCell ref="B3:I3"/>
    <mergeCell ref="B6:B7"/>
    <mergeCell ref="C6:C7"/>
    <mergeCell ref="D6:D7"/>
    <mergeCell ref="E6:G6"/>
    <mergeCell ref="H6:I6"/>
    <mergeCell ref="B55:I55"/>
    <mergeCell ref="B56:I56"/>
    <mergeCell ref="B57:I57"/>
    <mergeCell ref="B58:I58"/>
    <mergeCell ref="B59:I59"/>
  </mergeCells>
  <pageMargins left="0.39370078740157483" right="0.39370078740157483" top="0.39370078740157483" bottom="0.19685039370078741" header="0.19685039370078741" footer="0.19685039370078741"/>
  <pageSetup paperSize="9" scale="48"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2:K64"/>
  <sheetViews>
    <sheetView topLeftCell="A40" zoomScale="85" zoomScaleNormal="85" zoomScaleSheetLayoutView="85" workbookViewId="0">
      <selection activeCell="A46" sqref="A46:XFD59"/>
    </sheetView>
  </sheetViews>
  <sheetFormatPr defaultColWidth="9.109375" defaultRowHeight="13.2" x14ac:dyDescent="0.25"/>
  <cols>
    <col min="1" max="1" width="0.88671875" style="4" customWidth="1"/>
    <col min="2" max="2" width="101.109375" style="4" customWidth="1"/>
    <col min="3" max="3" width="7.5546875" style="95" customWidth="1"/>
    <col min="4" max="4" width="18.44140625" style="4" customWidth="1"/>
    <col min="5" max="5" width="17.5546875" style="4" customWidth="1"/>
    <col min="6" max="6" width="19" style="4" customWidth="1"/>
    <col min="7" max="7" width="17.5546875" style="4" customWidth="1"/>
    <col min="8" max="8" width="19" style="4" customWidth="1"/>
    <col min="9" max="9" width="11.33203125" style="4" customWidth="1"/>
    <col min="10" max="10" width="10.88671875" style="4" customWidth="1"/>
    <col min="11" max="16384" width="9.109375" style="4"/>
  </cols>
  <sheetData>
    <row r="2" spans="2:8" ht="16.5" customHeight="1" x14ac:dyDescent="0.25">
      <c r="B2" s="289" t="s">
        <v>509</v>
      </c>
      <c r="C2" s="289"/>
      <c r="D2" s="289"/>
      <c r="E2" s="289"/>
      <c r="F2" s="289"/>
      <c r="G2" s="289"/>
      <c r="H2" s="289"/>
    </row>
    <row r="3" spans="2:8" ht="18" customHeight="1" x14ac:dyDescent="0.25">
      <c r="B3" s="259" t="s">
        <v>507</v>
      </c>
      <c r="C3" s="259"/>
      <c r="D3" s="259"/>
      <c r="E3" s="259"/>
      <c r="F3" s="259"/>
      <c r="G3" s="259"/>
      <c r="H3" s="259"/>
    </row>
    <row r="4" spans="2:8" ht="12.75" customHeight="1" x14ac:dyDescent="0.25">
      <c r="C4" s="4"/>
      <c r="D4" s="100"/>
      <c r="E4" s="249"/>
      <c r="F4" s="249"/>
      <c r="G4" s="91" t="s">
        <v>90</v>
      </c>
      <c r="H4" s="210">
        <f>+list01!C4</f>
        <v>0</v>
      </c>
    </row>
    <row r="5" spans="2:8" ht="16.2" customHeight="1" x14ac:dyDescent="0.25">
      <c r="C5" s="203"/>
      <c r="D5" s="204"/>
      <c r="E5" s="204"/>
      <c r="F5" s="204"/>
      <c r="G5" s="204"/>
    </row>
    <row r="6" spans="2:8" ht="36.75" customHeight="1" x14ac:dyDescent="0.25">
      <c r="B6" s="290" t="s">
        <v>358</v>
      </c>
      <c r="C6" s="292" t="s">
        <v>113</v>
      </c>
      <c r="D6" s="292" t="s">
        <v>355</v>
      </c>
      <c r="E6" s="296" t="s">
        <v>548</v>
      </c>
      <c r="F6" s="296"/>
      <c r="G6" s="296" t="s">
        <v>549</v>
      </c>
      <c r="H6" s="297"/>
    </row>
    <row r="7" spans="2:8" ht="52.5" customHeight="1" x14ac:dyDescent="0.25">
      <c r="B7" s="291"/>
      <c r="C7" s="293"/>
      <c r="D7" s="293"/>
      <c r="E7" s="143" t="s">
        <v>518</v>
      </c>
      <c r="F7" s="143" t="s">
        <v>145</v>
      </c>
      <c r="G7" s="143" t="s">
        <v>518</v>
      </c>
      <c r="H7" s="144" t="s">
        <v>145</v>
      </c>
    </row>
    <row r="8" spans="2:8" s="90" customFormat="1" ht="18" customHeight="1" x14ac:dyDescent="0.25">
      <c r="B8" s="213">
        <v>1</v>
      </c>
      <c r="C8" s="214">
        <v>2</v>
      </c>
      <c r="D8" s="214">
        <v>3</v>
      </c>
      <c r="E8" s="214">
        <v>4</v>
      </c>
      <c r="F8" s="214">
        <v>5</v>
      </c>
      <c r="G8" s="214">
        <v>6</v>
      </c>
      <c r="H8" s="215">
        <v>7</v>
      </c>
    </row>
    <row r="9" spans="2:8" s="1" customFormat="1" ht="20.100000000000001" customHeight="1" x14ac:dyDescent="0.25">
      <c r="B9" s="103" t="s">
        <v>510</v>
      </c>
      <c r="C9" s="216" t="s">
        <v>0</v>
      </c>
      <c r="D9" s="233"/>
      <c r="E9" s="233"/>
      <c r="F9" s="233"/>
      <c r="G9" s="233"/>
      <c r="H9" s="233"/>
    </row>
    <row r="10" spans="2:8" s="1" customFormat="1" ht="30" customHeight="1" x14ac:dyDescent="0.25">
      <c r="B10" s="151" t="s">
        <v>476</v>
      </c>
      <c r="C10" s="217" t="s">
        <v>1</v>
      </c>
      <c r="D10" s="231">
        <f>+SUM(D12:D16)</f>
        <v>0</v>
      </c>
      <c r="E10" s="231">
        <f>+SUM(E12:E16)-E15</f>
        <v>0</v>
      </c>
      <c r="F10" s="231">
        <f>+SUM(F12:F16)</f>
        <v>0</v>
      </c>
      <c r="G10" s="231">
        <f>+SUM(G12:G16)-G15</f>
        <v>0</v>
      </c>
      <c r="H10" s="231">
        <f>+SUM(H12:H16)</f>
        <v>0</v>
      </c>
    </row>
    <row r="11" spans="2:8" s="1" customFormat="1" ht="30" customHeight="1" x14ac:dyDescent="0.25">
      <c r="B11" s="112" t="s">
        <v>555</v>
      </c>
      <c r="C11" s="217" t="s">
        <v>32</v>
      </c>
      <c r="D11" s="233"/>
      <c r="E11" s="233"/>
      <c r="F11" s="233"/>
      <c r="G11" s="233"/>
      <c r="H11" s="233"/>
    </row>
    <row r="12" spans="2:8" s="1" customFormat="1" ht="20.100000000000001" customHeight="1" x14ac:dyDescent="0.25">
      <c r="B12" s="150" t="s">
        <v>425</v>
      </c>
      <c r="C12" s="57" t="s">
        <v>334</v>
      </c>
      <c r="D12" s="233"/>
      <c r="E12" s="233"/>
      <c r="F12" s="236" t="s">
        <v>41</v>
      </c>
      <c r="G12" s="233"/>
      <c r="H12" s="236" t="s">
        <v>41</v>
      </c>
    </row>
    <row r="13" spans="2:8" s="1" customFormat="1" ht="20.100000000000001" customHeight="1" x14ac:dyDescent="0.25">
      <c r="B13" s="150" t="s">
        <v>150</v>
      </c>
      <c r="C13" s="57" t="s">
        <v>335</v>
      </c>
      <c r="D13" s="233"/>
      <c r="E13" s="233"/>
      <c r="F13" s="236" t="s">
        <v>41</v>
      </c>
      <c r="G13" s="233"/>
      <c r="H13" s="236" t="s">
        <v>41</v>
      </c>
    </row>
    <row r="14" spans="2:8" s="1" customFormat="1" ht="20.100000000000001" customHeight="1" x14ac:dyDescent="0.25">
      <c r="B14" s="150" t="s">
        <v>426</v>
      </c>
      <c r="C14" s="57" t="s">
        <v>336</v>
      </c>
      <c r="D14" s="233"/>
      <c r="E14" s="233"/>
      <c r="F14" s="236" t="s">
        <v>41</v>
      </c>
      <c r="G14" s="233"/>
      <c r="H14" s="236" t="s">
        <v>41</v>
      </c>
    </row>
    <row r="15" spans="2:8" s="110" customFormat="1" ht="20.100000000000001" customHeight="1" x14ac:dyDescent="0.25">
      <c r="B15" s="153" t="s">
        <v>427</v>
      </c>
      <c r="C15" s="218" t="s">
        <v>475</v>
      </c>
      <c r="D15" s="236" t="s">
        <v>41</v>
      </c>
      <c r="E15" s="234"/>
      <c r="F15" s="236" t="s">
        <v>41</v>
      </c>
      <c r="G15" s="234"/>
      <c r="H15" s="236" t="s">
        <v>41</v>
      </c>
    </row>
    <row r="16" spans="2:8" s="1" customFormat="1" ht="20.100000000000001" customHeight="1" x14ac:dyDescent="0.25">
      <c r="B16" s="150" t="s">
        <v>428</v>
      </c>
      <c r="C16" s="57" t="s">
        <v>337</v>
      </c>
      <c r="D16" s="233"/>
      <c r="E16" s="233"/>
      <c r="F16" s="233"/>
      <c r="G16" s="233"/>
      <c r="H16" s="233"/>
    </row>
    <row r="17" spans="2:8" s="1" customFormat="1" ht="30" customHeight="1" x14ac:dyDescent="0.25">
      <c r="B17" s="155" t="s">
        <v>556</v>
      </c>
      <c r="C17" s="217" t="s">
        <v>4</v>
      </c>
      <c r="D17" s="231">
        <f>D9+D10</f>
        <v>0</v>
      </c>
      <c r="E17" s="231">
        <f>E9+E10</f>
        <v>0</v>
      </c>
      <c r="F17" s="231">
        <f>F9+F10</f>
        <v>0</v>
      </c>
      <c r="G17" s="231">
        <f>G9+G10</f>
        <v>0</v>
      </c>
      <c r="H17" s="231">
        <f>H9+H10</f>
        <v>0</v>
      </c>
    </row>
    <row r="18" spans="2:8" s="1" customFormat="1" ht="30" customHeight="1" x14ac:dyDescent="0.25">
      <c r="B18" s="251" t="s">
        <v>557</v>
      </c>
      <c r="C18" s="217" t="s">
        <v>36</v>
      </c>
      <c r="D18" s="237"/>
      <c r="E18" s="237"/>
      <c r="F18" s="236" t="s">
        <v>41</v>
      </c>
      <c r="G18" s="237"/>
      <c r="H18" s="236" t="s">
        <v>41</v>
      </c>
    </row>
    <row r="19" spans="2:8" s="1" customFormat="1" ht="20.100000000000001" customHeight="1" x14ac:dyDescent="0.25">
      <c r="B19" s="112" t="s">
        <v>511</v>
      </c>
      <c r="C19" s="217" t="s">
        <v>2</v>
      </c>
      <c r="D19" s="237"/>
      <c r="E19" s="231">
        <f>+IFERROR(D20*E17,0)</f>
        <v>0</v>
      </c>
      <c r="F19" s="231">
        <f>D20*F17</f>
        <v>0</v>
      </c>
      <c r="G19" s="237"/>
      <c r="H19" s="233"/>
    </row>
    <row r="20" spans="2:8" s="1" customFormat="1" ht="20.100000000000001" customHeight="1" x14ac:dyDescent="0.25">
      <c r="B20" s="62" t="s">
        <v>512</v>
      </c>
      <c r="C20" s="57" t="s">
        <v>342</v>
      </c>
      <c r="D20" s="250">
        <f>+IFERROR(D19/D17,0)</f>
        <v>0</v>
      </c>
      <c r="E20" s="236" t="s">
        <v>41</v>
      </c>
      <c r="F20" s="236" t="s">
        <v>41</v>
      </c>
      <c r="G20" s="236" t="s">
        <v>41</v>
      </c>
      <c r="H20" s="236" t="s">
        <v>41</v>
      </c>
    </row>
    <row r="21" spans="2:8" s="1" customFormat="1" ht="20.100000000000001" customHeight="1" x14ac:dyDescent="0.25">
      <c r="B21" s="151" t="s">
        <v>586</v>
      </c>
      <c r="C21" s="217" t="s">
        <v>6</v>
      </c>
      <c r="D21" s="231">
        <f>SUM(D22:D23)</f>
        <v>0</v>
      </c>
      <c r="E21" s="231">
        <f>SUM(E22:E23)</f>
        <v>0</v>
      </c>
      <c r="F21" s="231">
        <f>SUM(F22:F23)</f>
        <v>0</v>
      </c>
      <c r="G21" s="231">
        <f>SUM(G22:G23)</f>
        <v>0</v>
      </c>
      <c r="H21" s="231">
        <f>SUM(H22:H23)</f>
        <v>0</v>
      </c>
    </row>
    <row r="22" spans="2:8" s="1" customFormat="1" ht="20.100000000000001" customHeight="1" x14ac:dyDescent="0.25">
      <c r="B22" s="205" t="s">
        <v>431</v>
      </c>
      <c r="C22" s="57" t="s">
        <v>346</v>
      </c>
      <c r="D22" s="233"/>
      <c r="E22" s="233"/>
      <c r="F22" s="233"/>
      <c r="G22" s="233"/>
      <c r="H22" s="233"/>
    </row>
    <row r="23" spans="2:8" s="1" customFormat="1" ht="20.100000000000001" customHeight="1" x14ac:dyDescent="0.25">
      <c r="B23" s="205" t="s">
        <v>429</v>
      </c>
      <c r="C23" s="57" t="s">
        <v>347</v>
      </c>
      <c r="D23" s="233"/>
      <c r="E23" s="233"/>
      <c r="F23" s="236" t="s">
        <v>41</v>
      </c>
      <c r="G23" s="233"/>
      <c r="H23" s="236" t="s">
        <v>41</v>
      </c>
    </row>
    <row r="24" spans="2:8" s="1" customFormat="1" ht="20.100000000000001" customHeight="1" x14ac:dyDescent="0.25">
      <c r="B24" s="151" t="s">
        <v>587</v>
      </c>
      <c r="C24" s="217" t="s">
        <v>7</v>
      </c>
      <c r="D24" s="231">
        <f>SUM(D25:D26)</f>
        <v>0</v>
      </c>
      <c r="E24" s="231">
        <f>SUM(E25:E26)</f>
        <v>0</v>
      </c>
      <c r="F24" s="231">
        <f>SUM(F25:F26)</f>
        <v>0</v>
      </c>
      <c r="G24" s="231">
        <f>SUM(G25:G26)</f>
        <v>0</v>
      </c>
      <c r="H24" s="231">
        <f>SUM(H25:H26)</f>
        <v>0</v>
      </c>
    </row>
    <row r="25" spans="2:8" s="1" customFormat="1" ht="30" customHeight="1" x14ac:dyDescent="0.25">
      <c r="B25" s="205" t="s">
        <v>558</v>
      </c>
      <c r="C25" s="57" t="s">
        <v>56</v>
      </c>
      <c r="D25" s="235">
        <f>D17-D19</f>
        <v>0</v>
      </c>
      <c r="E25" s="235">
        <f>E17-E19</f>
        <v>0</v>
      </c>
      <c r="F25" s="235">
        <f>F17-F19</f>
        <v>0</v>
      </c>
      <c r="G25" s="235">
        <f>G17-G19</f>
        <v>0</v>
      </c>
      <c r="H25" s="235">
        <f>H17-H19</f>
        <v>0</v>
      </c>
    </row>
    <row r="26" spans="2:8" s="1" customFormat="1" ht="20.100000000000001" customHeight="1" x14ac:dyDescent="0.25">
      <c r="B26" s="150" t="s">
        <v>430</v>
      </c>
      <c r="C26" s="57" t="s">
        <v>57</v>
      </c>
      <c r="D26" s="233"/>
      <c r="E26" s="233"/>
      <c r="F26" s="236" t="s">
        <v>41</v>
      </c>
      <c r="G26" s="233"/>
      <c r="H26" s="236" t="s">
        <v>41</v>
      </c>
    </row>
    <row r="27" spans="2:8" s="1" customFormat="1" ht="30" customHeight="1" x14ac:dyDescent="0.25">
      <c r="B27" s="155" t="s">
        <v>588</v>
      </c>
      <c r="C27" s="217" t="s">
        <v>8</v>
      </c>
      <c r="D27" s="231">
        <f>SUM(D28:D31)</f>
        <v>0</v>
      </c>
      <c r="E27" s="231">
        <f>SUM(E28:E31)</f>
        <v>0</v>
      </c>
      <c r="F27" s="231">
        <f>SUM(F28:F31)</f>
        <v>0</v>
      </c>
      <c r="G27" s="231">
        <f>SUM(G28:G31)</f>
        <v>0</v>
      </c>
      <c r="H27" s="231">
        <f>SUM(H28:H31)</f>
        <v>0</v>
      </c>
    </row>
    <row r="28" spans="2:8" s="1" customFormat="1" ht="20.100000000000001" customHeight="1" x14ac:dyDescent="0.25">
      <c r="B28" s="150" t="s">
        <v>431</v>
      </c>
      <c r="C28" s="57" t="s">
        <v>348</v>
      </c>
      <c r="D28" s="235">
        <f>D22+D25</f>
        <v>0</v>
      </c>
      <c r="E28" s="235">
        <f>E22+E25</f>
        <v>0</v>
      </c>
      <c r="F28" s="235">
        <f>F22+F25</f>
        <v>0</v>
      </c>
      <c r="G28" s="235">
        <f>G22+G25</f>
        <v>0</v>
      </c>
      <c r="H28" s="235">
        <f>H22+H25</f>
        <v>0</v>
      </c>
    </row>
    <row r="29" spans="2:8" s="1" customFormat="1" ht="20.100000000000001" customHeight="1" x14ac:dyDescent="0.25">
      <c r="B29" s="205" t="s">
        <v>559</v>
      </c>
      <c r="C29" s="57" t="s">
        <v>560</v>
      </c>
      <c r="D29" s="233"/>
      <c r="E29" s="233"/>
      <c r="F29" s="236" t="s">
        <v>41</v>
      </c>
      <c r="G29" s="233"/>
      <c r="H29" s="236" t="s">
        <v>41</v>
      </c>
    </row>
    <row r="30" spans="2:8" s="1" customFormat="1" ht="20.100000000000001" customHeight="1" x14ac:dyDescent="0.25">
      <c r="B30" s="205" t="s">
        <v>582</v>
      </c>
      <c r="C30" s="57" t="s">
        <v>562</v>
      </c>
      <c r="D30" s="233"/>
      <c r="E30" s="233"/>
      <c r="F30" s="236" t="s">
        <v>41</v>
      </c>
      <c r="G30" s="233"/>
      <c r="H30" s="236" t="s">
        <v>41</v>
      </c>
    </row>
    <row r="31" spans="2:8" s="1" customFormat="1" ht="20.100000000000001" customHeight="1" x14ac:dyDescent="0.25">
      <c r="B31" s="150" t="s">
        <v>429</v>
      </c>
      <c r="C31" s="57" t="s">
        <v>349</v>
      </c>
      <c r="D31" s="235">
        <f>D23+D26</f>
        <v>0</v>
      </c>
      <c r="E31" s="235">
        <f>E23+E26</f>
        <v>0</v>
      </c>
      <c r="F31" s="236" t="s">
        <v>41</v>
      </c>
      <c r="G31" s="235">
        <f>G23+G26</f>
        <v>0</v>
      </c>
      <c r="H31" s="236" t="s">
        <v>41</v>
      </c>
    </row>
    <row r="32" spans="2:8" s="1" customFormat="1" ht="20.100000000000001" customHeight="1" x14ac:dyDescent="0.25">
      <c r="B32" s="205" t="s">
        <v>563</v>
      </c>
      <c r="C32" s="57" t="s">
        <v>564</v>
      </c>
      <c r="D32" s="233"/>
      <c r="E32" s="233"/>
      <c r="F32" s="236" t="s">
        <v>41</v>
      </c>
      <c r="G32" s="233"/>
      <c r="H32" s="236" t="s">
        <v>41</v>
      </c>
    </row>
    <row r="33" spans="2:11" s="1" customFormat="1" ht="20.100000000000001" customHeight="1" x14ac:dyDescent="0.25">
      <c r="B33" s="205" t="s">
        <v>583</v>
      </c>
      <c r="C33" s="57" t="s">
        <v>566</v>
      </c>
      <c r="D33" s="233"/>
      <c r="E33" s="233"/>
      <c r="F33" s="236" t="s">
        <v>41</v>
      </c>
      <c r="G33" s="233"/>
      <c r="H33" s="236" t="s">
        <v>41</v>
      </c>
    </row>
    <row r="34" spans="2:11" s="1" customFormat="1" ht="20.100000000000001" customHeight="1" x14ac:dyDescent="0.25">
      <c r="B34" s="151" t="s">
        <v>589</v>
      </c>
      <c r="C34" s="217" t="s">
        <v>9</v>
      </c>
      <c r="D34" s="231">
        <f>SUM(D35:D37)</f>
        <v>0</v>
      </c>
      <c r="E34" s="231">
        <f>SUM(E35:E37)</f>
        <v>0</v>
      </c>
      <c r="F34" s="231">
        <f>SUM(F35:F37)</f>
        <v>0</v>
      </c>
      <c r="G34" s="231">
        <f>SUM(G35:G37)</f>
        <v>0</v>
      </c>
      <c r="H34" s="231">
        <f>SUM(H35:H37)</f>
        <v>0</v>
      </c>
    </row>
    <row r="35" spans="2:11" s="1" customFormat="1" ht="20.100000000000001" customHeight="1" x14ac:dyDescent="0.25">
      <c r="B35" s="150" t="s">
        <v>431</v>
      </c>
      <c r="C35" s="57" t="s">
        <v>350</v>
      </c>
      <c r="D35" s="233"/>
      <c r="E35" s="235">
        <f>D36*E28</f>
        <v>0</v>
      </c>
      <c r="F35" s="235">
        <f>D36*F28</f>
        <v>0</v>
      </c>
      <c r="G35" s="233"/>
      <c r="H35" s="233"/>
    </row>
    <row r="36" spans="2:11" s="1" customFormat="1" ht="20.100000000000001" customHeight="1" x14ac:dyDescent="0.25">
      <c r="B36" s="62" t="s">
        <v>514</v>
      </c>
      <c r="C36" s="57" t="s">
        <v>504</v>
      </c>
      <c r="D36" s="250">
        <f>+IFERROR(D35/D28,0)</f>
        <v>0</v>
      </c>
      <c r="E36" s="236" t="s">
        <v>41</v>
      </c>
      <c r="F36" s="236" t="s">
        <v>41</v>
      </c>
      <c r="G36" s="236" t="s">
        <v>41</v>
      </c>
      <c r="H36" s="236" t="s">
        <v>41</v>
      </c>
    </row>
    <row r="37" spans="2:11" s="1" customFormat="1" ht="20.100000000000001" customHeight="1" x14ac:dyDescent="0.25">
      <c r="B37" s="150" t="s">
        <v>429</v>
      </c>
      <c r="C37" s="57" t="s">
        <v>351</v>
      </c>
      <c r="D37" s="233"/>
      <c r="E37" s="235">
        <f>+IFERROR(D38*E31,0)</f>
        <v>0</v>
      </c>
      <c r="F37" s="236" t="s">
        <v>41</v>
      </c>
      <c r="G37" s="233"/>
      <c r="H37" s="236" t="s">
        <v>41</v>
      </c>
    </row>
    <row r="38" spans="2:11" s="1" customFormat="1" ht="20.100000000000001" customHeight="1" x14ac:dyDescent="0.25">
      <c r="B38" s="62" t="s">
        <v>513</v>
      </c>
      <c r="C38" s="57" t="s">
        <v>505</v>
      </c>
      <c r="D38" s="250">
        <f>+IFERROR(D37/D31,0)</f>
        <v>0</v>
      </c>
      <c r="E38" s="236" t="s">
        <v>41</v>
      </c>
      <c r="F38" s="236" t="s">
        <v>41</v>
      </c>
      <c r="G38" s="236" t="s">
        <v>41</v>
      </c>
      <c r="H38" s="236" t="s">
        <v>41</v>
      </c>
    </row>
    <row r="39" spans="2:11" s="1" customFormat="1" ht="20.100000000000001" customHeight="1" x14ac:dyDescent="0.25">
      <c r="B39" s="151" t="s">
        <v>432</v>
      </c>
      <c r="C39" s="217" t="s">
        <v>10</v>
      </c>
      <c r="D39" s="231">
        <f>SUM(D40:D41)</f>
        <v>0</v>
      </c>
      <c r="E39" s="231">
        <f>SUM(E40:E41)</f>
        <v>0</v>
      </c>
      <c r="F39" s="231">
        <f>SUM(F40:F41)</f>
        <v>0</v>
      </c>
      <c r="G39" s="231">
        <f>SUM(G40:G41)</f>
        <v>0</v>
      </c>
      <c r="H39" s="231">
        <f>SUM(H40:H41)</f>
        <v>0</v>
      </c>
      <c r="I39" s="207"/>
      <c r="J39" s="207"/>
    </row>
    <row r="40" spans="2:11" s="1" customFormat="1" ht="20.100000000000001" customHeight="1" x14ac:dyDescent="0.25">
      <c r="B40" s="150" t="s">
        <v>590</v>
      </c>
      <c r="C40" s="57" t="s">
        <v>352</v>
      </c>
      <c r="D40" s="235">
        <f>D28-D35</f>
        <v>0</v>
      </c>
      <c r="E40" s="235">
        <f>E28-E35</f>
        <v>0</v>
      </c>
      <c r="F40" s="235">
        <f>F28-F35</f>
        <v>0</v>
      </c>
      <c r="G40" s="235">
        <f>G28-G35</f>
        <v>0</v>
      </c>
      <c r="H40" s="235">
        <f>H28-H35</f>
        <v>0</v>
      </c>
    </row>
    <row r="41" spans="2:11" s="1" customFormat="1" ht="20.100000000000001" customHeight="1" x14ac:dyDescent="0.25">
      <c r="B41" s="156" t="s">
        <v>585</v>
      </c>
      <c r="C41" s="37" t="s">
        <v>353</v>
      </c>
      <c r="D41" s="235">
        <f>D31-D37</f>
        <v>0</v>
      </c>
      <c r="E41" s="235">
        <f>E31-E37</f>
        <v>0</v>
      </c>
      <c r="F41" s="236" t="s">
        <v>41</v>
      </c>
      <c r="G41" s="235">
        <f>G31-G37</f>
        <v>0</v>
      </c>
      <c r="H41" s="236" t="s">
        <v>41</v>
      </c>
    </row>
    <row r="42" spans="2:11" ht="24.6" customHeight="1" x14ac:dyDescent="0.25">
      <c r="B42" s="252" t="s">
        <v>584</v>
      </c>
      <c r="C42" s="37" t="s">
        <v>568</v>
      </c>
      <c r="D42" s="233"/>
      <c r="E42" s="233"/>
      <c r="F42" s="236" t="s">
        <v>41</v>
      </c>
      <c r="G42" s="233"/>
      <c r="H42" s="236" t="s">
        <v>41</v>
      </c>
      <c r="I42" s="1"/>
      <c r="J42" s="1"/>
      <c r="K42" s="1"/>
    </row>
    <row r="43" spans="2:11" x14ac:dyDescent="0.25">
      <c r="B43" s="209" t="s">
        <v>177</v>
      </c>
      <c r="C43" s="90"/>
      <c r="D43" s="1"/>
      <c r="E43" s="1"/>
      <c r="F43" s="1"/>
      <c r="G43" s="1"/>
    </row>
    <row r="44" spans="2:11" ht="39.75" customHeight="1" x14ac:dyDescent="0.25">
      <c r="B44" s="266" t="s">
        <v>515</v>
      </c>
      <c r="C44" s="266"/>
      <c r="D44" s="266"/>
      <c r="E44" s="266"/>
      <c r="F44" s="266"/>
      <c r="G44" s="266"/>
      <c r="H44" s="266"/>
      <c r="I44" s="2"/>
      <c r="J44" s="1"/>
      <c r="K44" s="1"/>
    </row>
    <row r="45" spans="2:11" ht="30" customHeight="1" x14ac:dyDescent="0.25">
      <c r="B45" s="288" t="s">
        <v>519</v>
      </c>
      <c r="C45" s="288"/>
      <c r="D45" s="288"/>
      <c r="E45" s="288"/>
      <c r="F45" s="288"/>
      <c r="G45" s="288"/>
      <c r="H45" s="288"/>
    </row>
    <row r="46" spans="2:11" ht="15" customHeight="1" x14ac:dyDescent="0.25">
      <c r="B46" s="266" t="s">
        <v>569</v>
      </c>
      <c r="C46" s="266"/>
      <c r="D46" s="266"/>
      <c r="E46" s="266"/>
      <c r="F46" s="266"/>
      <c r="G46" s="266"/>
      <c r="H46" s="266"/>
    </row>
    <row r="47" spans="2:11" ht="15" customHeight="1" x14ac:dyDescent="0.25">
      <c r="B47" s="269" t="s">
        <v>570</v>
      </c>
      <c r="C47" s="269"/>
      <c r="D47" s="269"/>
      <c r="E47" s="269"/>
      <c r="F47" s="269"/>
      <c r="G47" s="269"/>
      <c r="H47" s="269"/>
    </row>
    <row r="48" spans="2:11" ht="15" customHeight="1" x14ac:dyDescent="0.25">
      <c r="B48" s="269" t="s">
        <v>571</v>
      </c>
      <c r="C48" s="269"/>
      <c r="D48" s="269"/>
      <c r="E48" s="269"/>
      <c r="F48" s="269"/>
      <c r="G48" s="269"/>
      <c r="H48" s="269"/>
    </row>
    <row r="49" spans="2:11" ht="15" customHeight="1" x14ac:dyDescent="0.25">
      <c r="B49" s="269" t="s">
        <v>572</v>
      </c>
      <c r="C49" s="269"/>
      <c r="D49" s="269"/>
      <c r="E49" s="269"/>
      <c r="F49" s="269"/>
      <c r="G49" s="269"/>
      <c r="H49" s="269"/>
    </row>
    <row r="50" spans="2:11" ht="15" customHeight="1" x14ac:dyDescent="0.25">
      <c r="B50" s="269" t="s">
        <v>573</v>
      </c>
      <c r="C50" s="269"/>
      <c r="D50" s="269"/>
      <c r="E50" s="269"/>
      <c r="F50" s="269"/>
      <c r="G50" s="269"/>
      <c r="H50" s="269"/>
    </row>
    <row r="51" spans="2:11" ht="15" customHeight="1" x14ac:dyDescent="0.25">
      <c r="B51" s="269" t="s">
        <v>574</v>
      </c>
      <c r="C51" s="269"/>
      <c r="D51" s="269"/>
      <c r="E51" s="269"/>
      <c r="F51" s="269"/>
      <c r="G51" s="269"/>
      <c r="H51" s="269"/>
    </row>
    <row r="52" spans="2:11" ht="15" customHeight="1" x14ac:dyDescent="0.25">
      <c r="B52" s="269" t="s">
        <v>575</v>
      </c>
      <c r="C52" s="269"/>
      <c r="D52" s="269"/>
      <c r="E52" s="269"/>
      <c r="F52" s="269"/>
      <c r="G52" s="269"/>
      <c r="H52" s="269"/>
    </row>
    <row r="53" spans="2:11" ht="15" customHeight="1" x14ac:dyDescent="0.25">
      <c r="B53" s="269" t="s">
        <v>576</v>
      </c>
      <c r="C53" s="269"/>
      <c r="D53" s="269"/>
      <c r="E53" s="269"/>
      <c r="F53" s="269"/>
      <c r="G53" s="269"/>
      <c r="H53" s="269"/>
    </row>
    <row r="54" spans="2:11" ht="15" customHeight="1" x14ac:dyDescent="0.25">
      <c r="B54" s="269" t="s">
        <v>577</v>
      </c>
      <c r="C54" s="269"/>
      <c r="D54" s="269"/>
      <c r="E54" s="269"/>
      <c r="F54" s="269"/>
      <c r="G54" s="269"/>
      <c r="H54" s="269"/>
    </row>
    <row r="55" spans="2:11" ht="15" customHeight="1" x14ac:dyDescent="0.25">
      <c r="B55" s="269" t="s">
        <v>593</v>
      </c>
      <c r="C55" s="269"/>
      <c r="D55" s="269"/>
      <c r="E55" s="269"/>
      <c r="F55" s="269"/>
      <c r="G55" s="269"/>
      <c r="H55" s="269"/>
    </row>
    <row r="56" spans="2:11" ht="15" customHeight="1" x14ac:dyDescent="0.25">
      <c r="B56" s="269" t="s">
        <v>579</v>
      </c>
      <c r="C56" s="269"/>
      <c r="D56" s="269"/>
      <c r="E56" s="269"/>
      <c r="F56" s="269"/>
      <c r="G56" s="269"/>
      <c r="H56" s="269"/>
    </row>
    <row r="57" spans="2:11" ht="15" customHeight="1" x14ac:dyDescent="0.25">
      <c r="B57" s="269" t="s">
        <v>580</v>
      </c>
      <c r="C57" s="269"/>
      <c r="D57" s="269"/>
      <c r="E57" s="269"/>
      <c r="F57" s="269"/>
      <c r="G57" s="269"/>
      <c r="H57" s="269"/>
    </row>
    <row r="58" spans="2:11" ht="15" customHeight="1" x14ac:dyDescent="0.25">
      <c r="B58" s="298" t="s">
        <v>581</v>
      </c>
      <c r="C58" s="298"/>
      <c r="D58" s="298"/>
      <c r="E58" s="298"/>
      <c r="F58" s="298"/>
      <c r="G58" s="298"/>
      <c r="H58" s="298"/>
    </row>
    <row r="59" spans="2:11" ht="15" customHeight="1" x14ac:dyDescent="0.25">
      <c r="B59" s="266" t="s">
        <v>531</v>
      </c>
      <c r="C59" s="266"/>
      <c r="D59" s="266"/>
      <c r="E59" s="266"/>
      <c r="F59" s="266"/>
      <c r="G59" s="266"/>
      <c r="H59" s="266"/>
      <c r="I59" s="221"/>
    </row>
    <row r="60" spans="2:11" ht="15.6" x14ac:dyDescent="0.25">
      <c r="B60" s="295" t="s">
        <v>554</v>
      </c>
      <c r="C60" s="295"/>
      <c r="D60" s="295"/>
      <c r="E60" s="295"/>
      <c r="F60" s="295"/>
      <c r="G60" s="295"/>
      <c r="H60" s="295"/>
      <c r="I60" s="295"/>
    </row>
    <row r="61" spans="2:11" x14ac:dyDescent="0.25">
      <c r="B61" s="1" t="s">
        <v>91</v>
      </c>
    </row>
    <row r="62" spans="2:11" x14ac:dyDescent="0.25">
      <c r="B62" s="97"/>
      <c r="H62" s="1"/>
      <c r="I62" s="1"/>
      <c r="J62" s="1"/>
      <c r="K62" s="1"/>
    </row>
    <row r="63" spans="2:11" x14ac:dyDescent="0.25">
      <c r="B63" s="1" t="s">
        <v>94</v>
      </c>
    </row>
    <row r="64" spans="2:11" x14ac:dyDescent="0.25">
      <c r="B64" s="97"/>
      <c r="H64" s="1"/>
      <c r="I64" s="1"/>
      <c r="J64" s="1"/>
      <c r="K64" s="1"/>
    </row>
  </sheetData>
  <mergeCells count="24">
    <mergeCell ref="B56:H56"/>
    <mergeCell ref="B57:H57"/>
    <mergeCell ref="B58:H58"/>
    <mergeCell ref="B51:H51"/>
    <mergeCell ref="B52:H52"/>
    <mergeCell ref="B53:H53"/>
    <mergeCell ref="B54:H54"/>
    <mergeCell ref="B55:H55"/>
    <mergeCell ref="B60:I60"/>
    <mergeCell ref="B59:H59"/>
    <mergeCell ref="B44:H44"/>
    <mergeCell ref="B45:H45"/>
    <mergeCell ref="B2:H2"/>
    <mergeCell ref="B3:H3"/>
    <mergeCell ref="B6:B7"/>
    <mergeCell ref="C6:C7"/>
    <mergeCell ref="D6:D7"/>
    <mergeCell ref="E6:F6"/>
    <mergeCell ref="G6:H6"/>
    <mergeCell ref="B46:H46"/>
    <mergeCell ref="B47:H47"/>
    <mergeCell ref="B48:H48"/>
    <mergeCell ref="B49:H49"/>
    <mergeCell ref="B50:H50"/>
  </mergeCells>
  <pageMargins left="0.19685039370078741" right="0.19685039370078741" top="0.39370078740157483" bottom="0.39370078740157483" header="0.31496062992125984" footer="0.31496062992125984"/>
  <pageSetup paperSize="9" scale="49" orientation="portrait" r:id="rId1"/>
  <ignoredErrors>
    <ignoredError sqref="E10:H10"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E22"/>
  <sheetViews>
    <sheetView zoomScale="85" zoomScaleNormal="85" zoomScaleSheetLayoutView="115" workbookViewId="0">
      <selection activeCell="S65" sqref="S65"/>
    </sheetView>
  </sheetViews>
  <sheetFormatPr defaultColWidth="9.109375" defaultRowHeight="13.2" x14ac:dyDescent="0.25"/>
  <cols>
    <col min="1" max="1" width="1.5546875" style="1" customWidth="1"/>
    <col min="2" max="2" width="140.44140625" style="1" customWidth="1"/>
    <col min="3" max="3" width="8.109375" style="1" customWidth="1"/>
    <col min="4" max="4" width="22.6640625" style="1" customWidth="1"/>
    <col min="5" max="5" width="12.33203125" style="1" bestFit="1" customWidth="1"/>
    <col min="6" max="16384" width="9.109375" style="1"/>
  </cols>
  <sheetData>
    <row r="1" spans="1:5" x14ac:dyDescent="0.25">
      <c r="A1" s="4" t="s">
        <v>85</v>
      </c>
      <c r="B1" s="254"/>
      <c r="C1" s="254"/>
      <c r="D1" s="254"/>
    </row>
    <row r="2" spans="1:5" x14ac:dyDescent="0.25">
      <c r="B2" s="255" t="s">
        <v>172</v>
      </c>
      <c r="C2" s="255"/>
      <c r="D2" s="255"/>
    </row>
    <row r="3" spans="1:5" x14ac:dyDescent="0.25">
      <c r="C3" s="1" t="s">
        <v>90</v>
      </c>
      <c r="D3" s="107">
        <f>list01!C4</f>
        <v>0</v>
      </c>
    </row>
    <row r="4" spans="1:5" ht="40.5" customHeight="1" x14ac:dyDescent="0.25">
      <c r="B4" s="299" t="s">
        <v>295</v>
      </c>
      <c r="C4" s="299"/>
      <c r="D4" s="299"/>
    </row>
    <row r="5" spans="1:5" ht="24.75" customHeight="1" x14ac:dyDescent="0.25">
      <c r="B5" s="300" t="s">
        <v>180</v>
      </c>
      <c r="C5" s="300" t="s">
        <v>113</v>
      </c>
      <c r="D5" s="300" t="s">
        <v>3</v>
      </c>
    </row>
    <row r="6" spans="1:5" ht="16.5" customHeight="1" x14ac:dyDescent="0.25">
      <c r="B6" s="301"/>
      <c r="C6" s="301"/>
      <c r="D6" s="301"/>
    </row>
    <row r="7" spans="1:5" x14ac:dyDescent="0.25">
      <c r="B7" s="108">
        <v>1</v>
      </c>
      <c r="C7" s="108">
        <v>2</v>
      </c>
      <c r="D7" s="108">
        <v>3</v>
      </c>
    </row>
    <row r="8" spans="1:5" ht="15" customHeight="1" x14ac:dyDescent="0.25">
      <c r="B8" s="70" t="s">
        <v>258</v>
      </c>
      <c r="C8" s="30" t="s">
        <v>0</v>
      </c>
      <c r="D8" s="29">
        <f>D9+D10</f>
        <v>0</v>
      </c>
    </row>
    <row r="9" spans="1:5" ht="36" customHeight="1" x14ac:dyDescent="0.25">
      <c r="B9" s="99" t="s">
        <v>181</v>
      </c>
      <c r="C9" s="10" t="s">
        <v>1</v>
      </c>
      <c r="D9" s="24"/>
    </row>
    <row r="10" spans="1:5" ht="27" customHeight="1" x14ac:dyDescent="0.25">
      <c r="B10" s="99" t="s">
        <v>182</v>
      </c>
      <c r="C10" s="10" t="s">
        <v>4</v>
      </c>
      <c r="D10" s="24"/>
    </row>
    <row r="11" spans="1:5" s="5" customFormat="1" ht="15" customHeight="1" x14ac:dyDescent="0.25">
      <c r="A11" s="1"/>
      <c r="B11" s="99" t="s">
        <v>282</v>
      </c>
      <c r="C11" s="10" t="s">
        <v>2</v>
      </c>
      <c r="D11" s="23">
        <f>D9*0.2</f>
        <v>0</v>
      </c>
      <c r="E11" s="14"/>
    </row>
    <row r="12" spans="1:5" s="5" customFormat="1" ht="15" customHeight="1" x14ac:dyDescent="0.25">
      <c r="A12" s="1"/>
      <c r="B12" s="99" t="s">
        <v>283</v>
      </c>
      <c r="C12" s="10" t="s">
        <v>6</v>
      </c>
      <c r="D12" s="23">
        <f>D10*0.1</f>
        <v>0</v>
      </c>
      <c r="E12" s="14"/>
    </row>
    <row r="13" spans="1:5" s="5" customFormat="1" ht="15" customHeight="1" x14ac:dyDescent="0.25">
      <c r="A13" s="1"/>
      <c r="B13" s="105" t="s">
        <v>257</v>
      </c>
      <c r="C13" s="25" t="s">
        <v>7</v>
      </c>
      <c r="D13" s="26">
        <f>D12+D11</f>
        <v>0</v>
      </c>
      <c r="E13" s="14"/>
    </row>
    <row r="14" spans="1:5" s="5" customFormat="1" ht="7.5" customHeight="1" x14ac:dyDescent="0.25">
      <c r="A14" s="1"/>
      <c r="B14" s="89"/>
      <c r="C14" s="83"/>
      <c r="D14" s="83"/>
      <c r="E14" s="14"/>
    </row>
    <row r="15" spans="1:5" ht="33" customHeight="1" x14ac:dyDescent="0.25">
      <c r="B15" s="266" t="s">
        <v>183</v>
      </c>
      <c r="C15" s="266"/>
      <c r="D15" s="266"/>
    </row>
    <row r="16" spans="1:5" ht="18" customHeight="1" x14ac:dyDescent="0.25">
      <c r="B16" s="266"/>
      <c r="C16" s="266"/>
      <c r="D16" s="266"/>
    </row>
    <row r="17" spans="2:2" ht="20.100000000000001" customHeight="1" x14ac:dyDescent="0.25">
      <c r="B17" s="1" t="s">
        <v>91</v>
      </c>
    </row>
    <row r="18" spans="2:2" ht="15" customHeight="1" x14ac:dyDescent="0.25">
      <c r="B18" s="46"/>
    </row>
    <row r="19" spans="2:2" ht="20.100000000000001" customHeight="1" x14ac:dyDescent="0.25">
      <c r="B19" s="1" t="s">
        <v>94</v>
      </c>
    </row>
    <row r="20" spans="2:2" ht="15" customHeight="1" x14ac:dyDescent="0.25">
      <c r="B20" s="46"/>
    </row>
    <row r="22" spans="2:2" x14ac:dyDescent="0.25">
      <c r="B22" s="98"/>
    </row>
  </sheetData>
  <mergeCells count="8">
    <mergeCell ref="B15:D15"/>
    <mergeCell ref="B16:D16"/>
    <mergeCell ref="B1:D1"/>
    <mergeCell ref="B2:D2"/>
    <mergeCell ref="B4:D4"/>
    <mergeCell ref="B5:B6"/>
    <mergeCell ref="C5:C6"/>
    <mergeCell ref="D5:D6"/>
  </mergeCells>
  <printOptions horizontalCentered="1"/>
  <pageMargins left="0.15748031496062992" right="0.15748031496062992" top="0.98425196850393704" bottom="0.98425196850393704" header="0.51181102362204722" footer="0.51181102362204722"/>
  <pageSetup paperSize="9" orientation="portrait" r:id="rId1"/>
  <headerFooter alignWithMargins="0"/>
  <ignoredErrors>
    <ignoredError sqref="C8:C13"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S33"/>
  <sheetViews>
    <sheetView topLeftCell="A4" zoomScale="85" zoomScaleNormal="85" workbookViewId="0">
      <selection activeCell="M33" sqref="M33"/>
    </sheetView>
  </sheetViews>
  <sheetFormatPr defaultColWidth="9.109375" defaultRowHeight="13.2" x14ac:dyDescent="0.25"/>
  <cols>
    <col min="1" max="1" width="2.109375" style="160" customWidth="1"/>
    <col min="2" max="2" width="38.6640625" style="160" customWidth="1"/>
    <col min="3" max="3" width="7.109375" style="181" customWidth="1"/>
    <col min="4" max="19" width="20.77734375" style="160" customWidth="1"/>
    <col min="20" max="16384" width="9.109375" style="160"/>
  </cols>
  <sheetData>
    <row r="2" spans="1:19" ht="18" customHeight="1" x14ac:dyDescent="0.25">
      <c r="A2" s="158"/>
      <c r="B2" s="158"/>
      <c r="C2" s="159"/>
      <c r="D2" s="158"/>
      <c r="E2" s="158"/>
      <c r="F2" s="158"/>
      <c r="G2" s="158"/>
      <c r="H2" s="158"/>
      <c r="I2" s="158"/>
      <c r="J2" s="158"/>
      <c r="R2" s="302" t="s">
        <v>179</v>
      </c>
      <c r="S2" s="302"/>
    </row>
    <row r="3" spans="1:19" ht="18" customHeight="1" x14ac:dyDescent="0.25">
      <c r="A3" s="161"/>
      <c r="B3" s="161"/>
      <c r="C3" s="162"/>
      <c r="D3" s="161"/>
      <c r="E3" s="161"/>
      <c r="F3" s="161"/>
      <c r="G3" s="161"/>
      <c r="H3" s="161"/>
      <c r="R3" s="163" t="s">
        <v>90</v>
      </c>
      <c r="S3" s="164">
        <f>+list01!C4</f>
        <v>0</v>
      </c>
    </row>
    <row r="4" spans="1:19" ht="22.5" customHeight="1" x14ac:dyDescent="0.25">
      <c r="B4" s="303" t="s">
        <v>530</v>
      </c>
      <c r="C4" s="303"/>
      <c r="D4" s="303"/>
      <c r="E4" s="303"/>
      <c r="F4" s="303"/>
      <c r="G4" s="303"/>
      <c r="H4" s="303"/>
      <c r="I4" s="303"/>
      <c r="J4" s="303"/>
      <c r="K4" s="303"/>
      <c r="L4" s="303"/>
      <c r="M4" s="303"/>
      <c r="N4" s="303"/>
      <c r="O4" s="303"/>
      <c r="P4" s="303"/>
      <c r="Q4" s="303"/>
      <c r="R4" s="303"/>
      <c r="S4" s="303"/>
    </row>
    <row r="6" spans="1:19" s="165" customFormat="1" ht="30.75" customHeight="1" x14ac:dyDescent="0.25">
      <c r="B6" s="304" t="s">
        <v>186</v>
      </c>
      <c r="C6" s="307" t="s">
        <v>113</v>
      </c>
      <c r="D6" s="307" t="s">
        <v>369</v>
      </c>
      <c r="E6" s="307"/>
      <c r="F6" s="307"/>
      <c r="G6" s="307"/>
      <c r="H6" s="307"/>
      <c r="I6" s="307"/>
      <c r="J6" s="307"/>
      <c r="K6" s="307"/>
      <c r="L6" s="307"/>
      <c r="M6" s="307" t="s">
        <v>379</v>
      </c>
      <c r="N6" s="307"/>
      <c r="O6" s="307"/>
      <c r="P6" s="307"/>
      <c r="Q6" s="307"/>
      <c r="R6" s="310" t="s">
        <v>385</v>
      </c>
      <c r="S6" s="311"/>
    </row>
    <row r="7" spans="1:19" s="166" customFormat="1" ht="21.75" customHeight="1" x14ac:dyDescent="0.25">
      <c r="B7" s="305"/>
      <c r="C7" s="308"/>
      <c r="D7" s="312" t="s">
        <v>370</v>
      </c>
      <c r="E7" s="312" t="s">
        <v>371</v>
      </c>
      <c r="F7" s="312" t="s">
        <v>373</v>
      </c>
      <c r="G7" s="312"/>
      <c r="H7" s="312"/>
      <c r="I7" s="312" t="s">
        <v>376</v>
      </c>
      <c r="J7" s="312" t="s">
        <v>407</v>
      </c>
      <c r="K7" s="312" t="s">
        <v>377</v>
      </c>
      <c r="L7" s="312" t="s">
        <v>378</v>
      </c>
      <c r="M7" s="312" t="s">
        <v>380</v>
      </c>
      <c r="N7" s="312" t="s">
        <v>381</v>
      </c>
      <c r="O7" s="312" t="s">
        <v>382</v>
      </c>
      <c r="P7" s="312" t="s">
        <v>383</v>
      </c>
      <c r="Q7" s="312" t="s">
        <v>384</v>
      </c>
      <c r="R7" s="314" t="s">
        <v>386</v>
      </c>
      <c r="S7" s="316" t="s">
        <v>387</v>
      </c>
    </row>
    <row r="8" spans="1:19" s="166" customFormat="1" ht="178.5" customHeight="1" x14ac:dyDescent="0.25">
      <c r="B8" s="306"/>
      <c r="C8" s="309"/>
      <c r="D8" s="313"/>
      <c r="E8" s="313"/>
      <c r="F8" s="168" t="s">
        <v>372</v>
      </c>
      <c r="G8" s="168" t="s">
        <v>374</v>
      </c>
      <c r="H8" s="168" t="s">
        <v>375</v>
      </c>
      <c r="I8" s="313"/>
      <c r="J8" s="313"/>
      <c r="K8" s="313"/>
      <c r="L8" s="313"/>
      <c r="M8" s="313"/>
      <c r="N8" s="313"/>
      <c r="O8" s="313"/>
      <c r="P8" s="313"/>
      <c r="Q8" s="313"/>
      <c r="R8" s="315"/>
      <c r="S8" s="317"/>
    </row>
    <row r="9" spans="1:19" s="169" customFormat="1" ht="21" customHeight="1" x14ac:dyDescent="0.25">
      <c r="B9" s="170">
        <v>1</v>
      </c>
      <c r="C9" s="171">
        <v>2</v>
      </c>
      <c r="D9" s="171">
        <v>3</v>
      </c>
      <c r="E9" s="171">
        <v>4</v>
      </c>
      <c r="F9" s="171">
        <v>5</v>
      </c>
      <c r="G9" s="171">
        <v>6</v>
      </c>
      <c r="H9" s="171">
        <v>7</v>
      </c>
      <c r="I9" s="171">
        <v>8</v>
      </c>
      <c r="J9" s="171">
        <v>9</v>
      </c>
      <c r="K9" s="171">
        <v>10</v>
      </c>
      <c r="L9" s="171" t="s">
        <v>359</v>
      </c>
      <c r="M9" s="171">
        <v>12</v>
      </c>
      <c r="N9" s="171">
        <v>13</v>
      </c>
      <c r="O9" s="171">
        <v>14</v>
      </c>
      <c r="P9" s="171">
        <v>15</v>
      </c>
      <c r="Q9" s="171" t="s">
        <v>360</v>
      </c>
      <c r="R9" s="171" t="s">
        <v>361</v>
      </c>
      <c r="S9" s="172" t="s">
        <v>362</v>
      </c>
    </row>
    <row r="10" spans="1:19" ht="24.9" customHeight="1" x14ac:dyDescent="0.25">
      <c r="B10" s="173" t="s">
        <v>388</v>
      </c>
      <c r="C10" s="174" t="s">
        <v>0</v>
      </c>
      <c r="D10" s="238"/>
      <c r="E10" s="238"/>
      <c r="F10" s="238"/>
      <c r="G10" s="238"/>
      <c r="H10" s="238"/>
      <c r="I10" s="238"/>
      <c r="J10" s="238"/>
      <c r="K10" s="238"/>
      <c r="L10" s="238">
        <f>+IF((E10+I10+J10-K10)&gt;0,(E10+I10+J10-K10),0)</f>
        <v>0</v>
      </c>
      <c r="M10" s="238"/>
      <c r="N10" s="238"/>
      <c r="O10" s="238"/>
      <c r="P10" s="238"/>
      <c r="Q10" s="238">
        <f>+IF((M10+N10-P10)&gt;0,(M10+N10-P10),0)</f>
        <v>0</v>
      </c>
      <c r="R10" s="238">
        <f>+IF((D10-M10)&gt;0,(D10-M10),0)</f>
        <v>0</v>
      </c>
      <c r="S10" s="239">
        <f>+IF((L10-Q10)&gt;0,(L10-Q10),0)</f>
        <v>0</v>
      </c>
    </row>
    <row r="11" spans="1:19" ht="24.9" customHeight="1" x14ac:dyDescent="0.25">
      <c r="B11" s="202" t="s">
        <v>394</v>
      </c>
      <c r="C11" s="175" t="s">
        <v>5</v>
      </c>
      <c r="D11" s="240"/>
      <c r="E11" s="240"/>
      <c r="F11" s="240"/>
      <c r="G11" s="240"/>
      <c r="H11" s="240"/>
      <c r="I11" s="240"/>
      <c r="J11" s="240"/>
      <c r="K11" s="240"/>
      <c r="L11" s="241">
        <f t="shared" ref="L11:L23" si="0">+IF((E11+I11+J11-K11)&gt;0,(E11+I11+J11-K11),0)</f>
        <v>0</v>
      </c>
      <c r="M11" s="240"/>
      <c r="N11" s="240"/>
      <c r="O11" s="240"/>
      <c r="P11" s="240"/>
      <c r="Q11" s="241">
        <f t="shared" ref="Q11:Q23" si="1">+IF((M11+N11-P11)&gt;0,(M11+N11-P11),0)</f>
        <v>0</v>
      </c>
      <c r="R11" s="241">
        <f t="shared" ref="R11:R23" si="2">+IF((D11-M11)&gt;0,(D11-M11),0)</f>
        <v>0</v>
      </c>
      <c r="S11" s="242">
        <f t="shared" ref="S11:S23" si="3">+IF((L11-Q11)&gt;0,(L11-Q11),0)</f>
        <v>0</v>
      </c>
    </row>
    <row r="12" spans="1:19" ht="24.9" customHeight="1" x14ac:dyDescent="0.25">
      <c r="B12" s="202" t="s">
        <v>395</v>
      </c>
      <c r="C12" s="175" t="s">
        <v>19</v>
      </c>
      <c r="D12" s="240"/>
      <c r="E12" s="240"/>
      <c r="F12" s="240"/>
      <c r="G12" s="240"/>
      <c r="H12" s="240"/>
      <c r="I12" s="240"/>
      <c r="J12" s="240"/>
      <c r="K12" s="240"/>
      <c r="L12" s="241">
        <f t="shared" si="0"/>
        <v>0</v>
      </c>
      <c r="M12" s="240"/>
      <c r="N12" s="240"/>
      <c r="O12" s="240"/>
      <c r="P12" s="240"/>
      <c r="Q12" s="241">
        <f t="shared" si="1"/>
        <v>0</v>
      </c>
      <c r="R12" s="241">
        <f t="shared" si="2"/>
        <v>0</v>
      </c>
      <c r="S12" s="242">
        <f t="shared" si="3"/>
        <v>0</v>
      </c>
    </row>
    <row r="13" spans="1:19" s="165" customFormat="1" ht="24.9" customHeight="1" x14ac:dyDescent="0.25">
      <c r="B13" s="176" t="s">
        <v>389</v>
      </c>
      <c r="C13" s="177" t="s">
        <v>1</v>
      </c>
      <c r="D13" s="238"/>
      <c r="E13" s="238"/>
      <c r="F13" s="238"/>
      <c r="G13" s="238"/>
      <c r="H13" s="238"/>
      <c r="I13" s="238"/>
      <c r="J13" s="238"/>
      <c r="K13" s="238"/>
      <c r="L13" s="243">
        <f t="shared" si="0"/>
        <v>0</v>
      </c>
      <c r="M13" s="238"/>
      <c r="N13" s="238"/>
      <c r="O13" s="238"/>
      <c r="P13" s="238"/>
      <c r="Q13" s="243">
        <f t="shared" si="1"/>
        <v>0</v>
      </c>
      <c r="R13" s="243">
        <f t="shared" si="2"/>
        <v>0</v>
      </c>
      <c r="S13" s="244">
        <f t="shared" si="3"/>
        <v>0</v>
      </c>
    </row>
    <row r="14" spans="1:19" ht="35.1" customHeight="1" x14ac:dyDescent="0.25">
      <c r="B14" s="202" t="s">
        <v>396</v>
      </c>
      <c r="C14" s="175" t="s">
        <v>32</v>
      </c>
      <c r="D14" s="240"/>
      <c r="E14" s="240"/>
      <c r="F14" s="240"/>
      <c r="G14" s="240"/>
      <c r="H14" s="240"/>
      <c r="I14" s="240"/>
      <c r="J14" s="240"/>
      <c r="K14" s="240"/>
      <c r="L14" s="241">
        <f t="shared" si="0"/>
        <v>0</v>
      </c>
      <c r="M14" s="240"/>
      <c r="N14" s="240"/>
      <c r="O14" s="240"/>
      <c r="P14" s="240"/>
      <c r="Q14" s="241">
        <f t="shared" si="1"/>
        <v>0</v>
      </c>
      <c r="R14" s="241">
        <f t="shared" si="2"/>
        <v>0</v>
      </c>
      <c r="S14" s="242">
        <f t="shared" si="3"/>
        <v>0</v>
      </c>
    </row>
    <row r="15" spans="1:19" s="165" customFormat="1" ht="24.9" customHeight="1" x14ac:dyDescent="0.25">
      <c r="B15" s="176" t="s">
        <v>390</v>
      </c>
      <c r="C15" s="177" t="s">
        <v>4</v>
      </c>
      <c r="D15" s="238"/>
      <c r="E15" s="238"/>
      <c r="F15" s="238"/>
      <c r="G15" s="238"/>
      <c r="H15" s="238"/>
      <c r="I15" s="238"/>
      <c r="J15" s="238"/>
      <c r="K15" s="238"/>
      <c r="L15" s="243">
        <f t="shared" si="0"/>
        <v>0</v>
      </c>
      <c r="M15" s="238"/>
      <c r="N15" s="238"/>
      <c r="O15" s="238"/>
      <c r="P15" s="238"/>
      <c r="Q15" s="243">
        <f t="shared" si="1"/>
        <v>0</v>
      </c>
      <c r="R15" s="243">
        <f t="shared" si="2"/>
        <v>0</v>
      </c>
      <c r="S15" s="244">
        <f t="shared" si="3"/>
        <v>0</v>
      </c>
    </row>
    <row r="16" spans="1:19" ht="35.1" customHeight="1" x14ac:dyDescent="0.25">
      <c r="B16" s="202" t="s">
        <v>397</v>
      </c>
      <c r="C16" s="175" t="s">
        <v>36</v>
      </c>
      <c r="D16" s="240"/>
      <c r="E16" s="240"/>
      <c r="F16" s="240"/>
      <c r="G16" s="240"/>
      <c r="H16" s="240"/>
      <c r="I16" s="240"/>
      <c r="J16" s="240"/>
      <c r="K16" s="240"/>
      <c r="L16" s="241">
        <f t="shared" si="0"/>
        <v>0</v>
      </c>
      <c r="M16" s="240"/>
      <c r="N16" s="240"/>
      <c r="O16" s="240"/>
      <c r="P16" s="240"/>
      <c r="Q16" s="241">
        <f t="shared" si="1"/>
        <v>0</v>
      </c>
      <c r="R16" s="241">
        <f t="shared" si="2"/>
        <v>0</v>
      </c>
      <c r="S16" s="242">
        <f t="shared" si="3"/>
        <v>0</v>
      </c>
    </row>
    <row r="17" spans="2:19" ht="24.9" customHeight="1" x14ac:dyDescent="0.25">
      <c r="B17" s="176" t="s">
        <v>391</v>
      </c>
      <c r="C17" s="178" t="s">
        <v>2</v>
      </c>
      <c r="D17" s="238"/>
      <c r="E17" s="238"/>
      <c r="F17" s="238"/>
      <c r="G17" s="238"/>
      <c r="H17" s="238"/>
      <c r="I17" s="238"/>
      <c r="J17" s="238"/>
      <c r="K17" s="238"/>
      <c r="L17" s="241">
        <f t="shared" si="0"/>
        <v>0</v>
      </c>
      <c r="M17" s="238"/>
      <c r="N17" s="238"/>
      <c r="O17" s="238"/>
      <c r="P17" s="238"/>
      <c r="Q17" s="241">
        <f t="shared" si="1"/>
        <v>0</v>
      </c>
      <c r="R17" s="241">
        <f t="shared" si="2"/>
        <v>0</v>
      </c>
      <c r="S17" s="242">
        <f t="shared" si="3"/>
        <v>0</v>
      </c>
    </row>
    <row r="18" spans="2:19" ht="58.5" customHeight="1" x14ac:dyDescent="0.25">
      <c r="B18" s="202" t="s">
        <v>398</v>
      </c>
      <c r="C18" s="175" t="s">
        <v>23</v>
      </c>
      <c r="D18" s="240"/>
      <c r="E18" s="240"/>
      <c r="F18" s="240"/>
      <c r="G18" s="240"/>
      <c r="H18" s="240"/>
      <c r="I18" s="240"/>
      <c r="J18" s="240"/>
      <c r="K18" s="240"/>
      <c r="L18" s="241">
        <f t="shared" si="0"/>
        <v>0</v>
      </c>
      <c r="M18" s="240"/>
      <c r="N18" s="240"/>
      <c r="O18" s="240"/>
      <c r="P18" s="240"/>
      <c r="Q18" s="241">
        <f t="shared" si="1"/>
        <v>0</v>
      </c>
      <c r="R18" s="241">
        <f t="shared" si="2"/>
        <v>0</v>
      </c>
      <c r="S18" s="242">
        <f t="shared" si="3"/>
        <v>0</v>
      </c>
    </row>
    <row r="19" spans="2:19" ht="55.5" customHeight="1" x14ac:dyDescent="0.25">
      <c r="B19" s="202" t="s">
        <v>399</v>
      </c>
      <c r="C19" s="175" t="s">
        <v>24</v>
      </c>
      <c r="D19" s="240"/>
      <c r="E19" s="240"/>
      <c r="F19" s="240"/>
      <c r="G19" s="240"/>
      <c r="H19" s="240"/>
      <c r="I19" s="240"/>
      <c r="J19" s="240"/>
      <c r="K19" s="240"/>
      <c r="L19" s="241">
        <f t="shared" si="0"/>
        <v>0</v>
      </c>
      <c r="M19" s="240"/>
      <c r="N19" s="240"/>
      <c r="O19" s="240"/>
      <c r="P19" s="240"/>
      <c r="Q19" s="241">
        <f t="shared" si="1"/>
        <v>0</v>
      </c>
      <c r="R19" s="241">
        <f t="shared" si="2"/>
        <v>0</v>
      </c>
      <c r="S19" s="242">
        <f t="shared" si="3"/>
        <v>0</v>
      </c>
    </row>
    <row r="20" spans="2:19" s="165" customFormat="1" ht="24.9" customHeight="1" x14ac:dyDescent="0.25">
      <c r="B20" s="176" t="s">
        <v>392</v>
      </c>
      <c r="C20" s="177" t="s">
        <v>6</v>
      </c>
      <c r="D20" s="238"/>
      <c r="E20" s="238"/>
      <c r="F20" s="238"/>
      <c r="G20" s="238"/>
      <c r="H20" s="238"/>
      <c r="I20" s="238"/>
      <c r="J20" s="238"/>
      <c r="K20" s="238"/>
      <c r="L20" s="243">
        <f t="shared" si="0"/>
        <v>0</v>
      </c>
      <c r="M20" s="238"/>
      <c r="N20" s="238"/>
      <c r="O20" s="238"/>
      <c r="P20" s="238"/>
      <c r="Q20" s="243">
        <f t="shared" si="1"/>
        <v>0</v>
      </c>
      <c r="R20" s="243">
        <f t="shared" si="2"/>
        <v>0</v>
      </c>
      <c r="S20" s="244">
        <f t="shared" si="3"/>
        <v>0</v>
      </c>
    </row>
    <row r="21" spans="2:19" ht="35.1" customHeight="1" x14ac:dyDescent="0.25">
      <c r="B21" s="202" t="s">
        <v>400</v>
      </c>
      <c r="C21" s="175" t="s">
        <v>26</v>
      </c>
      <c r="D21" s="240"/>
      <c r="E21" s="240"/>
      <c r="F21" s="240"/>
      <c r="G21" s="240"/>
      <c r="H21" s="240"/>
      <c r="I21" s="240"/>
      <c r="J21" s="240"/>
      <c r="K21" s="240"/>
      <c r="L21" s="241">
        <f t="shared" si="0"/>
        <v>0</v>
      </c>
      <c r="M21" s="240"/>
      <c r="N21" s="240"/>
      <c r="O21" s="240"/>
      <c r="P21" s="240"/>
      <c r="Q21" s="241">
        <f t="shared" si="1"/>
        <v>0</v>
      </c>
      <c r="R21" s="241">
        <f t="shared" si="2"/>
        <v>0</v>
      </c>
      <c r="S21" s="242">
        <f t="shared" si="3"/>
        <v>0</v>
      </c>
    </row>
    <row r="22" spans="2:19" s="165" customFormat="1" ht="24.9" customHeight="1" x14ac:dyDescent="0.25">
      <c r="B22" s="176" t="s">
        <v>393</v>
      </c>
      <c r="C22" s="177" t="s">
        <v>7</v>
      </c>
      <c r="D22" s="238"/>
      <c r="E22" s="238"/>
      <c r="F22" s="238"/>
      <c r="G22" s="238"/>
      <c r="H22" s="238"/>
      <c r="I22" s="238"/>
      <c r="J22" s="238"/>
      <c r="K22" s="238"/>
      <c r="L22" s="243">
        <f t="shared" si="0"/>
        <v>0</v>
      </c>
      <c r="M22" s="238"/>
      <c r="N22" s="238"/>
      <c r="O22" s="238"/>
      <c r="P22" s="238"/>
      <c r="Q22" s="243">
        <f t="shared" si="1"/>
        <v>0</v>
      </c>
      <c r="R22" s="243">
        <f t="shared" si="2"/>
        <v>0</v>
      </c>
      <c r="S22" s="244">
        <f t="shared" si="3"/>
        <v>0</v>
      </c>
    </row>
    <row r="23" spans="2:19" ht="35.1" customHeight="1" x14ac:dyDescent="0.25">
      <c r="B23" s="201" t="s">
        <v>401</v>
      </c>
      <c r="C23" s="179" t="s">
        <v>264</v>
      </c>
      <c r="D23" s="245"/>
      <c r="E23" s="245"/>
      <c r="F23" s="245"/>
      <c r="G23" s="245"/>
      <c r="H23" s="245"/>
      <c r="I23" s="245"/>
      <c r="J23" s="245"/>
      <c r="K23" s="245"/>
      <c r="L23" s="246">
        <f t="shared" si="0"/>
        <v>0</v>
      </c>
      <c r="M23" s="245"/>
      <c r="N23" s="245"/>
      <c r="O23" s="245"/>
      <c r="P23" s="245"/>
      <c r="Q23" s="246">
        <f t="shared" si="1"/>
        <v>0</v>
      </c>
      <c r="R23" s="246">
        <f t="shared" si="2"/>
        <v>0</v>
      </c>
      <c r="S23" s="247">
        <f t="shared" si="3"/>
        <v>0</v>
      </c>
    </row>
    <row r="25" spans="2:19" x14ac:dyDescent="0.25">
      <c r="B25" s="284" t="s">
        <v>139</v>
      </c>
      <c r="C25" s="284"/>
      <c r="D25" s="284"/>
      <c r="E25" s="284"/>
    </row>
    <row r="26" spans="2:19" x14ac:dyDescent="0.25">
      <c r="B26" s="318" t="s">
        <v>402</v>
      </c>
      <c r="C26" s="318"/>
      <c r="D26" s="318"/>
      <c r="E26" s="318"/>
      <c r="F26" s="318"/>
      <c r="G26" s="318"/>
      <c r="H26" s="318"/>
      <c r="I26" s="318"/>
      <c r="J26" s="318"/>
      <c r="K26" s="318"/>
      <c r="L26" s="318"/>
    </row>
    <row r="27" spans="2:19" x14ac:dyDescent="0.25">
      <c r="B27" s="318" t="s">
        <v>529</v>
      </c>
      <c r="C27" s="318"/>
      <c r="D27" s="318"/>
      <c r="E27" s="318"/>
      <c r="F27" s="318"/>
      <c r="G27" s="318"/>
      <c r="H27" s="318"/>
      <c r="I27" s="318"/>
      <c r="J27" s="318"/>
      <c r="K27" s="318"/>
      <c r="L27" s="318"/>
    </row>
    <row r="30" spans="2:19" s="1" customFormat="1" ht="20.100000000000001" customHeight="1" x14ac:dyDescent="0.25">
      <c r="B30" s="1" t="s">
        <v>545</v>
      </c>
    </row>
    <row r="31" spans="2:19" s="1" customFormat="1" ht="15" customHeight="1" x14ac:dyDescent="0.25">
      <c r="B31" s="256"/>
      <c r="C31" s="256"/>
      <c r="D31" s="256"/>
      <c r="E31" s="256"/>
      <c r="F31" s="256"/>
      <c r="G31" s="256"/>
    </row>
    <row r="32" spans="2:19" s="1" customFormat="1" ht="20.100000000000001" customHeight="1" x14ac:dyDescent="0.25">
      <c r="B32" s="1" t="s">
        <v>546</v>
      </c>
    </row>
    <row r="33" spans="2:7" s="1" customFormat="1" ht="15" customHeight="1" x14ac:dyDescent="0.25">
      <c r="B33" s="256"/>
      <c r="C33" s="256"/>
      <c r="D33" s="256"/>
      <c r="E33" s="256"/>
      <c r="F33" s="256"/>
      <c r="G33" s="256"/>
    </row>
  </sheetData>
  <mergeCells count="26">
    <mergeCell ref="B26:L26"/>
    <mergeCell ref="B27:L27"/>
    <mergeCell ref="B31:G31"/>
    <mergeCell ref="B33:G33"/>
    <mergeCell ref="N7:N8"/>
    <mergeCell ref="B25:E25"/>
    <mergeCell ref="I7:I8"/>
    <mergeCell ref="J7:J8"/>
    <mergeCell ref="K7:K8"/>
    <mergeCell ref="L7:L8"/>
    <mergeCell ref="R2:S2"/>
    <mergeCell ref="B4:S4"/>
    <mergeCell ref="B6:B8"/>
    <mergeCell ref="C6:C8"/>
    <mergeCell ref="D6:L6"/>
    <mergeCell ref="M6:Q6"/>
    <mergeCell ref="R6:S6"/>
    <mergeCell ref="D7:D8"/>
    <mergeCell ref="E7:E8"/>
    <mergeCell ref="F7:H7"/>
    <mergeCell ref="O7:O8"/>
    <mergeCell ref="P7:P8"/>
    <mergeCell ref="Q7:Q8"/>
    <mergeCell ref="R7:R8"/>
    <mergeCell ref="S7:S8"/>
    <mergeCell ref="M7:M8"/>
  </mergeCells>
  <pageMargins left="0.7" right="0.7" top="0.75" bottom="0.75" header="0.3" footer="0.3"/>
  <pageSetup paperSize="9" orientation="portrait" r:id="rId1"/>
  <ignoredErrors>
    <ignoredError sqref="C10:C23"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2:K49"/>
  <sheetViews>
    <sheetView zoomScale="85" zoomScaleNormal="85" zoomScaleSheetLayoutView="100" workbookViewId="0">
      <selection activeCell="B46" sqref="B46:B49"/>
    </sheetView>
  </sheetViews>
  <sheetFormatPr defaultColWidth="9.109375" defaultRowHeight="13.2" x14ac:dyDescent="0.25"/>
  <cols>
    <col min="1" max="1" width="1.109375" style="182" customWidth="1"/>
    <col min="2" max="2" width="139.44140625" style="182" customWidth="1"/>
    <col min="3" max="3" width="14.109375" style="182" customWidth="1"/>
    <col min="4" max="4" width="34.21875" style="200" customWidth="1"/>
    <col min="5" max="16384" width="9.109375" style="182"/>
  </cols>
  <sheetData>
    <row r="2" spans="2:4" s="4" customFormat="1" ht="18" customHeight="1" x14ac:dyDescent="0.25">
      <c r="B2" s="259" t="s">
        <v>263</v>
      </c>
      <c r="C2" s="259"/>
      <c r="D2" s="259"/>
    </row>
    <row r="3" spans="2:4" s="4" customFormat="1" ht="15" customHeight="1" x14ac:dyDescent="0.25">
      <c r="C3" s="90" t="s">
        <v>90</v>
      </c>
      <c r="D3" s="107">
        <f>+list01!C4</f>
        <v>0</v>
      </c>
    </row>
    <row r="4" spans="2:4" ht="17.100000000000001" customHeight="1" x14ac:dyDescent="0.25">
      <c r="B4" s="319" t="s">
        <v>532</v>
      </c>
      <c r="C4" s="319"/>
      <c r="D4" s="319"/>
    </row>
    <row r="5" spans="2:4" x14ac:dyDescent="0.25">
      <c r="B5" s="183"/>
      <c r="C5" s="183"/>
      <c r="D5" s="184"/>
    </row>
    <row r="6" spans="2:4" ht="26.25" customHeight="1" x14ac:dyDescent="0.25">
      <c r="B6" s="185" t="s">
        <v>186</v>
      </c>
      <c r="C6" s="185" t="s">
        <v>113</v>
      </c>
      <c r="D6" s="186" t="s">
        <v>3</v>
      </c>
    </row>
    <row r="7" spans="2:4" ht="17.100000000000001" customHeight="1" x14ac:dyDescent="0.25">
      <c r="B7" s="185">
        <v>1</v>
      </c>
      <c r="C7" s="185">
        <v>2</v>
      </c>
      <c r="D7" s="187">
        <v>3</v>
      </c>
    </row>
    <row r="8" spans="2:4" ht="17.100000000000001" customHeight="1" x14ac:dyDescent="0.25">
      <c r="B8" s="320" t="s">
        <v>403</v>
      </c>
      <c r="C8" s="321"/>
      <c r="D8" s="322"/>
    </row>
    <row r="9" spans="2:4" ht="17.100000000000001" customHeight="1" x14ac:dyDescent="0.25">
      <c r="B9" s="188" t="s">
        <v>363</v>
      </c>
      <c r="C9" s="167"/>
      <c r="D9" s="189"/>
    </row>
    <row r="10" spans="2:4" ht="17.100000000000001" customHeight="1" x14ac:dyDescent="0.25">
      <c r="B10" s="190" t="s">
        <v>404</v>
      </c>
      <c r="C10" s="191" t="s">
        <v>0</v>
      </c>
      <c r="D10" s="192"/>
    </row>
    <row r="11" spans="2:4" ht="17.100000000000001" customHeight="1" x14ac:dyDescent="0.25">
      <c r="B11" s="190" t="s">
        <v>405</v>
      </c>
      <c r="C11" s="191" t="s">
        <v>1</v>
      </c>
      <c r="D11" s="192"/>
    </row>
    <row r="12" spans="2:4" ht="17.100000000000001" customHeight="1" x14ac:dyDescent="0.25">
      <c r="B12" s="190" t="s">
        <v>406</v>
      </c>
      <c r="C12" s="191" t="s">
        <v>32</v>
      </c>
      <c r="D12" s="192"/>
    </row>
    <row r="13" spans="2:4" ht="17.100000000000001" customHeight="1" x14ac:dyDescent="0.25">
      <c r="B13" s="190" t="s">
        <v>412</v>
      </c>
      <c r="C13" s="191" t="s">
        <v>4</v>
      </c>
      <c r="D13" s="192"/>
    </row>
    <row r="14" spans="2:4" x14ac:dyDescent="0.25">
      <c r="B14" s="193" t="s">
        <v>408</v>
      </c>
      <c r="C14" s="191" t="s">
        <v>2</v>
      </c>
      <c r="D14" s="194">
        <f>IF((D10+D11+D12-D13)&gt;0,(D10+D11+D12-D13),0)</f>
        <v>0</v>
      </c>
    </row>
    <row r="15" spans="2:4" ht="17.100000000000001" customHeight="1" x14ac:dyDescent="0.25">
      <c r="B15" s="188" t="s">
        <v>409</v>
      </c>
      <c r="C15" s="191"/>
      <c r="D15" s="195"/>
    </row>
    <row r="16" spans="2:4" ht="17.100000000000001" customHeight="1" x14ac:dyDescent="0.25">
      <c r="B16" s="193" t="s">
        <v>410</v>
      </c>
      <c r="C16" s="191" t="s">
        <v>6</v>
      </c>
      <c r="D16" s="192"/>
    </row>
    <row r="17" spans="2:4" ht="17.100000000000001" customHeight="1" x14ac:dyDescent="0.25">
      <c r="B17" s="193" t="s">
        <v>411</v>
      </c>
      <c r="C17" s="191" t="s">
        <v>7</v>
      </c>
      <c r="D17" s="192"/>
    </row>
    <row r="18" spans="2:4" ht="17.100000000000001" customHeight="1" x14ac:dyDescent="0.25">
      <c r="B18" s="153" t="s">
        <v>382</v>
      </c>
      <c r="C18" s="191" t="s">
        <v>264</v>
      </c>
      <c r="D18" s="192"/>
    </row>
    <row r="19" spans="2:4" ht="17.100000000000001" customHeight="1" x14ac:dyDescent="0.25">
      <c r="B19" s="190" t="s">
        <v>413</v>
      </c>
      <c r="C19" s="191" t="s">
        <v>265</v>
      </c>
      <c r="D19" s="192"/>
    </row>
    <row r="20" spans="2:4" ht="17.100000000000001" customHeight="1" x14ac:dyDescent="0.25">
      <c r="B20" s="193" t="s">
        <v>414</v>
      </c>
      <c r="C20" s="191" t="s">
        <v>8</v>
      </c>
      <c r="D20" s="194">
        <f>IF((D16+D17-D19)&gt;0,(D16+D17-D19),0)</f>
        <v>0</v>
      </c>
    </row>
    <row r="21" spans="2:4" ht="17.100000000000001" customHeight="1" x14ac:dyDescent="0.25">
      <c r="B21" s="188" t="s">
        <v>415</v>
      </c>
      <c r="C21" s="191"/>
      <c r="D21" s="195"/>
    </row>
    <row r="22" spans="2:4" ht="17.100000000000001" customHeight="1" x14ac:dyDescent="0.25">
      <c r="B22" s="196" t="s">
        <v>416</v>
      </c>
      <c r="C22" s="191" t="s">
        <v>9</v>
      </c>
      <c r="D22" s="194">
        <f>+IF((D10-D16)&gt;0,(D10-D16),0)</f>
        <v>0</v>
      </c>
    </row>
    <row r="23" spans="2:4" ht="17.100000000000001" customHeight="1" x14ac:dyDescent="0.25">
      <c r="B23" s="196" t="s">
        <v>417</v>
      </c>
      <c r="C23" s="191" t="s">
        <v>10</v>
      </c>
      <c r="D23" s="194">
        <f>+IF((D14-D20)&gt;0,(D14-D20),0)</f>
        <v>0</v>
      </c>
    </row>
    <row r="24" spans="2:4" ht="17.100000000000001" customHeight="1" x14ac:dyDescent="0.25">
      <c r="B24" s="323" t="s">
        <v>418</v>
      </c>
      <c r="C24" s="324"/>
      <c r="D24" s="325"/>
    </row>
    <row r="25" spans="2:4" ht="17.100000000000001" customHeight="1" x14ac:dyDescent="0.25">
      <c r="B25" s="188" t="s">
        <v>419</v>
      </c>
      <c r="C25" s="167"/>
      <c r="D25" s="189"/>
    </row>
    <row r="26" spans="2:4" ht="17.100000000000001" customHeight="1" x14ac:dyDescent="0.25">
      <c r="B26" s="190" t="s">
        <v>404</v>
      </c>
      <c r="C26" s="191" t="s">
        <v>11</v>
      </c>
      <c r="D26" s="192"/>
    </row>
    <row r="27" spans="2:4" ht="17.100000000000001" customHeight="1" x14ac:dyDescent="0.25">
      <c r="B27" s="190" t="s">
        <v>405</v>
      </c>
      <c r="C27" s="191" t="s">
        <v>12</v>
      </c>
      <c r="D27" s="192"/>
    </row>
    <row r="28" spans="2:4" ht="17.100000000000001" customHeight="1" x14ac:dyDescent="0.25">
      <c r="B28" s="190" t="s">
        <v>406</v>
      </c>
      <c r="C28" s="191" t="s">
        <v>364</v>
      </c>
      <c r="D28" s="192"/>
    </row>
    <row r="29" spans="2:4" ht="17.100000000000001" customHeight="1" x14ac:dyDescent="0.25">
      <c r="B29" s="190" t="s">
        <v>412</v>
      </c>
      <c r="C29" s="191" t="s">
        <v>13</v>
      </c>
      <c r="D29" s="192"/>
    </row>
    <row r="30" spans="2:4" ht="27" customHeight="1" x14ac:dyDescent="0.25">
      <c r="B30" s="193" t="s">
        <v>420</v>
      </c>
      <c r="C30" s="191" t="s">
        <v>14</v>
      </c>
      <c r="D30" s="194">
        <f>IF((D26+D27+D28-D29)&gt;0,(D26+D27+D28-D29),0)</f>
        <v>0</v>
      </c>
    </row>
    <row r="31" spans="2:4" ht="17.100000000000001" customHeight="1" x14ac:dyDescent="0.25">
      <c r="B31" s="188" t="s">
        <v>409</v>
      </c>
      <c r="C31" s="191"/>
      <c r="D31" s="195"/>
    </row>
    <row r="32" spans="2:4" ht="17.100000000000001" customHeight="1" x14ac:dyDescent="0.25">
      <c r="B32" s="193" t="s">
        <v>410</v>
      </c>
      <c r="C32" s="191" t="s">
        <v>15</v>
      </c>
      <c r="D32" s="192"/>
    </row>
    <row r="33" spans="2:11" ht="17.100000000000001" customHeight="1" x14ac:dyDescent="0.25">
      <c r="B33" s="193" t="s">
        <v>411</v>
      </c>
      <c r="C33" s="191" t="s">
        <v>17</v>
      </c>
      <c r="D33" s="192"/>
    </row>
    <row r="34" spans="2:11" ht="17.100000000000001" customHeight="1" x14ac:dyDescent="0.25">
      <c r="B34" s="153" t="s">
        <v>382</v>
      </c>
      <c r="C34" s="191" t="s">
        <v>365</v>
      </c>
      <c r="D34" s="192"/>
    </row>
    <row r="35" spans="2:11" ht="17.100000000000001" customHeight="1" x14ac:dyDescent="0.25">
      <c r="B35" s="190" t="s">
        <v>413</v>
      </c>
      <c r="C35" s="191" t="s">
        <v>366</v>
      </c>
      <c r="D35" s="192"/>
    </row>
    <row r="36" spans="2:11" ht="17.100000000000001" customHeight="1" x14ac:dyDescent="0.25">
      <c r="B36" s="193" t="s">
        <v>421</v>
      </c>
      <c r="C36" s="191" t="s">
        <v>18</v>
      </c>
      <c r="D36" s="194">
        <f>IF((D32+D33-D35)&gt;0,(D32+D33-D35),0)</f>
        <v>0</v>
      </c>
    </row>
    <row r="37" spans="2:11" ht="17.100000000000001" customHeight="1" x14ac:dyDescent="0.25">
      <c r="B37" s="188" t="s">
        <v>415</v>
      </c>
      <c r="C37" s="191"/>
      <c r="D37" s="195"/>
    </row>
    <row r="38" spans="2:11" ht="17.100000000000001" customHeight="1" x14ac:dyDescent="0.25">
      <c r="B38" s="196" t="s">
        <v>422</v>
      </c>
      <c r="C38" s="191" t="s">
        <v>79</v>
      </c>
      <c r="D38" s="194">
        <f>+IF((D26-D32)&gt;0,(D26-D32),0)</f>
        <v>0</v>
      </c>
    </row>
    <row r="39" spans="2:11" ht="17.100000000000001" customHeight="1" x14ac:dyDescent="0.25">
      <c r="B39" s="197" t="s">
        <v>423</v>
      </c>
      <c r="C39" s="198" t="s">
        <v>80</v>
      </c>
      <c r="D39" s="199">
        <f>+IF((D30-D36)&gt;0,(D30-D36),0)</f>
        <v>0</v>
      </c>
    </row>
    <row r="40" spans="2:11" ht="12.9" customHeight="1" x14ac:dyDescent="0.25"/>
    <row r="41" spans="2:11" ht="12.9" customHeight="1" x14ac:dyDescent="0.25">
      <c r="B41" s="219" t="s">
        <v>139</v>
      </c>
      <c r="C41" s="219"/>
      <c r="D41" s="219"/>
      <c r="E41" s="219"/>
    </row>
    <row r="42" spans="2:11" ht="27.9" customHeight="1" x14ac:dyDescent="0.25">
      <c r="B42" s="326" t="s">
        <v>424</v>
      </c>
      <c r="C42" s="326"/>
      <c r="D42" s="326"/>
      <c r="E42" s="180"/>
      <c r="F42" s="180"/>
      <c r="G42" s="180"/>
      <c r="H42" s="180"/>
      <c r="I42" s="180"/>
      <c r="J42" s="180"/>
      <c r="K42" s="180"/>
    </row>
    <row r="43" spans="2:11" x14ac:dyDescent="0.25">
      <c r="B43" s="182" t="s">
        <v>531</v>
      </c>
    </row>
    <row r="46" spans="2:11" s="1" customFormat="1" ht="20.100000000000001" customHeight="1" x14ac:dyDescent="0.25">
      <c r="B46" s="1" t="s">
        <v>91</v>
      </c>
    </row>
    <row r="47" spans="2:11" s="1" customFormat="1" ht="15" customHeight="1" x14ac:dyDescent="0.25">
      <c r="B47" s="46"/>
    </row>
    <row r="48" spans="2:11" s="1" customFormat="1" ht="20.100000000000001" customHeight="1" x14ac:dyDescent="0.25">
      <c r="B48" s="1" t="s">
        <v>94</v>
      </c>
    </row>
    <row r="49" spans="2:2" s="1" customFormat="1" ht="15" customHeight="1" x14ac:dyDescent="0.25">
      <c r="B49" s="46"/>
    </row>
  </sheetData>
  <mergeCells count="5">
    <mergeCell ref="B2:D2"/>
    <mergeCell ref="B4:D4"/>
    <mergeCell ref="B8:D8"/>
    <mergeCell ref="B24:D24"/>
    <mergeCell ref="B42:D42"/>
  </mergeCells>
  <pageMargins left="0.39370078740157483" right="0.39370078740157483" top="0.55118110236220474" bottom="0.74803149606299213" header="0.31496062992125984" footer="0.31496062992125984"/>
  <pageSetup paperSize="9" orientation="portrait" r:id="rId1"/>
  <ignoredErrors>
    <ignoredError sqref="C10:C23 C26:C39"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I39"/>
  <sheetViews>
    <sheetView zoomScale="85" zoomScaleNormal="85" zoomScaleSheetLayoutView="85" workbookViewId="0">
      <selection activeCell="S65" sqref="S65"/>
    </sheetView>
  </sheetViews>
  <sheetFormatPr defaultColWidth="9.109375" defaultRowHeight="13.2" x14ac:dyDescent="0.25"/>
  <cols>
    <col min="1" max="1" width="1" style="4" customWidth="1"/>
    <col min="2" max="2" width="37.44140625" style="4" customWidth="1"/>
    <col min="3" max="3" width="83.33203125" style="4" customWidth="1"/>
    <col min="4" max="4" width="8.44140625" style="95" customWidth="1"/>
    <col min="5" max="5" width="20.6640625" style="4" customWidth="1"/>
    <col min="6" max="6" width="13.5546875" style="4" customWidth="1"/>
    <col min="7" max="7" width="17.33203125" style="4" customWidth="1"/>
    <col min="8" max="8" width="18.88671875" style="4" customWidth="1"/>
    <col min="9" max="9" width="16.44140625" style="4" bestFit="1" customWidth="1"/>
    <col min="10" max="12" width="10.109375" style="4" customWidth="1"/>
    <col min="13" max="15" width="5.33203125" style="4" customWidth="1"/>
    <col min="16" max="16384" width="9.109375" style="4"/>
  </cols>
  <sheetData>
    <row r="1" spans="1:8" x14ac:dyDescent="0.25">
      <c r="A1" s="4" t="s">
        <v>83</v>
      </c>
      <c r="G1" s="90"/>
      <c r="H1" s="90"/>
    </row>
    <row r="2" spans="1:8" x14ac:dyDescent="0.25">
      <c r="B2" s="329" t="s">
        <v>184</v>
      </c>
      <c r="C2" s="329"/>
      <c r="D2" s="329"/>
      <c r="E2" s="329"/>
      <c r="F2" s="329"/>
      <c r="G2" s="90"/>
      <c r="H2" s="90"/>
    </row>
    <row r="3" spans="1:8" x14ac:dyDescent="0.25">
      <c r="B3" s="95"/>
      <c r="C3" s="95"/>
      <c r="D3" s="4"/>
      <c r="E3" s="100" t="s">
        <v>90</v>
      </c>
      <c r="F3" s="92">
        <f>list01!C4</f>
        <v>0</v>
      </c>
      <c r="G3" s="90"/>
      <c r="H3" s="90"/>
    </row>
    <row r="4" spans="1:8" ht="38.25" customHeight="1" x14ac:dyDescent="0.25">
      <c r="B4" s="283" t="s">
        <v>173</v>
      </c>
      <c r="C4" s="283"/>
      <c r="D4" s="283"/>
      <c r="E4" s="283"/>
      <c r="F4" s="283"/>
      <c r="G4" s="90"/>
      <c r="H4" s="90"/>
    </row>
    <row r="5" spans="1:8" ht="26.4" x14ac:dyDescent="0.25">
      <c r="B5" s="330" t="s">
        <v>174</v>
      </c>
      <c r="C5" s="330"/>
      <c r="D5" s="101" t="s">
        <v>113</v>
      </c>
      <c r="E5" s="101" t="s">
        <v>3</v>
      </c>
      <c r="F5" s="101" t="s">
        <v>175</v>
      </c>
    </row>
    <row r="6" spans="1:8" x14ac:dyDescent="0.25">
      <c r="B6" s="331">
        <v>1</v>
      </c>
      <c r="C6" s="331"/>
      <c r="D6" s="47">
        <v>2</v>
      </c>
      <c r="E6" s="102">
        <v>3</v>
      </c>
      <c r="F6" s="47">
        <v>4</v>
      </c>
    </row>
    <row r="7" spans="1:8" ht="15" customHeight="1" x14ac:dyDescent="0.25">
      <c r="B7" s="332" t="s">
        <v>260</v>
      </c>
      <c r="C7" s="333"/>
      <c r="D7" s="32" t="s">
        <v>0</v>
      </c>
      <c r="E7" s="13">
        <f>list02!D8</f>
        <v>0</v>
      </c>
      <c r="F7" s="29">
        <f>IF(SUM(F8:F13)&gt;100,"Ошибка",100)</f>
        <v>100</v>
      </c>
      <c r="G7" s="43"/>
    </row>
    <row r="8" spans="1:8" ht="15" customHeight="1" x14ac:dyDescent="0.25">
      <c r="B8" s="327"/>
      <c r="C8" s="328"/>
      <c r="D8" s="12" t="s">
        <v>5</v>
      </c>
      <c r="E8" s="9"/>
      <c r="F8" s="23">
        <f>IF(E7&gt;0,E8/E7*100,0)</f>
        <v>0</v>
      </c>
      <c r="G8" s="43"/>
    </row>
    <row r="9" spans="1:8" ht="15" customHeight="1" x14ac:dyDescent="0.25">
      <c r="B9" s="327"/>
      <c r="C9" s="328"/>
      <c r="D9" s="12" t="s">
        <v>19</v>
      </c>
      <c r="E9" s="9"/>
      <c r="F9" s="23">
        <f>IF(E7&gt;0,E9/E7*100,0)</f>
        <v>0</v>
      </c>
      <c r="G9" s="43"/>
    </row>
    <row r="10" spans="1:8" ht="15" customHeight="1" x14ac:dyDescent="0.25">
      <c r="B10" s="327"/>
      <c r="C10" s="328"/>
      <c r="D10" s="12" t="s">
        <v>20</v>
      </c>
      <c r="E10" s="9"/>
      <c r="F10" s="23">
        <f>IF(E7&gt;0,E10/E7*100,0)</f>
        <v>0</v>
      </c>
      <c r="G10" s="43"/>
    </row>
    <row r="11" spans="1:8" ht="15" customHeight="1" x14ac:dyDescent="0.25">
      <c r="B11" s="327"/>
      <c r="C11" s="328"/>
      <c r="D11" s="12" t="s">
        <v>21</v>
      </c>
      <c r="E11" s="9"/>
      <c r="F11" s="23">
        <f>IF(E7&gt;0,E11/E7*100,0)</f>
        <v>0</v>
      </c>
      <c r="G11" s="43"/>
    </row>
    <row r="12" spans="1:8" ht="15" customHeight="1" x14ac:dyDescent="0.25">
      <c r="B12" s="327"/>
      <c r="C12" s="328"/>
      <c r="D12" s="12" t="s">
        <v>60</v>
      </c>
      <c r="E12" s="22"/>
      <c r="F12" s="23">
        <f>IF(E7&gt;0,E12/E7*100,0)</f>
        <v>0</v>
      </c>
      <c r="G12" s="43"/>
    </row>
    <row r="13" spans="1:8" ht="15" customHeight="1" x14ac:dyDescent="0.25">
      <c r="B13" s="327"/>
      <c r="C13" s="328"/>
      <c r="D13" s="12" t="s">
        <v>81</v>
      </c>
      <c r="E13" s="22"/>
      <c r="F13" s="23">
        <f>IF(E7&gt;0,E13/E7*100,0)</f>
        <v>0</v>
      </c>
      <c r="G13" s="43"/>
    </row>
    <row r="14" spans="1:8" ht="15" customHeight="1" x14ac:dyDescent="0.25">
      <c r="B14" s="334" t="s">
        <v>176</v>
      </c>
      <c r="C14" s="335"/>
      <c r="D14" s="57" t="s">
        <v>1</v>
      </c>
      <c r="E14" s="13">
        <f>list01!L31</f>
        <v>0</v>
      </c>
      <c r="F14" s="31" t="s">
        <v>22</v>
      </c>
      <c r="G14" s="43"/>
    </row>
    <row r="15" spans="1:8" ht="15" customHeight="1" x14ac:dyDescent="0.25">
      <c r="B15" s="336" t="s">
        <v>288</v>
      </c>
      <c r="C15" s="337"/>
      <c r="D15" s="57" t="s">
        <v>4</v>
      </c>
      <c r="E15" s="3">
        <f>IF(E14&gt;0,IF(SUM(E16+E17)&gt;E14,"Ошибка",SUM(E16+E17)),0)</f>
        <v>0</v>
      </c>
      <c r="F15" s="33" t="s">
        <v>22</v>
      </c>
      <c r="G15" s="111"/>
    </row>
    <row r="16" spans="1:8" ht="31.5" customHeight="1" x14ac:dyDescent="0.25">
      <c r="B16" s="338" t="s">
        <v>544</v>
      </c>
      <c r="C16" s="339"/>
      <c r="D16" s="10" t="s">
        <v>2</v>
      </c>
      <c r="E16" s="3">
        <f>IF(list01!G6=4,list12!F17+list12!G17,0)</f>
        <v>0</v>
      </c>
      <c r="F16" s="33" t="s">
        <v>22</v>
      </c>
      <c r="G16" s="53"/>
    </row>
    <row r="17" spans="2:7" ht="19.5" customHeight="1" x14ac:dyDescent="0.25">
      <c r="B17" s="338" t="s">
        <v>441</v>
      </c>
      <c r="C17" s="339"/>
      <c r="D17" s="10" t="s">
        <v>6</v>
      </c>
      <c r="E17" s="3">
        <f>SUM(E18:E23)</f>
        <v>0</v>
      </c>
      <c r="F17" s="33" t="s">
        <v>22</v>
      </c>
      <c r="G17" s="53"/>
    </row>
    <row r="18" spans="2:7" ht="15" customHeight="1" x14ac:dyDescent="0.25">
      <c r="B18" s="327"/>
      <c r="C18" s="328"/>
      <c r="D18" s="10" t="s">
        <v>26</v>
      </c>
      <c r="E18" s="9"/>
      <c r="F18" s="33" t="s">
        <v>22</v>
      </c>
      <c r="G18" s="53"/>
    </row>
    <row r="19" spans="2:7" ht="15" customHeight="1" x14ac:dyDescent="0.25">
      <c r="B19" s="327"/>
      <c r="C19" s="328"/>
      <c r="D19" s="10" t="s">
        <v>27</v>
      </c>
      <c r="E19" s="9"/>
      <c r="F19" s="33" t="s">
        <v>22</v>
      </c>
      <c r="G19" s="53"/>
    </row>
    <row r="20" spans="2:7" ht="15" customHeight="1" x14ac:dyDescent="0.25">
      <c r="B20" s="327"/>
      <c r="C20" s="328"/>
      <c r="D20" s="10" t="s">
        <v>34</v>
      </c>
      <c r="E20" s="9"/>
      <c r="F20" s="33" t="s">
        <v>22</v>
      </c>
      <c r="G20" s="53"/>
    </row>
    <row r="21" spans="2:7" ht="15" customHeight="1" x14ac:dyDescent="0.25">
      <c r="B21" s="327"/>
      <c r="C21" s="328"/>
      <c r="D21" s="10" t="s">
        <v>35</v>
      </c>
      <c r="E21" s="9"/>
      <c r="F21" s="33" t="s">
        <v>22</v>
      </c>
      <c r="G21" s="53"/>
    </row>
    <row r="22" spans="2:7" ht="15" customHeight="1" x14ac:dyDescent="0.25">
      <c r="B22" s="327"/>
      <c r="C22" s="328"/>
      <c r="D22" s="10" t="s">
        <v>261</v>
      </c>
      <c r="E22" s="9"/>
      <c r="F22" s="33" t="s">
        <v>22</v>
      </c>
      <c r="G22" s="53"/>
    </row>
    <row r="23" spans="2:7" ht="15" customHeight="1" x14ac:dyDescent="0.25">
      <c r="B23" s="327"/>
      <c r="C23" s="328"/>
      <c r="D23" s="10" t="s">
        <v>262</v>
      </c>
      <c r="E23" s="9"/>
      <c r="F23" s="33" t="s">
        <v>22</v>
      </c>
      <c r="G23" s="53"/>
    </row>
    <row r="24" spans="2:7" ht="31.5" customHeight="1" x14ac:dyDescent="0.25">
      <c r="B24" s="338" t="s">
        <v>442</v>
      </c>
      <c r="C24" s="339"/>
      <c r="D24" s="10" t="s">
        <v>7</v>
      </c>
      <c r="E24" s="3">
        <f>SUM(E25:E30)</f>
        <v>0</v>
      </c>
      <c r="F24" s="29">
        <f>IF(SUM(F25:F30)&gt;100,"Ошибка",100)</f>
        <v>100</v>
      </c>
      <c r="G24" s="53"/>
    </row>
    <row r="25" spans="2:7" ht="15" customHeight="1" x14ac:dyDescent="0.25">
      <c r="B25" s="327"/>
      <c r="C25" s="328"/>
      <c r="D25" s="10" t="s">
        <v>264</v>
      </c>
      <c r="E25" s="9"/>
      <c r="F25" s="23">
        <f>IF(E7&gt;0,E25/E7*100,0)</f>
        <v>0</v>
      </c>
      <c r="G25" s="53"/>
    </row>
    <row r="26" spans="2:7" ht="15" customHeight="1" x14ac:dyDescent="0.25">
      <c r="B26" s="340"/>
      <c r="C26" s="341"/>
      <c r="D26" s="10" t="s">
        <v>265</v>
      </c>
      <c r="E26" s="9"/>
      <c r="F26" s="23">
        <f>IF(E7&gt;0,E26/E7*100,0)</f>
        <v>0</v>
      </c>
      <c r="G26" s="53"/>
    </row>
    <row r="27" spans="2:7" ht="15" customHeight="1" x14ac:dyDescent="0.25">
      <c r="B27" s="340"/>
      <c r="C27" s="341"/>
      <c r="D27" s="10" t="s">
        <v>271</v>
      </c>
      <c r="E27" s="9"/>
      <c r="F27" s="23">
        <f>IF(E7&gt;0,E27/E7*100,0)</f>
        <v>0</v>
      </c>
      <c r="G27" s="53"/>
    </row>
    <row r="28" spans="2:7" ht="15" customHeight="1" x14ac:dyDescent="0.25">
      <c r="B28" s="340"/>
      <c r="C28" s="341"/>
      <c r="D28" s="10" t="s">
        <v>272</v>
      </c>
      <c r="E28" s="9"/>
      <c r="F28" s="23">
        <f>IF(E7&gt;0,E28/E7*100,0)</f>
        <v>0</v>
      </c>
      <c r="G28" s="53"/>
    </row>
    <row r="29" spans="2:7" ht="15" customHeight="1" x14ac:dyDescent="0.25">
      <c r="B29" s="340"/>
      <c r="C29" s="341"/>
      <c r="D29" s="10" t="s">
        <v>273</v>
      </c>
      <c r="E29" s="9"/>
      <c r="F29" s="23">
        <f>IF(E7&gt;0,E29/E7*100,0)</f>
        <v>0</v>
      </c>
      <c r="G29" s="53"/>
    </row>
    <row r="30" spans="2:7" ht="15" customHeight="1" x14ac:dyDescent="0.25">
      <c r="B30" s="34"/>
      <c r="C30" s="35"/>
      <c r="D30" s="25" t="s">
        <v>274</v>
      </c>
      <c r="E30" s="36"/>
      <c r="F30" s="26">
        <f>IF(E7&gt;0,E30/E7*100,0)</f>
        <v>0</v>
      </c>
      <c r="G30" s="53"/>
    </row>
    <row r="31" spans="2:7" x14ac:dyDescent="0.25">
      <c r="B31" s="266" t="s">
        <v>177</v>
      </c>
      <c r="C31" s="266"/>
      <c r="D31" s="266"/>
      <c r="E31" s="266"/>
      <c r="F31" s="266"/>
      <c r="G31" s="53"/>
    </row>
    <row r="32" spans="2:7" x14ac:dyDescent="0.25">
      <c r="B32" s="298" t="s">
        <v>178</v>
      </c>
      <c r="C32" s="298"/>
      <c r="D32" s="298"/>
      <c r="E32" s="298"/>
      <c r="F32" s="298"/>
    </row>
    <row r="33" spans="2:9" x14ac:dyDescent="0.25">
      <c r="B33" s="298" t="s">
        <v>267</v>
      </c>
      <c r="C33" s="298"/>
      <c r="D33" s="298"/>
      <c r="E33" s="298"/>
      <c r="F33" s="298"/>
    </row>
    <row r="34" spans="2:9" ht="16.5" customHeight="1" x14ac:dyDescent="0.25">
      <c r="B34" s="266" t="s">
        <v>520</v>
      </c>
      <c r="C34" s="266"/>
      <c r="D34" s="266"/>
      <c r="E34" s="266"/>
      <c r="F34" s="266"/>
      <c r="I34" s="111"/>
    </row>
    <row r="35" spans="2:9" ht="40.5" customHeight="1" x14ac:dyDescent="0.25">
      <c r="B35" s="266" t="s">
        <v>443</v>
      </c>
      <c r="C35" s="266"/>
      <c r="D35" s="266"/>
      <c r="E35" s="266"/>
      <c r="F35" s="266"/>
    </row>
    <row r="36" spans="2:9" x14ac:dyDescent="0.25">
      <c r="B36" s="4" t="s">
        <v>91</v>
      </c>
      <c r="D36" s="4"/>
    </row>
    <row r="37" spans="2:9" ht="15" customHeight="1" x14ac:dyDescent="0.25">
      <c r="B37" s="342"/>
      <c r="C37" s="342"/>
      <c r="D37" s="282"/>
      <c r="E37" s="282"/>
      <c r="F37" s="282"/>
    </row>
    <row r="38" spans="2:9" x14ac:dyDescent="0.25">
      <c r="B38" s="4" t="s">
        <v>94</v>
      </c>
      <c r="D38" s="4"/>
    </row>
    <row r="39" spans="2:9" ht="15" customHeight="1" x14ac:dyDescent="0.25">
      <c r="B39" s="342"/>
      <c r="C39" s="342"/>
      <c r="D39" s="282"/>
      <c r="E39" s="282"/>
      <c r="F39" s="282"/>
    </row>
  </sheetData>
  <mergeCells count="36">
    <mergeCell ref="B35:F35"/>
    <mergeCell ref="B37:C37"/>
    <mergeCell ref="D37:F37"/>
    <mergeCell ref="B39:C39"/>
    <mergeCell ref="D39:F39"/>
    <mergeCell ref="B34:F34"/>
    <mergeCell ref="B33:F33"/>
    <mergeCell ref="B21:C21"/>
    <mergeCell ref="B22:C22"/>
    <mergeCell ref="B23:C23"/>
    <mergeCell ref="B24:C24"/>
    <mergeCell ref="B25:C25"/>
    <mergeCell ref="B26:C26"/>
    <mergeCell ref="B27:C27"/>
    <mergeCell ref="B28:C28"/>
    <mergeCell ref="B29:C29"/>
    <mergeCell ref="B31:F31"/>
    <mergeCell ref="B32:F32"/>
    <mergeCell ref="B20:C20"/>
    <mergeCell ref="B9:C9"/>
    <mergeCell ref="B10:C10"/>
    <mergeCell ref="B11:C11"/>
    <mergeCell ref="B12:C12"/>
    <mergeCell ref="B13:C13"/>
    <mergeCell ref="B14:C14"/>
    <mergeCell ref="B15:C15"/>
    <mergeCell ref="B16:C16"/>
    <mergeCell ref="B17:C17"/>
    <mergeCell ref="B18:C18"/>
    <mergeCell ref="B19:C19"/>
    <mergeCell ref="B8:C8"/>
    <mergeCell ref="B2:F2"/>
    <mergeCell ref="B4:F4"/>
    <mergeCell ref="B5:C5"/>
    <mergeCell ref="B6:C6"/>
    <mergeCell ref="B7:C7"/>
  </mergeCells>
  <pageMargins left="0.33" right="0.17" top="0.73" bottom="0.98425196850393704" header="0.51181102362204722" footer="0.51181102362204722"/>
  <pageSetup paperSize="9" scale="53" orientation="portrait" r:id="rId1"/>
  <headerFooter alignWithMargins="0"/>
  <ignoredErrors>
    <ignoredError sqref="D7:D30"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G56"/>
  <sheetViews>
    <sheetView zoomScale="85" zoomScaleNormal="85" zoomScaleSheetLayoutView="115" workbookViewId="0">
      <selection activeCell="B32" sqref="B32"/>
    </sheetView>
  </sheetViews>
  <sheetFormatPr defaultColWidth="9.109375" defaultRowHeight="13.2" x14ac:dyDescent="0.25"/>
  <cols>
    <col min="1" max="1" width="0.88671875" style="4" customWidth="1"/>
    <col min="2" max="2" width="129.33203125" style="4" customWidth="1"/>
    <col min="3" max="3" width="7.33203125" style="95" customWidth="1"/>
    <col min="4" max="4" width="22.6640625" style="4" customWidth="1"/>
    <col min="5" max="5" width="22.6640625" style="6" customWidth="1"/>
    <col min="6" max="6" width="13.88671875" style="8" customWidth="1"/>
    <col min="7" max="7" width="13.88671875" style="6" customWidth="1"/>
    <col min="8" max="9" width="13.88671875" style="4" customWidth="1"/>
    <col min="10" max="16384" width="9.109375" style="4"/>
  </cols>
  <sheetData>
    <row r="1" spans="1:6" x14ac:dyDescent="0.25">
      <c r="A1" s="4" t="s">
        <v>85</v>
      </c>
      <c r="E1" s="4"/>
    </row>
    <row r="2" spans="1:6" x14ac:dyDescent="0.25">
      <c r="B2" s="329" t="s">
        <v>201</v>
      </c>
      <c r="C2" s="329"/>
      <c r="D2" s="329"/>
      <c r="E2" s="329"/>
    </row>
    <row r="3" spans="1:6" x14ac:dyDescent="0.25">
      <c r="B3" s="95"/>
      <c r="C3" s="100"/>
      <c r="D3" s="100" t="s">
        <v>90</v>
      </c>
      <c r="E3" s="92">
        <f>list01!C4</f>
        <v>0</v>
      </c>
    </row>
    <row r="4" spans="1:6" ht="20.25" customHeight="1" x14ac:dyDescent="0.25">
      <c r="B4" s="344" t="s">
        <v>185</v>
      </c>
      <c r="C4" s="344"/>
      <c r="D4" s="344"/>
      <c r="E4" s="344"/>
    </row>
    <row r="5" spans="1:6" ht="31.5" customHeight="1" x14ac:dyDescent="0.25">
      <c r="B5" s="101" t="s">
        <v>186</v>
      </c>
      <c r="C5" s="101" t="s">
        <v>113</v>
      </c>
      <c r="D5" s="101" t="s">
        <v>3</v>
      </c>
      <c r="E5" s="101" t="s">
        <v>175</v>
      </c>
    </row>
    <row r="6" spans="1:6" ht="15" customHeight="1" x14ac:dyDescent="0.25">
      <c r="B6" s="101">
        <v>1</v>
      </c>
      <c r="C6" s="101">
        <v>2</v>
      </c>
      <c r="D6" s="101">
        <v>3</v>
      </c>
      <c r="E6" s="101">
        <v>4</v>
      </c>
    </row>
    <row r="7" spans="1:6" ht="15" customHeight="1" x14ac:dyDescent="0.25">
      <c r="B7" s="106" t="s">
        <v>187</v>
      </c>
      <c r="C7" s="54" t="s">
        <v>0</v>
      </c>
      <c r="D7" s="55">
        <f>list02!D7</f>
        <v>0</v>
      </c>
      <c r="E7" s="56">
        <f>IF((E8+E9+E10+E13)&gt;100,"Ошибка",100)</f>
        <v>100</v>
      </c>
    </row>
    <row r="8" spans="1:6" ht="15" customHeight="1" x14ac:dyDescent="0.25">
      <c r="B8" s="99" t="s">
        <v>188</v>
      </c>
      <c r="C8" s="10" t="s">
        <v>5</v>
      </c>
      <c r="D8" s="7"/>
      <c r="E8" s="23">
        <f>IF(D8&gt;0,D8/D7*100,0)</f>
        <v>0</v>
      </c>
    </row>
    <row r="9" spans="1:6" ht="15" customHeight="1" x14ac:dyDescent="0.25">
      <c r="B9" s="99" t="s">
        <v>189</v>
      </c>
      <c r="C9" s="10" t="s">
        <v>19</v>
      </c>
      <c r="D9" s="7"/>
      <c r="E9" s="23">
        <f>IF(D9&gt;0,D9/D7*100,0)</f>
        <v>0</v>
      </c>
    </row>
    <row r="10" spans="1:6" ht="15" customHeight="1" x14ac:dyDescent="0.25">
      <c r="B10" s="99" t="s">
        <v>190</v>
      </c>
      <c r="C10" s="10" t="s">
        <v>20</v>
      </c>
      <c r="D10" s="7"/>
      <c r="E10" s="23">
        <f>IF(D10&gt;0,D10/D7*100,0)</f>
        <v>0</v>
      </c>
    </row>
    <row r="11" spans="1:6" ht="39.6" x14ac:dyDescent="0.25">
      <c r="B11" s="99" t="s">
        <v>191</v>
      </c>
      <c r="C11" s="10" t="s">
        <v>21</v>
      </c>
      <c r="D11" s="7"/>
      <c r="E11" s="31" t="s">
        <v>22</v>
      </c>
    </row>
    <row r="12" spans="1:6" ht="26.4" x14ac:dyDescent="0.25">
      <c r="B12" s="99" t="s">
        <v>192</v>
      </c>
      <c r="C12" s="10" t="s">
        <v>60</v>
      </c>
      <c r="D12" s="7"/>
      <c r="E12" s="31" t="s">
        <v>22</v>
      </c>
    </row>
    <row r="13" spans="1:6" s="8" customFormat="1" ht="30" customHeight="1" x14ac:dyDescent="0.25">
      <c r="B13" s="99" t="s">
        <v>626</v>
      </c>
      <c r="C13" s="10" t="s">
        <v>81</v>
      </c>
      <c r="D13" s="17"/>
      <c r="E13" s="23">
        <f>IF(D13&gt;0,D13/D7*100,0)</f>
        <v>0</v>
      </c>
    </row>
    <row r="14" spans="1:6" ht="15" customHeight="1" x14ac:dyDescent="0.25">
      <c r="B14" s="99" t="s">
        <v>193</v>
      </c>
      <c r="C14" s="10" t="s">
        <v>1</v>
      </c>
      <c r="D14" s="3">
        <f>IF(list01!L31&lt;0,0,list01!L31)</f>
        <v>0</v>
      </c>
      <c r="E14" s="31" t="s">
        <v>22</v>
      </c>
    </row>
    <row r="15" spans="1:6" ht="15" customHeight="1" x14ac:dyDescent="0.25">
      <c r="B15" s="99" t="s">
        <v>194</v>
      </c>
      <c r="C15" s="10" t="s">
        <v>4</v>
      </c>
      <c r="D15" s="3">
        <f>IF(SUM(D16:D21)&gt;D14,"Ошибка",SUM(D16:D21))</f>
        <v>0</v>
      </c>
      <c r="E15" s="31" t="s">
        <v>22</v>
      </c>
    </row>
    <row r="16" spans="1:6" ht="15" customHeight="1" x14ac:dyDescent="0.25">
      <c r="B16" s="99" t="s">
        <v>195</v>
      </c>
      <c r="C16" s="10" t="s">
        <v>36</v>
      </c>
      <c r="D16" s="7"/>
      <c r="E16" s="23">
        <f>IF(ISBLANK(D16),0,IF(E8&gt;79.99,0,"Ошибка"))</f>
        <v>0</v>
      </c>
      <c r="F16" s="14"/>
    </row>
    <row r="17" spans="2:7" ht="15" customHeight="1" x14ac:dyDescent="0.25">
      <c r="B17" s="99" t="s">
        <v>196</v>
      </c>
      <c r="C17" s="10" t="s">
        <v>37</v>
      </c>
      <c r="D17" s="7"/>
      <c r="E17" s="23">
        <f>IF(ISBLANK(D17),0,IF(E9&gt;89.99,0,"Ошибка"))</f>
        <v>0</v>
      </c>
      <c r="F17" s="14"/>
    </row>
    <row r="18" spans="2:7" ht="15" customHeight="1" x14ac:dyDescent="0.25">
      <c r="B18" s="99" t="s">
        <v>190</v>
      </c>
      <c r="C18" s="10" t="s">
        <v>42</v>
      </c>
      <c r="D18" s="7"/>
      <c r="E18" s="31" t="s">
        <v>22</v>
      </c>
      <c r="F18" s="14"/>
    </row>
    <row r="19" spans="2:7" ht="15" customHeight="1" x14ac:dyDescent="0.25">
      <c r="B19" s="99" t="s">
        <v>197</v>
      </c>
      <c r="C19" s="10" t="s">
        <v>43</v>
      </c>
      <c r="D19" s="7"/>
      <c r="E19" s="31" t="s">
        <v>22</v>
      </c>
      <c r="F19" s="14"/>
    </row>
    <row r="20" spans="2:7" ht="15" customHeight="1" x14ac:dyDescent="0.25">
      <c r="B20" s="99" t="s">
        <v>198</v>
      </c>
      <c r="C20" s="10" t="s">
        <v>44</v>
      </c>
      <c r="D20" s="7"/>
      <c r="E20" s="31" t="s">
        <v>22</v>
      </c>
      <c r="F20" s="14"/>
    </row>
    <row r="21" spans="2:7" ht="28.8" customHeight="1" x14ac:dyDescent="0.25">
      <c r="B21" s="105" t="s">
        <v>627</v>
      </c>
      <c r="C21" s="25" t="s">
        <v>82</v>
      </c>
      <c r="D21" s="64"/>
      <c r="E21" s="31" t="s">
        <v>22</v>
      </c>
      <c r="F21" s="14"/>
    </row>
    <row r="22" spans="2:7" x14ac:dyDescent="0.25">
      <c r="B22" s="266" t="s">
        <v>139</v>
      </c>
      <c r="C22" s="266"/>
      <c r="D22" s="266"/>
      <c r="E22" s="266"/>
    </row>
    <row r="23" spans="2:7" x14ac:dyDescent="0.25">
      <c r="B23" s="266" t="s">
        <v>199</v>
      </c>
      <c r="C23" s="266"/>
      <c r="D23" s="266"/>
      <c r="E23" s="266"/>
    </row>
    <row r="24" spans="2:7" x14ac:dyDescent="0.25">
      <c r="B24" s="266" t="s">
        <v>200</v>
      </c>
      <c r="C24" s="266"/>
      <c r="D24" s="266"/>
      <c r="E24" s="266"/>
    </row>
    <row r="25" spans="2:7" ht="24" customHeight="1" x14ac:dyDescent="0.25">
      <c r="B25" s="104" t="s">
        <v>91</v>
      </c>
      <c r="C25" s="282"/>
      <c r="D25" s="282"/>
      <c r="E25" s="4"/>
      <c r="G25" s="4"/>
    </row>
    <row r="26" spans="2:7" ht="15" customHeight="1" x14ac:dyDescent="0.25">
      <c r="B26" s="15"/>
      <c r="C26" s="282"/>
      <c r="D26" s="282"/>
      <c r="E26" s="4"/>
      <c r="G26" s="4"/>
    </row>
    <row r="27" spans="2:7" ht="21.75" customHeight="1" x14ac:dyDescent="0.25">
      <c r="B27" s="343" t="s">
        <v>94</v>
      </c>
      <c r="C27" s="343"/>
      <c r="D27" s="343"/>
      <c r="E27" s="4"/>
      <c r="G27" s="4"/>
    </row>
    <row r="28" spans="2:7" ht="15" customHeight="1" x14ac:dyDescent="0.25">
      <c r="B28" s="15"/>
      <c r="C28" s="282"/>
      <c r="D28" s="282"/>
      <c r="E28" s="4"/>
      <c r="G28" s="4"/>
    </row>
    <row r="29" spans="2:7" x14ac:dyDescent="0.25">
      <c r="C29" s="4"/>
      <c r="E29" s="4"/>
    </row>
    <row r="30" spans="2:7" x14ac:dyDescent="0.25">
      <c r="E30" s="4"/>
    </row>
    <row r="31" spans="2:7" x14ac:dyDescent="0.25">
      <c r="E31" s="4"/>
    </row>
    <row r="32" spans="2:7" x14ac:dyDescent="0.25">
      <c r="E32" s="4"/>
    </row>
    <row r="33" spans="1:6" x14ac:dyDescent="0.25">
      <c r="E33" s="4"/>
    </row>
    <row r="34" spans="1:6" x14ac:dyDescent="0.25">
      <c r="E34" s="4"/>
    </row>
    <row r="35" spans="1:6" x14ac:dyDescent="0.25">
      <c r="E35" s="4"/>
    </row>
    <row r="36" spans="1:6" x14ac:dyDescent="0.25">
      <c r="E36" s="4"/>
    </row>
    <row r="37" spans="1:6" x14ac:dyDescent="0.25">
      <c r="E37" s="4"/>
    </row>
    <row r="38" spans="1:6" x14ac:dyDescent="0.25">
      <c r="E38" s="4"/>
    </row>
    <row r="39" spans="1:6" x14ac:dyDescent="0.25">
      <c r="E39" s="4"/>
    </row>
    <row r="40" spans="1:6" x14ac:dyDescent="0.25">
      <c r="E40" s="4"/>
    </row>
    <row r="41" spans="1:6" x14ac:dyDescent="0.25">
      <c r="E41" s="4"/>
    </row>
    <row r="42" spans="1:6" x14ac:dyDescent="0.25">
      <c r="E42" s="4"/>
    </row>
    <row r="43" spans="1:6" s="6" customFormat="1" x14ac:dyDescent="0.25">
      <c r="A43" s="4"/>
      <c r="B43" s="4"/>
      <c r="C43" s="95"/>
      <c r="D43" s="4"/>
      <c r="E43" s="4"/>
      <c r="F43" s="8"/>
    </row>
    <row r="44" spans="1:6" s="6" customFormat="1" x14ac:dyDescent="0.25">
      <c r="A44" s="4"/>
      <c r="B44" s="4"/>
      <c r="C44" s="95"/>
      <c r="D44" s="4"/>
      <c r="E44" s="4"/>
      <c r="F44" s="8"/>
    </row>
    <row r="45" spans="1:6" s="6" customFormat="1" x14ac:dyDescent="0.25">
      <c r="A45" s="4"/>
      <c r="B45" s="4"/>
      <c r="C45" s="95"/>
      <c r="D45" s="4"/>
      <c r="E45" s="4"/>
      <c r="F45" s="8"/>
    </row>
    <row r="46" spans="1:6" s="6" customFormat="1" x14ac:dyDescent="0.25">
      <c r="A46" s="4"/>
      <c r="B46" s="4"/>
      <c r="C46" s="95"/>
      <c r="D46" s="4"/>
      <c r="E46" s="4"/>
      <c r="F46" s="8"/>
    </row>
    <row r="47" spans="1:6" s="6" customFormat="1" x14ac:dyDescent="0.25">
      <c r="A47" s="4"/>
      <c r="B47" s="4"/>
      <c r="C47" s="95"/>
      <c r="D47" s="4"/>
      <c r="E47" s="4"/>
      <c r="F47" s="8"/>
    </row>
    <row r="48" spans="1:6" s="6" customFormat="1" x14ac:dyDescent="0.25">
      <c r="A48" s="4"/>
      <c r="B48" s="4"/>
      <c r="C48" s="95"/>
      <c r="D48" s="4"/>
      <c r="E48" s="4"/>
      <c r="F48" s="8"/>
    </row>
    <row r="49" spans="1:6" s="6" customFormat="1" x14ac:dyDescent="0.25">
      <c r="A49" s="4"/>
      <c r="B49" s="4"/>
      <c r="C49" s="95"/>
      <c r="D49" s="4"/>
      <c r="E49" s="4"/>
      <c r="F49" s="8"/>
    </row>
    <row r="50" spans="1:6" s="6" customFormat="1" x14ac:dyDescent="0.25">
      <c r="A50" s="4"/>
      <c r="B50" s="4"/>
      <c r="C50" s="95"/>
      <c r="D50" s="4"/>
      <c r="E50" s="4"/>
      <c r="F50" s="8"/>
    </row>
    <row r="51" spans="1:6" s="6" customFormat="1" x14ac:dyDescent="0.25">
      <c r="A51" s="4"/>
      <c r="B51" s="4"/>
      <c r="C51" s="95"/>
      <c r="D51" s="4"/>
      <c r="E51" s="4"/>
      <c r="F51" s="8"/>
    </row>
    <row r="52" spans="1:6" s="6" customFormat="1" x14ac:dyDescent="0.25">
      <c r="A52" s="4"/>
      <c r="B52" s="4"/>
      <c r="C52" s="95"/>
      <c r="D52" s="4"/>
      <c r="E52" s="4"/>
      <c r="F52" s="8"/>
    </row>
    <row r="53" spans="1:6" s="6" customFormat="1" x14ac:dyDescent="0.25">
      <c r="A53" s="4"/>
      <c r="B53" s="4"/>
      <c r="C53" s="95"/>
      <c r="D53" s="4"/>
      <c r="E53" s="4"/>
      <c r="F53" s="8"/>
    </row>
    <row r="54" spans="1:6" s="6" customFormat="1" x14ac:dyDescent="0.25">
      <c r="A54" s="4"/>
      <c r="B54" s="4"/>
      <c r="C54" s="95"/>
      <c r="D54" s="4"/>
      <c r="E54" s="4"/>
      <c r="F54" s="8"/>
    </row>
    <row r="55" spans="1:6" s="6" customFormat="1" x14ac:dyDescent="0.25">
      <c r="A55" s="4"/>
      <c r="B55" s="4"/>
      <c r="C55" s="95"/>
      <c r="D55" s="4"/>
      <c r="E55" s="4"/>
      <c r="F55" s="8"/>
    </row>
    <row r="56" spans="1:6" s="6" customFormat="1" x14ac:dyDescent="0.25">
      <c r="A56" s="4"/>
      <c r="B56" s="4"/>
      <c r="C56" s="95"/>
      <c r="D56" s="4"/>
      <c r="F56" s="8"/>
    </row>
  </sheetData>
  <mergeCells count="9">
    <mergeCell ref="C26:D26"/>
    <mergeCell ref="B27:D27"/>
    <mergeCell ref="C28:D28"/>
    <mergeCell ref="B2:E2"/>
    <mergeCell ref="B4:E4"/>
    <mergeCell ref="B22:E22"/>
    <mergeCell ref="B23:E23"/>
    <mergeCell ref="B24:E24"/>
    <mergeCell ref="C25:D25"/>
  </mergeCells>
  <printOptions horizontalCentered="1"/>
  <pageMargins left="0.39370078740157483" right="0.39370078740157483" top="0.39370078740157483" bottom="0.39370078740157483" header="0.39370078740157483" footer="0.39370078740157483"/>
  <pageSetup paperSize="9" scale="92" orientation="portrait" r:id="rId1"/>
  <headerFooter alignWithMargins="0"/>
  <ignoredErrors>
    <ignoredError sqref="C7:C21"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34"/>
  <sheetViews>
    <sheetView zoomScale="85" zoomScaleNormal="85" workbookViewId="0">
      <selection activeCell="S65" sqref="S65"/>
    </sheetView>
  </sheetViews>
  <sheetFormatPr defaultColWidth="9.109375" defaultRowHeight="13.2" x14ac:dyDescent="0.25"/>
  <cols>
    <col min="1" max="1" width="0.88671875" style="4" customWidth="1"/>
    <col min="2" max="2" width="4" style="4" customWidth="1"/>
    <col min="3" max="3" width="9.109375" style="4"/>
    <col min="4" max="4" width="124" style="4" customWidth="1"/>
    <col min="5" max="5" width="7.33203125" style="95" customWidth="1"/>
    <col min="6" max="6" width="18.33203125" style="4" customWidth="1"/>
    <col min="7" max="7" width="22.109375" style="4" customWidth="1"/>
    <col min="8" max="8" width="10" style="4" customWidth="1"/>
    <col min="9" max="16384" width="9.109375" style="4"/>
  </cols>
  <sheetData>
    <row r="1" spans="1:10" x14ac:dyDescent="0.25">
      <c r="A1" s="4" t="s">
        <v>86</v>
      </c>
    </row>
    <row r="2" spans="1:10" ht="21.75" customHeight="1" x14ac:dyDescent="0.25">
      <c r="B2" s="255" t="s">
        <v>206</v>
      </c>
      <c r="C2" s="255"/>
      <c r="D2" s="255"/>
      <c r="E2" s="255"/>
      <c r="F2" s="255"/>
      <c r="G2" s="255"/>
    </row>
    <row r="3" spans="1:10" x14ac:dyDescent="0.25">
      <c r="E3" s="100"/>
      <c r="F3" s="100" t="s">
        <v>90</v>
      </c>
      <c r="G3" s="107">
        <f>+list01!C4</f>
        <v>0</v>
      </c>
    </row>
    <row r="4" spans="1:10" ht="13.8" x14ac:dyDescent="0.25">
      <c r="B4" s="299" t="s">
        <v>202</v>
      </c>
      <c r="C4" s="299"/>
      <c r="D4" s="299"/>
      <c r="E4" s="299"/>
      <c r="F4" s="299"/>
      <c r="G4" s="299"/>
    </row>
    <row r="5" spans="1:10" ht="52.8" x14ac:dyDescent="0.25">
      <c r="B5" s="330" t="s">
        <v>186</v>
      </c>
      <c r="C5" s="330"/>
      <c r="D5" s="330"/>
      <c r="E5" s="101" t="s">
        <v>113</v>
      </c>
      <c r="F5" s="101" t="s">
        <v>297</v>
      </c>
      <c r="G5" s="101" t="s">
        <v>298</v>
      </c>
    </row>
    <row r="6" spans="1:10" ht="18.75" customHeight="1" x14ac:dyDescent="0.25">
      <c r="B6" s="300">
        <v>1</v>
      </c>
      <c r="C6" s="300"/>
      <c r="D6" s="300"/>
      <c r="E6" s="114">
        <v>2</v>
      </c>
      <c r="F6" s="114">
        <v>3</v>
      </c>
      <c r="G6" s="114">
        <v>4</v>
      </c>
    </row>
    <row r="7" spans="1:10" ht="15" customHeight="1" x14ac:dyDescent="0.25">
      <c r="A7" s="115"/>
      <c r="B7" s="345" t="s">
        <v>323</v>
      </c>
      <c r="C7" s="346"/>
      <c r="D7" s="346"/>
      <c r="E7" s="116" t="s">
        <v>0</v>
      </c>
      <c r="F7" s="55">
        <f>SUM(F9:F13)</f>
        <v>0</v>
      </c>
      <c r="G7" s="85"/>
    </row>
    <row r="8" spans="1:10" ht="15" customHeight="1" x14ac:dyDescent="0.25">
      <c r="A8" s="117"/>
      <c r="B8" s="347" t="s">
        <v>299</v>
      </c>
      <c r="C8" s="348"/>
      <c r="D8" s="348"/>
      <c r="E8" s="118"/>
      <c r="F8" s="119"/>
      <c r="G8" s="120"/>
    </row>
    <row r="9" spans="1:10" x14ac:dyDescent="0.25">
      <c r="A9" s="117"/>
      <c r="B9" s="121"/>
      <c r="C9" s="122"/>
      <c r="D9" s="123" t="s">
        <v>533</v>
      </c>
      <c r="E9" s="124" t="s">
        <v>45</v>
      </c>
      <c r="F9" s="7"/>
      <c r="G9" s="125" t="s">
        <v>300</v>
      </c>
    </row>
    <row r="10" spans="1:10" x14ac:dyDescent="0.25">
      <c r="A10" s="117"/>
      <c r="B10" s="121"/>
      <c r="C10" s="122"/>
      <c r="D10" s="123" t="s">
        <v>534</v>
      </c>
      <c r="E10" s="124" t="s">
        <v>46</v>
      </c>
      <c r="F10" s="7"/>
      <c r="G10" s="125" t="s">
        <v>300</v>
      </c>
    </row>
    <row r="11" spans="1:10" x14ac:dyDescent="0.25">
      <c r="A11" s="117"/>
      <c r="B11" s="121"/>
      <c r="C11" s="122"/>
      <c r="D11" s="123" t="s">
        <v>535</v>
      </c>
      <c r="E11" s="124" t="s">
        <v>47</v>
      </c>
      <c r="F11" s="7"/>
      <c r="G11" s="125" t="s">
        <v>300</v>
      </c>
    </row>
    <row r="12" spans="1:10" x14ac:dyDescent="0.25">
      <c r="A12" s="117"/>
      <c r="B12" s="121"/>
      <c r="C12" s="122"/>
      <c r="D12" s="123" t="s">
        <v>536</v>
      </c>
      <c r="E12" s="124" t="s">
        <v>48</v>
      </c>
      <c r="F12" s="7"/>
      <c r="G12" s="125" t="s">
        <v>300</v>
      </c>
    </row>
    <row r="13" spans="1:10" x14ac:dyDescent="0.25">
      <c r="A13" s="117"/>
      <c r="B13" s="121"/>
      <c r="C13" s="122"/>
      <c r="D13" s="123" t="s">
        <v>537</v>
      </c>
      <c r="E13" s="124" t="s">
        <v>49</v>
      </c>
      <c r="F13" s="7"/>
      <c r="G13" s="125" t="s">
        <v>300</v>
      </c>
    </row>
    <row r="14" spans="1:10" ht="15" customHeight="1" x14ac:dyDescent="0.25">
      <c r="A14" s="117"/>
      <c r="B14" s="347" t="s">
        <v>203</v>
      </c>
      <c r="C14" s="348"/>
      <c r="D14" s="348"/>
      <c r="E14" s="124" t="s">
        <v>1</v>
      </c>
      <c r="F14" s="3">
        <f>IF(list01!L31&lt;0,ABS(list01!L31),0)</f>
        <v>0</v>
      </c>
      <c r="G14" s="23">
        <f>IF(list01!L31&lt;0,ABS(list01!L31),0)</f>
        <v>0</v>
      </c>
    </row>
    <row r="15" spans="1:10" ht="15" customHeight="1" x14ac:dyDescent="0.25">
      <c r="A15" s="117"/>
      <c r="B15" s="347" t="s">
        <v>204</v>
      </c>
      <c r="C15" s="348"/>
      <c r="D15" s="348"/>
      <c r="E15" s="124" t="s">
        <v>4</v>
      </c>
      <c r="F15" s="3">
        <f>IF(list01!L31&lt;0,0,list01!L31)</f>
        <v>0</v>
      </c>
      <c r="G15" s="23">
        <f>IF(list01!L31&lt;0,0,list01!L31)</f>
        <v>0</v>
      </c>
    </row>
    <row r="16" spans="1:10" s="1" customFormat="1" ht="15" customHeight="1" x14ac:dyDescent="0.25">
      <c r="A16" s="49"/>
      <c r="B16" s="334" t="s">
        <v>301</v>
      </c>
      <c r="C16" s="335"/>
      <c r="D16" s="335"/>
      <c r="E16" s="10" t="s">
        <v>2</v>
      </c>
      <c r="F16" s="3">
        <f>ROUND(F15/2,2)</f>
        <v>0</v>
      </c>
      <c r="G16" s="40"/>
      <c r="J16" s="224"/>
    </row>
    <row r="17" spans="1:7" ht="28.5" customHeight="1" x14ac:dyDescent="0.25">
      <c r="A17" s="117"/>
      <c r="B17" s="347" t="s">
        <v>302</v>
      </c>
      <c r="C17" s="348"/>
      <c r="D17" s="348"/>
      <c r="E17" s="10" t="s">
        <v>6</v>
      </c>
      <c r="F17" s="3">
        <f>IF(F7&lt;F16,F7,F16)</f>
        <v>0</v>
      </c>
      <c r="G17" s="23">
        <f>IF(G7&lt;G16,G7,G16)</f>
        <v>0</v>
      </c>
    </row>
    <row r="18" spans="1:7" ht="15" customHeight="1" x14ac:dyDescent="0.25">
      <c r="A18" s="117"/>
      <c r="B18" s="347" t="s">
        <v>324</v>
      </c>
      <c r="C18" s="348"/>
      <c r="D18" s="348"/>
      <c r="E18" s="126" t="s">
        <v>7</v>
      </c>
      <c r="F18" s="3">
        <f>SUM(F19:F23)</f>
        <v>0</v>
      </c>
      <c r="G18" s="23">
        <f>+G7-G17+G14</f>
        <v>0</v>
      </c>
    </row>
    <row r="19" spans="1:7" x14ac:dyDescent="0.25">
      <c r="A19" s="117"/>
      <c r="B19" s="121"/>
      <c r="C19" s="122"/>
      <c r="D19" s="123" t="s">
        <v>303</v>
      </c>
      <c r="E19" s="124" t="s">
        <v>56</v>
      </c>
      <c r="F19" s="127"/>
      <c r="G19" s="125" t="s">
        <v>300</v>
      </c>
    </row>
    <row r="20" spans="1:7" x14ac:dyDescent="0.25">
      <c r="A20" s="117"/>
      <c r="B20" s="121"/>
      <c r="C20" s="122"/>
      <c r="D20" s="123" t="s">
        <v>304</v>
      </c>
      <c r="E20" s="124" t="s">
        <v>57</v>
      </c>
      <c r="F20" s="128"/>
      <c r="G20" s="125" t="s">
        <v>300</v>
      </c>
    </row>
    <row r="21" spans="1:7" x14ac:dyDescent="0.25">
      <c r="A21" s="117"/>
      <c r="B21" s="121"/>
      <c r="C21" s="122"/>
      <c r="D21" s="123" t="s">
        <v>305</v>
      </c>
      <c r="E21" s="124" t="s">
        <v>58</v>
      </c>
      <c r="F21" s="128"/>
      <c r="G21" s="125" t="s">
        <v>300</v>
      </c>
    </row>
    <row r="22" spans="1:7" x14ac:dyDescent="0.25">
      <c r="A22" s="117"/>
      <c r="B22" s="121"/>
      <c r="C22" s="122"/>
      <c r="D22" s="123" t="s">
        <v>306</v>
      </c>
      <c r="E22" s="124" t="s">
        <v>59</v>
      </c>
      <c r="F22" s="128"/>
      <c r="G22" s="125" t="s">
        <v>300</v>
      </c>
    </row>
    <row r="23" spans="1:7" x14ac:dyDescent="0.25">
      <c r="A23" s="129"/>
      <c r="B23" s="130"/>
      <c r="C23" s="131"/>
      <c r="D23" s="132" t="s">
        <v>307</v>
      </c>
      <c r="E23" s="133" t="s">
        <v>308</v>
      </c>
      <c r="F23" s="134"/>
      <c r="G23" s="135" t="s">
        <v>300</v>
      </c>
    </row>
    <row r="24" spans="1:7" x14ac:dyDescent="0.25">
      <c r="B24" s="266" t="s">
        <v>139</v>
      </c>
      <c r="C24" s="266"/>
      <c r="D24" s="266"/>
      <c r="E24" s="266"/>
      <c r="F24" s="266"/>
      <c r="G24" s="266"/>
    </row>
    <row r="25" spans="1:7" ht="20.100000000000001" customHeight="1" x14ac:dyDescent="0.25">
      <c r="B25" s="298" t="s">
        <v>205</v>
      </c>
      <c r="C25" s="298"/>
      <c r="D25" s="298"/>
      <c r="E25" s="298"/>
      <c r="F25" s="298"/>
      <c r="G25" s="298"/>
    </row>
    <row r="26" spans="1:7" ht="20.100000000000001" customHeight="1" x14ac:dyDescent="0.25">
      <c r="B26" s="298" t="s">
        <v>309</v>
      </c>
      <c r="C26" s="298"/>
      <c r="D26" s="298"/>
      <c r="E26" s="298"/>
      <c r="F26" s="298"/>
      <c r="G26" s="298"/>
    </row>
    <row r="27" spans="1:7" ht="20.100000000000001" customHeight="1" x14ac:dyDescent="0.25">
      <c r="B27" s="266" t="s">
        <v>310</v>
      </c>
      <c r="C27" s="266"/>
      <c r="D27" s="266"/>
      <c r="E27" s="266"/>
      <c r="F27" s="266"/>
      <c r="G27" s="266"/>
    </row>
    <row r="28" spans="1:7" ht="20.100000000000001" customHeight="1" x14ac:dyDescent="0.25">
      <c r="B28" s="298"/>
      <c r="C28" s="298"/>
      <c r="D28" s="298"/>
      <c r="E28" s="298"/>
      <c r="F28" s="298"/>
      <c r="G28" s="298"/>
    </row>
    <row r="29" spans="1:7" ht="20.100000000000001" customHeight="1" x14ac:dyDescent="0.25">
      <c r="D29" s="4" t="s">
        <v>91</v>
      </c>
      <c r="E29" s="4"/>
    </row>
    <row r="30" spans="1:7" x14ac:dyDescent="0.25">
      <c r="B30" s="1"/>
      <c r="C30" s="1"/>
      <c r="D30" s="46"/>
      <c r="E30" s="1"/>
      <c r="F30" s="1"/>
    </row>
    <row r="31" spans="1:7" ht="20.100000000000001" customHeight="1" x14ac:dyDescent="0.25">
      <c r="D31" s="4" t="s">
        <v>94</v>
      </c>
      <c r="E31" s="4"/>
    </row>
    <row r="32" spans="1:7" x14ac:dyDescent="0.25">
      <c r="B32" s="1"/>
      <c r="C32" s="1"/>
      <c r="D32" s="46"/>
      <c r="E32" s="1"/>
      <c r="F32" s="1"/>
    </row>
    <row r="34" spans="2:4" x14ac:dyDescent="0.25">
      <c r="B34" s="343"/>
      <c r="C34" s="343"/>
      <c r="D34" s="343"/>
    </row>
  </sheetData>
  <mergeCells count="17">
    <mergeCell ref="B25:G25"/>
    <mergeCell ref="B26:G26"/>
    <mergeCell ref="B27:G27"/>
    <mergeCell ref="B28:G28"/>
    <mergeCell ref="B34:D34"/>
    <mergeCell ref="B24:G24"/>
    <mergeCell ref="B2:G2"/>
    <mergeCell ref="B4:G4"/>
    <mergeCell ref="B5:D5"/>
    <mergeCell ref="B6:D6"/>
    <mergeCell ref="B7:D7"/>
    <mergeCell ref="B8:D8"/>
    <mergeCell ref="B14:D14"/>
    <mergeCell ref="B15:D15"/>
    <mergeCell ref="B16:D16"/>
    <mergeCell ref="B17:D17"/>
    <mergeCell ref="B18:D18"/>
  </mergeCells>
  <pageMargins left="0.7" right="0.7" top="0.75" bottom="0.75" header="0.3" footer="0.3"/>
  <pageSetup paperSize="9" orientation="portrait" verticalDpi="0" r:id="rId1"/>
  <ignoredErrors>
    <ignoredError sqref="E7:E23"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K21"/>
  <sheetViews>
    <sheetView zoomScale="70" zoomScaleNormal="70" zoomScaleSheetLayoutView="85" workbookViewId="0">
      <selection activeCell="S65" sqref="S65"/>
    </sheetView>
  </sheetViews>
  <sheetFormatPr defaultColWidth="9.109375" defaultRowHeight="13.2" x14ac:dyDescent="0.25"/>
  <cols>
    <col min="1" max="1" width="0.88671875" style="8" customWidth="1"/>
    <col min="2" max="2" width="4" style="8" customWidth="1"/>
    <col min="3" max="3" width="7.6640625" style="8" customWidth="1"/>
    <col min="4" max="4" width="108.88671875" style="8" customWidth="1"/>
    <col min="5" max="5" width="7.33203125" style="21" customWidth="1"/>
    <col min="6" max="11" width="18.6640625" style="8" customWidth="1"/>
    <col min="12" max="16384" width="9.109375" style="8"/>
  </cols>
  <sheetData>
    <row r="1" spans="1:11" x14ac:dyDescent="0.25">
      <c r="A1" s="4" t="s">
        <v>87</v>
      </c>
    </row>
    <row r="2" spans="1:11" ht="27.75" customHeight="1" x14ac:dyDescent="0.25">
      <c r="B2" s="255" t="s">
        <v>218</v>
      </c>
      <c r="C2" s="255"/>
      <c r="D2" s="255"/>
      <c r="E2" s="255"/>
      <c r="F2" s="255"/>
      <c r="G2" s="255"/>
      <c r="H2" s="255"/>
      <c r="I2" s="255"/>
      <c r="J2" s="255"/>
      <c r="K2" s="255"/>
    </row>
    <row r="3" spans="1:11" s="69" customFormat="1" ht="19.5" customHeight="1" x14ac:dyDescent="0.25">
      <c r="B3" s="91"/>
      <c r="C3" s="91"/>
      <c r="D3" s="91"/>
      <c r="E3" s="91"/>
      <c r="F3" s="91"/>
      <c r="G3" s="91"/>
      <c r="J3" s="91" t="s">
        <v>90</v>
      </c>
      <c r="K3" s="107">
        <f>list01!C4</f>
        <v>0</v>
      </c>
    </row>
    <row r="4" spans="1:11" ht="45" customHeight="1" x14ac:dyDescent="0.25">
      <c r="B4" s="257" t="s">
        <v>207</v>
      </c>
      <c r="C4" s="257"/>
      <c r="D4" s="257"/>
      <c r="E4" s="257"/>
      <c r="F4" s="257"/>
      <c r="G4" s="257"/>
      <c r="H4" s="257"/>
      <c r="I4" s="257"/>
      <c r="J4" s="257"/>
      <c r="K4" s="257"/>
    </row>
    <row r="5" spans="1:11" s="4" customFormat="1" ht="249" customHeight="1" x14ac:dyDescent="0.25">
      <c r="B5" s="330" t="s">
        <v>186</v>
      </c>
      <c r="C5" s="330"/>
      <c r="D5" s="330"/>
      <c r="E5" s="101" t="s">
        <v>113</v>
      </c>
      <c r="F5" s="101" t="s">
        <v>208</v>
      </c>
      <c r="G5" s="101" t="s">
        <v>209</v>
      </c>
      <c r="H5" s="101" t="s">
        <v>210</v>
      </c>
      <c r="I5" s="101" t="s">
        <v>211</v>
      </c>
      <c r="J5" s="101" t="s">
        <v>212</v>
      </c>
      <c r="K5" s="101" t="s">
        <v>213</v>
      </c>
    </row>
    <row r="6" spans="1:11" s="4" customFormat="1" ht="18.75" customHeight="1" x14ac:dyDescent="0.25">
      <c r="B6" s="330">
        <v>1</v>
      </c>
      <c r="C6" s="330"/>
      <c r="D6" s="330"/>
      <c r="E6" s="101">
        <f>+B6+1</f>
        <v>2</v>
      </c>
      <c r="F6" s="101">
        <f t="shared" ref="F6:K6" si="0">+E6+1</f>
        <v>3</v>
      </c>
      <c r="G6" s="101">
        <f t="shared" si="0"/>
        <v>4</v>
      </c>
      <c r="H6" s="101">
        <f t="shared" si="0"/>
        <v>5</v>
      </c>
      <c r="I6" s="101">
        <f t="shared" si="0"/>
        <v>6</v>
      </c>
      <c r="J6" s="101">
        <f t="shared" si="0"/>
        <v>7</v>
      </c>
      <c r="K6" s="101">
        <f t="shared" si="0"/>
        <v>8</v>
      </c>
    </row>
    <row r="7" spans="1:11" s="18" customFormat="1" ht="23.25" customHeight="1" x14ac:dyDescent="0.25">
      <c r="B7" s="349" t="s">
        <v>275</v>
      </c>
      <c r="C7" s="350"/>
      <c r="D7" s="350"/>
      <c r="E7" s="54" t="s">
        <v>0</v>
      </c>
      <c r="F7" s="84"/>
      <c r="G7" s="84"/>
      <c r="H7" s="84"/>
      <c r="I7" s="84"/>
      <c r="J7" s="84"/>
      <c r="K7" s="85"/>
    </row>
    <row r="8" spans="1:11" ht="23.25" customHeight="1" x14ac:dyDescent="0.25">
      <c r="B8" s="334" t="s">
        <v>214</v>
      </c>
      <c r="C8" s="335"/>
      <c r="D8" s="335"/>
      <c r="E8" s="10" t="s">
        <v>1</v>
      </c>
      <c r="F8" s="7"/>
      <c r="G8" s="7"/>
      <c r="H8" s="7"/>
      <c r="I8" s="7"/>
      <c r="J8" s="7"/>
      <c r="K8" s="40"/>
    </row>
    <row r="9" spans="1:11" ht="23.25" customHeight="1" x14ac:dyDescent="0.25">
      <c r="B9" s="334" t="s">
        <v>215</v>
      </c>
      <c r="C9" s="335"/>
      <c r="D9" s="335"/>
      <c r="E9" s="10" t="s">
        <v>4</v>
      </c>
      <c r="F9" s="7"/>
      <c r="G9" s="7"/>
      <c r="H9" s="7"/>
      <c r="I9" s="7"/>
      <c r="J9" s="7"/>
      <c r="K9" s="40"/>
    </row>
    <row r="10" spans="1:11" ht="23.25" customHeight="1" x14ac:dyDescent="0.25">
      <c r="B10" s="334" t="s">
        <v>216</v>
      </c>
      <c r="C10" s="335"/>
      <c r="D10" s="335"/>
      <c r="E10" s="10" t="s">
        <v>2</v>
      </c>
      <c r="F10" s="7"/>
      <c r="G10" s="7"/>
      <c r="H10" s="7"/>
      <c r="I10" s="7"/>
      <c r="J10" s="7"/>
      <c r="K10" s="40"/>
    </row>
    <row r="11" spans="1:11" ht="23.25" customHeight="1" x14ac:dyDescent="0.25">
      <c r="B11" s="334" t="s">
        <v>256</v>
      </c>
      <c r="C11" s="335"/>
      <c r="D11" s="335"/>
      <c r="E11" s="10" t="s">
        <v>6</v>
      </c>
      <c r="F11" s="3">
        <f t="shared" ref="F11:K11" si="1">IF((F8-F9+F10)&gt;0,(F8-F9+F10),0)</f>
        <v>0</v>
      </c>
      <c r="G11" s="3">
        <f t="shared" si="1"/>
        <v>0</v>
      </c>
      <c r="H11" s="3">
        <f t="shared" si="1"/>
        <v>0</v>
      </c>
      <c r="I11" s="3">
        <f t="shared" si="1"/>
        <v>0</v>
      </c>
      <c r="J11" s="3">
        <f t="shared" si="1"/>
        <v>0</v>
      </c>
      <c r="K11" s="23">
        <f t="shared" si="1"/>
        <v>0</v>
      </c>
    </row>
    <row r="12" spans="1:11" ht="23.25" customHeight="1" x14ac:dyDescent="0.25">
      <c r="B12" s="334" t="s">
        <v>255</v>
      </c>
      <c r="C12" s="335"/>
      <c r="D12" s="335"/>
      <c r="E12" s="10" t="s">
        <v>7</v>
      </c>
      <c r="F12" s="3">
        <f t="shared" ref="F12:K12" si="2">IF((F8-F9+F10)&lt;0,(F8-F9+F10),0)</f>
        <v>0</v>
      </c>
      <c r="G12" s="3">
        <f t="shared" si="2"/>
        <v>0</v>
      </c>
      <c r="H12" s="3">
        <f t="shared" si="2"/>
        <v>0</v>
      </c>
      <c r="I12" s="3">
        <f t="shared" si="2"/>
        <v>0</v>
      </c>
      <c r="J12" s="3">
        <f t="shared" si="2"/>
        <v>0</v>
      </c>
      <c r="K12" s="23">
        <f t="shared" si="2"/>
        <v>0</v>
      </c>
    </row>
    <row r="13" spans="1:11" ht="23.25" customHeight="1" x14ac:dyDescent="0.25">
      <c r="B13" s="334" t="s">
        <v>254</v>
      </c>
      <c r="C13" s="335"/>
      <c r="D13" s="335"/>
      <c r="E13" s="19" t="s">
        <v>8</v>
      </c>
      <c r="F13" s="3">
        <f t="shared" ref="F13:K13" si="3">IF((F11-F7)&gt;0,(F11-F7),0)</f>
        <v>0</v>
      </c>
      <c r="G13" s="3">
        <f t="shared" si="3"/>
        <v>0</v>
      </c>
      <c r="H13" s="3">
        <f t="shared" si="3"/>
        <v>0</v>
      </c>
      <c r="I13" s="3">
        <f t="shared" si="3"/>
        <v>0</v>
      </c>
      <c r="J13" s="3">
        <f t="shared" si="3"/>
        <v>0</v>
      </c>
      <c r="K13" s="23">
        <f t="shared" si="3"/>
        <v>0</v>
      </c>
    </row>
    <row r="14" spans="1:11" ht="23.25" customHeight="1" x14ac:dyDescent="0.25">
      <c r="B14" s="352" t="s">
        <v>276</v>
      </c>
      <c r="C14" s="353"/>
      <c r="D14" s="353"/>
      <c r="E14" s="86" t="s">
        <v>9</v>
      </c>
      <c r="F14" s="64"/>
      <c r="G14" s="64"/>
      <c r="H14" s="64"/>
      <c r="I14" s="64"/>
      <c r="J14" s="64"/>
      <c r="K14" s="87"/>
    </row>
    <row r="15" spans="1:11" ht="27" customHeight="1" x14ac:dyDescent="0.25">
      <c r="B15" s="266" t="s">
        <v>217</v>
      </c>
      <c r="C15" s="266"/>
      <c r="D15" s="266"/>
      <c r="E15" s="266"/>
      <c r="F15" s="266"/>
      <c r="G15" s="266"/>
      <c r="H15" s="266"/>
      <c r="I15" s="266"/>
      <c r="J15" s="266"/>
      <c r="K15" s="266"/>
    </row>
    <row r="16" spans="1:11" ht="20.100000000000001" customHeight="1" x14ac:dyDescent="0.25">
      <c r="C16" s="4"/>
      <c r="D16" s="4" t="s">
        <v>91</v>
      </c>
      <c r="E16" s="4"/>
      <c r="F16" s="4"/>
    </row>
    <row r="17" spans="2:6" x14ac:dyDescent="0.25">
      <c r="B17" s="1"/>
      <c r="C17" s="1"/>
      <c r="D17" s="46"/>
      <c r="E17" s="1"/>
      <c r="F17" s="1"/>
    </row>
    <row r="18" spans="2:6" ht="20.100000000000001" customHeight="1" x14ac:dyDescent="0.25">
      <c r="C18" s="4"/>
      <c r="D18" s="4" t="s">
        <v>94</v>
      </c>
      <c r="E18" s="4"/>
      <c r="F18" s="4"/>
    </row>
    <row r="19" spans="2:6" x14ac:dyDescent="0.25">
      <c r="B19" s="1"/>
      <c r="C19" s="1"/>
      <c r="D19" s="46"/>
      <c r="E19" s="1"/>
      <c r="F19" s="1"/>
    </row>
    <row r="21" spans="2:6" x14ac:dyDescent="0.25">
      <c r="B21" s="351"/>
      <c r="C21" s="351"/>
      <c r="D21" s="351"/>
    </row>
  </sheetData>
  <mergeCells count="14">
    <mergeCell ref="B15:K15"/>
    <mergeCell ref="B21:D21"/>
    <mergeCell ref="B9:D9"/>
    <mergeCell ref="B10:D10"/>
    <mergeCell ref="B11:D11"/>
    <mergeCell ref="B12:D12"/>
    <mergeCell ref="B13:D13"/>
    <mergeCell ref="B14:D14"/>
    <mergeCell ref="B8:D8"/>
    <mergeCell ref="B2:K2"/>
    <mergeCell ref="B4:K4"/>
    <mergeCell ref="B5:D5"/>
    <mergeCell ref="B6:D6"/>
    <mergeCell ref="B7:D7"/>
  </mergeCells>
  <printOptions horizontalCentered="1"/>
  <pageMargins left="0.17" right="0.17" top="0.26" bottom="0.17" header="0.17" footer="0.17"/>
  <pageSetup paperSize="9" scale="60" orientation="landscape" r:id="rId1"/>
  <headerFooter alignWithMargins="0"/>
  <ignoredErrors>
    <ignoredError sqref="E7:E14"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E35"/>
  <sheetViews>
    <sheetView zoomScale="85" zoomScaleNormal="85" zoomScaleSheetLayoutView="100" workbookViewId="0">
      <selection activeCell="S65" sqref="S65"/>
    </sheetView>
  </sheetViews>
  <sheetFormatPr defaultColWidth="9.109375" defaultRowHeight="13.2" x14ac:dyDescent="0.25"/>
  <cols>
    <col min="1" max="1" width="0.88671875" style="1" customWidth="1"/>
    <col min="2" max="2" width="149.44140625" style="1" customWidth="1"/>
    <col min="3" max="3" width="8.44140625" style="1" customWidth="1"/>
    <col min="4" max="4" width="19.6640625" style="1" bestFit="1" customWidth="1"/>
    <col min="5" max="16384" width="9.109375" style="1"/>
  </cols>
  <sheetData>
    <row r="1" spans="1:5" x14ac:dyDescent="0.25">
      <c r="A1" s="4" t="s">
        <v>88</v>
      </c>
    </row>
    <row r="2" spans="1:5" ht="22.5" customHeight="1" x14ac:dyDescent="0.25">
      <c r="B2" s="255" t="s">
        <v>367</v>
      </c>
      <c r="C2" s="255"/>
      <c r="D2" s="255"/>
    </row>
    <row r="3" spans="1:5" x14ac:dyDescent="0.25">
      <c r="C3" s="1" t="s">
        <v>90</v>
      </c>
      <c r="D3" s="92">
        <f>list01!C4</f>
        <v>0</v>
      </c>
    </row>
    <row r="4" spans="1:5" ht="27" customHeight="1" x14ac:dyDescent="0.25">
      <c r="B4" s="289" t="s">
        <v>219</v>
      </c>
      <c r="C4" s="289"/>
      <c r="D4" s="289"/>
    </row>
    <row r="5" spans="1:5" ht="26.4" x14ac:dyDescent="0.25">
      <c r="B5" s="101" t="s">
        <v>186</v>
      </c>
      <c r="C5" s="101" t="s">
        <v>113</v>
      </c>
      <c r="D5" s="101" t="s">
        <v>3</v>
      </c>
    </row>
    <row r="6" spans="1:5" ht="15" customHeight="1" x14ac:dyDescent="0.25">
      <c r="B6" s="70" t="s">
        <v>220</v>
      </c>
      <c r="C6" s="63" t="s">
        <v>0</v>
      </c>
      <c r="D6" s="39"/>
    </row>
    <row r="7" spans="1:5" ht="15" customHeight="1" x14ac:dyDescent="0.25">
      <c r="B7" s="99" t="s">
        <v>221</v>
      </c>
      <c r="C7" s="57" t="s">
        <v>1</v>
      </c>
      <c r="D7" s="40"/>
    </row>
    <row r="8" spans="1:5" ht="15" customHeight="1" x14ac:dyDescent="0.25">
      <c r="B8" s="99" t="s">
        <v>222</v>
      </c>
      <c r="C8" s="57" t="s">
        <v>4</v>
      </c>
      <c r="D8" s="23">
        <f>list02!D7</f>
        <v>0</v>
      </c>
    </row>
    <row r="9" spans="1:5" s="5" customFormat="1" ht="15" customHeight="1" x14ac:dyDescent="0.25">
      <c r="A9" s="1"/>
      <c r="B9" s="99" t="s">
        <v>223</v>
      </c>
      <c r="C9" s="57" t="s">
        <v>2</v>
      </c>
      <c r="D9" s="23">
        <f>IF(D8&gt;0,(D6/D8*100),0)</f>
        <v>0</v>
      </c>
      <c r="E9" s="1"/>
    </row>
    <row r="10" spans="1:5" ht="15" customHeight="1" x14ac:dyDescent="0.25">
      <c r="B10" s="99" t="s">
        <v>328</v>
      </c>
      <c r="C10" s="57" t="s">
        <v>6</v>
      </c>
      <c r="D10" s="23">
        <f>IF(list01!L34&lt;0,0,list01!L34)</f>
        <v>0</v>
      </c>
    </row>
    <row r="11" spans="1:5" s="5" customFormat="1" ht="15" customHeight="1" x14ac:dyDescent="0.25">
      <c r="A11" s="1"/>
      <c r="B11" s="99" t="s">
        <v>224</v>
      </c>
      <c r="C11" s="57" t="s">
        <v>7</v>
      </c>
      <c r="D11" s="23">
        <f>D10*D9/100</f>
        <v>0</v>
      </c>
      <c r="E11" s="1"/>
    </row>
    <row r="12" spans="1:5" ht="15" customHeight="1" x14ac:dyDescent="0.25">
      <c r="B12" s="99" t="s">
        <v>329</v>
      </c>
      <c r="C12" s="57" t="s">
        <v>8</v>
      </c>
      <c r="D12" s="23">
        <f>list01!L36</f>
        <v>0</v>
      </c>
    </row>
    <row r="13" spans="1:5" s="5" customFormat="1" ht="15" customHeight="1" x14ac:dyDescent="0.25">
      <c r="A13" s="1"/>
      <c r="B13" s="99" t="s">
        <v>225</v>
      </c>
      <c r="C13" s="57" t="s">
        <v>9</v>
      </c>
      <c r="D13" s="23">
        <f>D11*D12/100</f>
        <v>0</v>
      </c>
      <c r="E13" s="1"/>
    </row>
    <row r="14" spans="1:5" s="5" customFormat="1" ht="15" customHeight="1" x14ac:dyDescent="0.25">
      <c r="A14" s="1"/>
      <c r="B14" s="105" t="s">
        <v>226</v>
      </c>
      <c r="C14" s="37" t="s">
        <v>10</v>
      </c>
      <c r="D14" s="26">
        <f>IF(D7&gt;D13,D13,D7)</f>
        <v>0</v>
      </c>
      <c r="E14" s="1"/>
    </row>
    <row r="15" spans="1:5" x14ac:dyDescent="0.25">
      <c r="B15" s="266" t="s">
        <v>139</v>
      </c>
      <c r="C15" s="266"/>
      <c r="D15" s="266"/>
    </row>
    <row r="16" spans="1:5" ht="20.100000000000001" customHeight="1" x14ac:dyDescent="0.25">
      <c r="B16" s="266" t="s">
        <v>227</v>
      </c>
      <c r="C16" s="266"/>
      <c r="D16" s="266"/>
    </row>
    <row r="17" spans="2:4" ht="40.5" customHeight="1" x14ac:dyDescent="0.25">
      <c r="B17" s="266" t="s">
        <v>228</v>
      </c>
      <c r="C17" s="266"/>
      <c r="D17" s="266"/>
    </row>
    <row r="18" spans="2:4" ht="20.100000000000001" customHeight="1" x14ac:dyDescent="0.25">
      <c r="B18" s="298" t="s">
        <v>91</v>
      </c>
      <c r="C18" s="298"/>
      <c r="D18" s="298"/>
    </row>
    <row r="19" spans="2:4" ht="15" customHeight="1" x14ac:dyDescent="0.25">
      <c r="B19" s="11"/>
      <c r="C19" s="254"/>
      <c r="D19" s="254"/>
    </row>
    <row r="20" spans="2:4" ht="20.100000000000001" customHeight="1" x14ac:dyDescent="0.25">
      <c r="B20" s="298" t="s">
        <v>94</v>
      </c>
      <c r="C20" s="298"/>
      <c r="D20" s="298"/>
    </row>
    <row r="21" spans="2:4" ht="15" customHeight="1" x14ac:dyDescent="0.25">
      <c r="B21" s="11"/>
      <c r="C21" s="254"/>
      <c r="D21" s="254"/>
    </row>
    <row r="33" spans="2:4" x14ac:dyDescent="0.25">
      <c r="B33" s="298"/>
      <c r="C33" s="298"/>
      <c r="D33" s="298"/>
    </row>
    <row r="35" spans="2:4" x14ac:dyDescent="0.25">
      <c r="B35" s="298"/>
      <c r="C35" s="298"/>
      <c r="D35" s="298"/>
    </row>
  </sheetData>
  <mergeCells count="11">
    <mergeCell ref="C19:D19"/>
    <mergeCell ref="B20:D20"/>
    <mergeCell ref="C21:D21"/>
    <mergeCell ref="B33:D33"/>
    <mergeCell ref="B35:D35"/>
    <mergeCell ref="B18:D18"/>
    <mergeCell ref="B2:D2"/>
    <mergeCell ref="B4:D4"/>
    <mergeCell ref="B15:D15"/>
    <mergeCell ref="B16:D16"/>
    <mergeCell ref="B17:D17"/>
  </mergeCells>
  <pageMargins left="0.74803149606299213" right="0.74803149606299213" top="0.98425196850393704" bottom="0.98425196850393704" header="0.51181102362204722" footer="0.51181102362204722"/>
  <pageSetup paperSize="9" scale="69" orientation="portrait" r:id="rId1"/>
  <headerFooter alignWithMargins="0"/>
  <ignoredErrors>
    <ignoredError sqref="C6:C14"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D34"/>
  <sheetViews>
    <sheetView zoomScale="85" zoomScaleNormal="85" zoomScaleSheetLayoutView="85" workbookViewId="0">
      <selection activeCell="G53" sqref="G53"/>
    </sheetView>
  </sheetViews>
  <sheetFormatPr defaultColWidth="9.109375" defaultRowHeight="13.2" x14ac:dyDescent="0.25"/>
  <cols>
    <col min="1" max="1" width="1.5546875" style="4" customWidth="1"/>
    <col min="2" max="2" width="147.6640625" style="4" customWidth="1"/>
    <col min="3" max="3" width="7.5546875" style="4" customWidth="1"/>
    <col min="4" max="4" width="20.6640625" style="4" customWidth="1"/>
    <col min="5" max="16384" width="9.109375" style="4"/>
  </cols>
  <sheetData>
    <row r="1" spans="1:4" x14ac:dyDescent="0.25">
      <c r="A1" s="4" t="s">
        <v>89</v>
      </c>
    </row>
    <row r="2" spans="1:4" ht="21.75" customHeight="1" x14ac:dyDescent="0.25">
      <c r="B2" s="259" t="s">
        <v>368</v>
      </c>
      <c r="C2" s="259"/>
      <c r="D2" s="259"/>
    </row>
    <row r="3" spans="1:4" x14ac:dyDescent="0.25">
      <c r="C3" s="104" t="s">
        <v>90</v>
      </c>
      <c r="D3" s="92">
        <f>list01!C4</f>
        <v>0</v>
      </c>
    </row>
    <row r="4" spans="1:4" ht="53.25" customHeight="1" x14ac:dyDescent="0.25">
      <c r="B4" s="289" t="s">
        <v>229</v>
      </c>
      <c r="C4" s="289"/>
      <c r="D4" s="289"/>
    </row>
    <row r="5" spans="1:4" ht="26.4" x14ac:dyDescent="0.25">
      <c r="B5" s="101" t="s">
        <v>186</v>
      </c>
      <c r="C5" s="101" t="s">
        <v>113</v>
      </c>
      <c r="D5" s="101" t="s">
        <v>3</v>
      </c>
    </row>
    <row r="6" spans="1:4" ht="15" customHeight="1" x14ac:dyDescent="0.25">
      <c r="B6" s="70" t="s">
        <v>230</v>
      </c>
      <c r="C6" s="63" t="s">
        <v>0</v>
      </c>
      <c r="D6" s="29">
        <f>D7+D12</f>
        <v>0</v>
      </c>
    </row>
    <row r="7" spans="1:4" ht="15" customHeight="1" x14ac:dyDescent="0.25">
      <c r="B7" s="99" t="s">
        <v>231</v>
      </c>
      <c r="C7" s="57" t="s">
        <v>5</v>
      </c>
      <c r="D7" s="23">
        <f>D8+D10</f>
        <v>0</v>
      </c>
    </row>
    <row r="8" spans="1:4" ht="15" customHeight="1" x14ac:dyDescent="0.25">
      <c r="B8" s="62" t="s">
        <v>232</v>
      </c>
      <c r="C8" s="57" t="s">
        <v>28</v>
      </c>
      <c r="D8" s="40"/>
    </row>
    <row r="9" spans="1:4" ht="15" customHeight="1" x14ac:dyDescent="0.25">
      <c r="B9" s="99" t="s">
        <v>233</v>
      </c>
      <c r="C9" s="57" t="s">
        <v>29</v>
      </c>
      <c r="D9" s="40"/>
    </row>
    <row r="10" spans="1:4" ht="15" customHeight="1" x14ac:dyDescent="0.25">
      <c r="B10" s="62" t="s">
        <v>234</v>
      </c>
      <c r="C10" s="57" t="s">
        <v>30</v>
      </c>
      <c r="D10" s="40"/>
    </row>
    <row r="11" spans="1:4" ht="15" customHeight="1" x14ac:dyDescent="0.25">
      <c r="B11" s="99" t="s">
        <v>235</v>
      </c>
      <c r="C11" s="57" t="s">
        <v>31</v>
      </c>
      <c r="D11" s="40"/>
    </row>
    <row r="12" spans="1:4" ht="15" customHeight="1" x14ac:dyDescent="0.25">
      <c r="B12" s="99" t="s">
        <v>236</v>
      </c>
      <c r="C12" s="57" t="s">
        <v>19</v>
      </c>
      <c r="D12" s="40"/>
    </row>
    <row r="13" spans="1:4" ht="26.4" x14ac:dyDescent="0.25">
      <c r="B13" s="99" t="s">
        <v>237</v>
      </c>
      <c r="C13" s="57" t="s">
        <v>1</v>
      </c>
      <c r="D13" s="23">
        <f>D14+D15</f>
        <v>0</v>
      </c>
    </row>
    <row r="14" spans="1:4" ht="15" customHeight="1" x14ac:dyDescent="0.25">
      <c r="B14" s="62" t="s">
        <v>238</v>
      </c>
      <c r="C14" s="57" t="s">
        <v>32</v>
      </c>
      <c r="D14" s="40"/>
    </row>
    <row r="15" spans="1:4" ht="15" customHeight="1" x14ac:dyDescent="0.25">
      <c r="B15" s="62" t="s">
        <v>239</v>
      </c>
      <c r="C15" s="57" t="s">
        <v>33</v>
      </c>
      <c r="D15" s="40"/>
    </row>
    <row r="16" spans="1:4" ht="15" customHeight="1" x14ac:dyDescent="0.25">
      <c r="B16" s="99" t="s">
        <v>240</v>
      </c>
      <c r="C16" s="57" t="s">
        <v>4</v>
      </c>
      <c r="D16" s="40"/>
    </row>
    <row r="17" spans="2:4" ht="15" customHeight="1" x14ac:dyDescent="0.25">
      <c r="B17" s="99" t="s">
        <v>241</v>
      </c>
      <c r="C17" s="57" t="s">
        <v>2</v>
      </c>
      <c r="D17" s="23">
        <f>D6*D16</f>
        <v>0</v>
      </c>
    </row>
    <row r="18" spans="2:4" ht="15" customHeight="1" x14ac:dyDescent="0.25">
      <c r="B18" s="62" t="s">
        <v>242</v>
      </c>
      <c r="C18" s="57" t="s">
        <v>23</v>
      </c>
      <c r="D18" s="23">
        <f>D8*D16</f>
        <v>0</v>
      </c>
    </row>
    <row r="19" spans="2:4" ht="15" customHeight="1" x14ac:dyDescent="0.25">
      <c r="B19" s="62" t="s">
        <v>243</v>
      </c>
      <c r="C19" s="57" t="s">
        <v>24</v>
      </c>
      <c r="D19" s="23">
        <f>D10*D16</f>
        <v>0</v>
      </c>
    </row>
    <row r="20" spans="2:4" ht="15" customHeight="1" x14ac:dyDescent="0.25">
      <c r="B20" s="62" t="s">
        <v>244</v>
      </c>
      <c r="C20" s="57" t="s">
        <v>25</v>
      </c>
      <c r="D20" s="23">
        <f>D12*D16</f>
        <v>0</v>
      </c>
    </row>
    <row r="21" spans="2:4" ht="42.75" customHeight="1" x14ac:dyDescent="0.25">
      <c r="B21" s="99" t="s">
        <v>245</v>
      </c>
      <c r="C21" s="57" t="s">
        <v>6</v>
      </c>
      <c r="D21" s="23">
        <f>D22+D23+D24+D25</f>
        <v>0</v>
      </c>
    </row>
    <row r="22" spans="2:4" ht="15" customHeight="1" x14ac:dyDescent="0.25">
      <c r="B22" s="62" t="s">
        <v>246</v>
      </c>
      <c r="C22" s="57" t="s">
        <v>26</v>
      </c>
      <c r="D22" s="40"/>
    </row>
    <row r="23" spans="2:4" ht="15" customHeight="1" x14ac:dyDescent="0.25">
      <c r="B23" s="62" t="s">
        <v>247</v>
      </c>
      <c r="C23" s="57" t="s">
        <v>27</v>
      </c>
      <c r="D23" s="23">
        <f>D11*D16</f>
        <v>0</v>
      </c>
    </row>
    <row r="24" spans="2:4" ht="15" customHeight="1" x14ac:dyDescent="0.25">
      <c r="B24" s="62" t="s">
        <v>248</v>
      </c>
      <c r="C24" s="57" t="s">
        <v>34</v>
      </c>
      <c r="D24" s="40"/>
    </row>
    <row r="25" spans="2:4" ht="15" customHeight="1" x14ac:dyDescent="0.25">
      <c r="B25" s="62" t="s">
        <v>249</v>
      </c>
      <c r="C25" s="57" t="s">
        <v>35</v>
      </c>
      <c r="D25" s="23">
        <f>D15*D16</f>
        <v>0</v>
      </c>
    </row>
    <row r="26" spans="2:4" ht="15" customHeight="1" x14ac:dyDescent="0.25">
      <c r="B26" s="105" t="s">
        <v>250</v>
      </c>
      <c r="C26" s="37" t="s">
        <v>7</v>
      </c>
      <c r="D26" s="26">
        <f>D17-D21</f>
        <v>0</v>
      </c>
    </row>
    <row r="27" spans="2:4" x14ac:dyDescent="0.25">
      <c r="B27" s="96"/>
      <c r="C27" s="82"/>
      <c r="D27" s="81"/>
    </row>
    <row r="28" spans="2:4" ht="15.75" customHeight="1" x14ac:dyDescent="0.25">
      <c r="B28" s="266" t="s">
        <v>177</v>
      </c>
      <c r="C28" s="266"/>
      <c r="D28" s="266"/>
    </row>
    <row r="29" spans="2:4" ht="38.25" customHeight="1" x14ac:dyDescent="0.25">
      <c r="B29" s="266" t="s">
        <v>251</v>
      </c>
      <c r="C29" s="266"/>
      <c r="D29" s="266"/>
    </row>
    <row r="30" spans="2:4" ht="41.25" customHeight="1" x14ac:dyDescent="0.25">
      <c r="B30" s="266" t="s">
        <v>252</v>
      </c>
      <c r="C30" s="266"/>
      <c r="D30" s="266"/>
    </row>
    <row r="31" spans="2:4" ht="20.100000000000001" customHeight="1" x14ac:dyDescent="0.25">
      <c r="B31" s="4" t="s">
        <v>91</v>
      </c>
    </row>
    <row r="32" spans="2:4" ht="15" customHeight="1" x14ac:dyDescent="0.25">
      <c r="B32" s="97"/>
      <c r="C32" s="282"/>
      <c r="D32" s="282"/>
    </row>
    <row r="33" spans="2:4" ht="20.100000000000001" customHeight="1" x14ac:dyDescent="0.25">
      <c r="B33" s="4" t="s">
        <v>94</v>
      </c>
    </row>
    <row r="34" spans="2:4" ht="15" customHeight="1" x14ac:dyDescent="0.25">
      <c r="B34" s="97"/>
      <c r="C34" s="282"/>
      <c r="D34" s="282"/>
    </row>
  </sheetData>
  <mergeCells count="7">
    <mergeCell ref="C34:D34"/>
    <mergeCell ref="B2:D2"/>
    <mergeCell ref="B4:D4"/>
    <mergeCell ref="B28:D28"/>
    <mergeCell ref="B29:D29"/>
    <mergeCell ref="B30:D30"/>
    <mergeCell ref="C32:D32"/>
  </mergeCells>
  <pageMargins left="0.31" right="0.27" top="0.56000000000000005" bottom="0.65" header="0.51181102362204722" footer="0.51181102362204722"/>
  <pageSetup paperSize="9" scale="76" orientation="portrait" r:id="rId1"/>
  <headerFooter alignWithMargins="0"/>
  <ignoredErrors>
    <ignoredError sqref="C6:C26"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F58"/>
  <sheetViews>
    <sheetView zoomScale="85" zoomScaleNormal="85" workbookViewId="0">
      <selection activeCell="B5" sqref="B5:F53"/>
    </sheetView>
  </sheetViews>
  <sheetFormatPr defaultColWidth="9.109375" defaultRowHeight="13.2" x14ac:dyDescent="0.25"/>
  <cols>
    <col min="1" max="1" width="1.44140625" style="211" customWidth="1"/>
    <col min="2" max="4" width="26.44140625" style="211" customWidth="1"/>
    <col min="5" max="5" width="111.5546875" style="211" customWidth="1"/>
    <col min="6" max="6" width="19.5546875" style="211" customWidth="1"/>
    <col min="7" max="16384" width="9.109375" style="211"/>
  </cols>
  <sheetData>
    <row r="1" spans="2:6" x14ac:dyDescent="0.25">
      <c r="B1" s="359"/>
      <c r="C1" s="359"/>
      <c r="D1" s="359"/>
      <c r="E1" s="359"/>
      <c r="F1" s="359"/>
    </row>
    <row r="2" spans="2:6" x14ac:dyDescent="0.25">
      <c r="B2" s="259" t="s">
        <v>491</v>
      </c>
      <c r="C2" s="259"/>
      <c r="D2" s="259"/>
      <c r="E2" s="259"/>
      <c r="F2" s="259"/>
    </row>
    <row r="3" spans="2:6" x14ac:dyDescent="0.25">
      <c r="B3" s="212"/>
      <c r="C3" s="212"/>
      <c r="D3" s="212"/>
      <c r="E3" s="91" t="s">
        <v>90</v>
      </c>
      <c r="F3" s="92">
        <f>list01!C4</f>
        <v>0</v>
      </c>
    </row>
    <row r="4" spans="2:6" ht="66.75" customHeight="1" x14ac:dyDescent="0.25">
      <c r="B4" s="358" t="s">
        <v>487</v>
      </c>
      <c r="C4" s="358"/>
      <c r="D4" s="358"/>
      <c r="E4" s="358"/>
      <c r="F4" s="358"/>
    </row>
    <row r="5" spans="2:6" ht="16.05" customHeight="1" x14ac:dyDescent="0.25">
      <c r="B5" s="355"/>
      <c r="C5" s="356"/>
      <c r="D5" s="356"/>
      <c r="E5" s="356"/>
      <c r="F5" s="357"/>
    </row>
    <row r="6" spans="2:6" ht="4.05" customHeight="1" x14ac:dyDescent="0.25">
      <c r="B6" s="358"/>
      <c r="C6" s="358"/>
      <c r="D6" s="358"/>
      <c r="E6" s="358"/>
      <c r="F6" s="358"/>
    </row>
    <row r="7" spans="2:6" ht="16.05" customHeight="1" x14ac:dyDescent="0.25">
      <c r="B7" s="355"/>
      <c r="C7" s="356"/>
      <c r="D7" s="356"/>
      <c r="E7" s="356"/>
      <c r="F7" s="357"/>
    </row>
    <row r="8" spans="2:6" ht="4.05" customHeight="1" x14ac:dyDescent="0.25">
      <c r="B8" s="358"/>
      <c r="C8" s="358"/>
      <c r="D8" s="358"/>
      <c r="E8" s="358"/>
      <c r="F8" s="358"/>
    </row>
    <row r="9" spans="2:6" ht="16.05" customHeight="1" x14ac:dyDescent="0.25">
      <c r="B9" s="355"/>
      <c r="C9" s="356"/>
      <c r="D9" s="356"/>
      <c r="E9" s="356"/>
      <c r="F9" s="357"/>
    </row>
    <row r="10" spans="2:6" ht="4.05" customHeight="1" x14ac:dyDescent="0.25">
      <c r="B10" s="358"/>
      <c r="C10" s="358"/>
      <c r="D10" s="358"/>
      <c r="E10" s="358"/>
      <c r="F10" s="358"/>
    </row>
    <row r="11" spans="2:6" ht="16.05" customHeight="1" x14ac:dyDescent="0.25">
      <c r="B11" s="355"/>
      <c r="C11" s="356"/>
      <c r="D11" s="356"/>
      <c r="E11" s="356"/>
      <c r="F11" s="357"/>
    </row>
    <row r="12" spans="2:6" ht="4.05" customHeight="1" x14ac:dyDescent="0.25">
      <c r="B12" s="358"/>
      <c r="C12" s="358"/>
      <c r="D12" s="358"/>
      <c r="E12" s="358"/>
      <c r="F12" s="358"/>
    </row>
    <row r="13" spans="2:6" ht="16.05" customHeight="1" x14ac:dyDescent="0.25">
      <c r="B13" s="355"/>
      <c r="C13" s="356"/>
      <c r="D13" s="356"/>
      <c r="E13" s="356"/>
      <c r="F13" s="357"/>
    </row>
    <row r="14" spans="2:6" ht="4.05" customHeight="1" x14ac:dyDescent="0.25">
      <c r="B14" s="358"/>
      <c r="C14" s="358"/>
      <c r="D14" s="358"/>
      <c r="E14" s="358"/>
      <c r="F14" s="358"/>
    </row>
    <row r="15" spans="2:6" ht="16.05" customHeight="1" x14ac:dyDescent="0.25">
      <c r="B15" s="355"/>
      <c r="C15" s="356"/>
      <c r="D15" s="356"/>
      <c r="E15" s="356"/>
      <c r="F15" s="357"/>
    </row>
    <row r="16" spans="2:6" ht="4.05" customHeight="1" x14ac:dyDescent="0.25">
      <c r="B16" s="358"/>
      <c r="C16" s="358"/>
      <c r="D16" s="358"/>
      <c r="E16" s="358"/>
      <c r="F16" s="358"/>
    </row>
    <row r="17" spans="2:6" ht="16.05" customHeight="1" x14ac:dyDescent="0.25">
      <c r="B17" s="355"/>
      <c r="C17" s="356"/>
      <c r="D17" s="356"/>
      <c r="E17" s="356"/>
      <c r="F17" s="357"/>
    </row>
    <row r="18" spans="2:6" ht="4.05" customHeight="1" x14ac:dyDescent="0.25">
      <c r="B18" s="358"/>
      <c r="C18" s="358"/>
      <c r="D18" s="358"/>
      <c r="E18" s="358"/>
      <c r="F18" s="358"/>
    </row>
    <row r="19" spans="2:6" ht="16.05" customHeight="1" x14ac:dyDescent="0.25">
      <c r="B19" s="355"/>
      <c r="C19" s="356"/>
      <c r="D19" s="356"/>
      <c r="E19" s="356"/>
      <c r="F19" s="357"/>
    </row>
    <row r="20" spans="2:6" ht="4.05" customHeight="1" x14ac:dyDescent="0.25">
      <c r="B20" s="358"/>
      <c r="C20" s="358"/>
      <c r="D20" s="358"/>
      <c r="E20" s="358"/>
      <c r="F20" s="358"/>
    </row>
    <row r="21" spans="2:6" ht="16.05" customHeight="1" x14ac:dyDescent="0.25">
      <c r="B21" s="355"/>
      <c r="C21" s="356"/>
      <c r="D21" s="356"/>
      <c r="E21" s="356"/>
      <c r="F21" s="357"/>
    </row>
    <row r="22" spans="2:6" ht="4.05" customHeight="1" x14ac:dyDescent="0.25">
      <c r="B22" s="358"/>
      <c r="C22" s="358"/>
      <c r="D22" s="358"/>
      <c r="E22" s="358"/>
      <c r="F22" s="358"/>
    </row>
    <row r="23" spans="2:6" ht="16.05" customHeight="1" x14ac:dyDescent="0.25">
      <c r="B23" s="355"/>
      <c r="C23" s="356"/>
      <c r="D23" s="356"/>
      <c r="E23" s="356"/>
      <c r="F23" s="357"/>
    </row>
    <row r="24" spans="2:6" ht="4.05" customHeight="1" x14ac:dyDescent="0.25">
      <c r="B24" s="358"/>
      <c r="C24" s="358"/>
      <c r="D24" s="358"/>
      <c r="E24" s="358"/>
      <c r="F24" s="358"/>
    </row>
    <row r="25" spans="2:6" ht="16.05" customHeight="1" x14ac:dyDescent="0.25">
      <c r="B25" s="355"/>
      <c r="C25" s="356"/>
      <c r="D25" s="356"/>
      <c r="E25" s="356"/>
      <c r="F25" s="357"/>
    </row>
    <row r="26" spans="2:6" ht="4.05" customHeight="1" x14ac:dyDescent="0.25">
      <c r="B26" s="358"/>
      <c r="C26" s="358"/>
      <c r="D26" s="358"/>
      <c r="E26" s="358"/>
      <c r="F26" s="358"/>
    </row>
    <row r="27" spans="2:6" ht="16.05" customHeight="1" x14ac:dyDescent="0.25">
      <c r="B27" s="355"/>
      <c r="C27" s="356"/>
      <c r="D27" s="356"/>
      <c r="E27" s="356"/>
      <c r="F27" s="357"/>
    </row>
    <row r="28" spans="2:6" ht="4.05" customHeight="1" x14ac:dyDescent="0.25">
      <c r="B28" s="358"/>
      <c r="C28" s="358"/>
      <c r="D28" s="358"/>
      <c r="E28" s="358"/>
      <c r="F28" s="358"/>
    </row>
    <row r="29" spans="2:6" ht="16.05" customHeight="1" x14ac:dyDescent="0.25">
      <c r="B29" s="355"/>
      <c r="C29" s="356"/>
      <c r="D29" s="356"/>
      <c r="E29" s="356"/>
      <c r="F29" s="357"/>
    </row>
    <row r="30" spans="2:6" ht="4.05" customHeight="1" x14ac:dyDescent="0.25">
      <c r="B30" s="358"/>
      <c r="C30" s="358"/>
      <c r="D30" s="358"/>
      <c r="E30" s="358"/>
      <c r="F30" s="358"/>
    </row>
    <row r="31" spans="2:6" ht="16.05" customHeight="1" x14ac:dyDescent="0.25">
      <c r="B31" s="355"/>
      <c r="C31" s="356"/>
      <c r="D31" s="356"/>
      <c r="E31" s="356"/>
      <c r="F31" s="357"/>
    </row>
    <row r="32" spans="2:6" ht="4.05" customHeight="1" x14ac:dyDescent="0.25">
      <c r="B32" s="358"/>
      <c r="C32" s="358"/>
      <c r="D32" s="358"/>
      <c r="E32" s="358"/>
      <c r="F32" s="358"/>
    </row>
    <row r="33" spans="2:6" ht="16.05" customHeight="1" x14ac:dyDescent="0.25">
      <c r="B33" s="355"/>
      <c r="C33" s="356"/>
      <c r="D33" s="356"/>
      <c r="E33" s="356"/>
      <c r="F33" s="357"/>
    </row>
    <row r="34" spans="2:6" ht="4.05" customHeight="1" x14ac:dyDescent="0.25">
      <c r="B34" s="358"/>
      <c r="C34" s="358"/>
      <c r="D34" s="358"/>
      <c r="E34" s="358"/>
      <c r="F34" s="358"/>
    </row>
    <row r="35" spans="2:6" ht="16.05" customHeight="1" x14ac:dyDescent="0.25">
      <c r="B35" s="355"/>
      <c r="C35" s="356"/>
      <c r="D35" s="356"/>
      <c r="E35" s="356"/>
      <c r="F35" s="357"/>
    </row>
    <row r="36" spans="2:6" ht="4.05" customHeight="1" x14ac:dyDescent="0.25">
      <c r="B36" s="358"/>
      <c r="C36" s="358"/>
      <c r="D36" s="358"/>
      <c r="E36" s="358"/>
      <c r="F36" s="358"/>
    </row>
    <row r="37" spans="2:6" ht="16.05" customHeight="1" x14ac:dyDescent="0.25">
      <c r="B37" s="355"/>
      <c r="C37" s="356"/>
      <c r="D37" s="356"/>
      <c r="E37" s="356"/>
      <c r="F37" s="357"/>
    </row>
    <row r="38" spans="2:6" ht="4.05" customHeight="1" x14ac:dyDescent="0.25">
      <c r="B38" s="358"/>
      <c r="C38" s="358"/>
      <c r="D38" s="358"/>
      <c r="E38" s="358"/>
      <c r="F38" s="358"/>
    </row>
    <row r="39" spans="2:6" ht="16.05" customHeight="1" x14ac:dyDescent="0.25">
      <c r="B39" s="355"/>
      <c r="C39" s="356"/>
      <c r="D39" s="356"/>
      <c r="E39" s="356"/>
      <c r="F39" s="357"/>
    </row>
    <row r="40" spans="2:6" ht="4.05" customHeight="1" x14ac:dyDescent="0.25">
      <c r="B40" s="358"/>
      <c r="C40" s="358"/>
      <c r="D40" s="358"/>
      <c r="E40" s="358"/>
      <c r="F40" s="358"/>
    </row>
    <row r="41" spans="2:6" ht="16.05" customHeight="1" x14ac:dyDescent="0.25">
      <c r="B41" s="355"/>
      <c r="C41" s="356"/>
      <c r="D41" s="356"/>
      <c r="E41" s="356"/>
      <c r="F41" s="357"/>
    </row>
    <row r="42" spans="2:6" ht="4.05" customHeight="1" x14ac:dyDescent="0.25">
      <c r="B42" s="358"/>
      <c r="C42" s="358"/>
      <c r="D42" s="358"/>
      <c r="E42" s="358"/>
      <c r="F42" s="358"/>
    </row>
    <row r="43" spans="2:6" ht="16.05" customHeight="1" x14ac:dyDescent="0.25">
      <c r="B43" s="355"/>
      <c r="C43" s="356"/>
      <c r="D43" s="356"/>
      <c r="E43" s="356"/>
      <c r="F43" s="357"/>
    </row>
    <row r="44" spans="2:6" ht="4.05" customHeight="1" x14ac:dyDescent="0.25">
      <c r="B44" s="358"/>
      <c r="C44" s="358"/>
      <c r="D44" s="358"/>
      <c r="E44" s="358"/>
      <c r="F44" s="358"/>
    </row>
    <row r="45" spans="2:6" ht="16.05" customHeight="1" x14ac:dyDescent="0.25">
      <c r="B45" s="355"/>
      <c r="C45" s="356"/>
      <c r="D45" s="356"/>
      <c r="E45" s="356"/>
      <c r="F45" s="357"/>
    </row>
    <row r="46" spans="2:6" ht="4.05" customHeight="1" x14ac:dyDescent="0.25">
      <c r="B46" s="358"/>
      <c r="C46" s="358"/>
      <c r="D46" s="358"/>
      <c r="E46" s="358"/>
      <c r="F46" s="358"/>
    </row>
    <row r="47" spans="2:6" ht="16.05" customHeight="1" x14ac:dyDescent="0.25">
      <c r="B47" s="355"/>
      <c r="C47" s="356"/>
      <c r="D47" s="356"/>
      <c r="E47" s="356"/>
      <c r="F47" s="357"/>
    </row>
    <row r="48" spans="2:6" ht="4.05" customHeight="1" x14ac:dyDescent="0.25">
      <c r="B48" s="358"/>
      <c r="C48" s="358"/>
      <c r="D48" s="358"/>
      <c r="E48" s="358"/>
      <c r="F48" s="358"/>
    </row>
    <row r="49" spans="2:6" ht="16.05" customHeight="1" x14ac:dyDescent="0.25">
      <c r="B49" s="355"/>
      <c r="C49" s="356"/>
      <c r="D49" s="356"/>
      <c r="E49" s="356"/>
      <c r="F49" s="357"/>
    </row>
    <row r="50" spans="2:6" ht="4.05" customHeight="1" x14ac:dyDescent="0.25">
      <c r="B50" s="358"/>
      <c r="C50" s="358"/>
      <c r="D50" s="358"/>
      <c r="E50" s="358"/>
      <c r="F50" s="358"/>
    </row>
    <row r="51" spans="2:6" ht="16.05" customHeight="1" x14ac:dyDescent="0.25">
      <c r="B51" s="355"/>
      <c r="C51" s="356"/>
      <c r="D51" s="356"/>
      <c r="E51" s="356"/>
      <c r="F51" s="357"/>
    </row>
    <row r="52" spans="2:6" ht="4.05" customHeight="1" x14ac:dyDescent="0.25">
      <c r="B52" s="358"/>
      <c r="C52" s="358"/>
      <c r="D52" s="358"/>
      <c r="E52" s="358"/>
      <c r="F52" s="358"/>
    </row>
    <row r="53" spans="2:6" ht="16.05" customHeight="1" x14ac:dyDescent="0.25">
      <c r="B53" s="355"/>
      <c r="C53" s="356"/>
      <c r="D53" s="356"/>
      <c r="E53" s="356"/>
      <c r="F53" s="357"/>
    </row>
    <row r="54" spans="2:6" ht="37.5" customHeight="1" x14ac:dyDescent="0.25">
      <c r="B54" s="360" t="s">
        <v>488</v>
      </c>
      <c r="C54" s="360"/>
      <c r="D54" s="360"/>
      <c r="E54" s="360"/>
      <c r="F54" s="360"/>
    </row>
    <row r="55" spans="2:6" x14ac:dyDescent="0.25">
      <c r="B55" s="211" t="s">
        <v>91</v>
      </c>
    </row>
    <row r="56" spans="2:6" x14ac:dyDescent="0.25">
      <c r="B56" s="354"/>
      <c r="C56" s="354"/>
      <c r="D56" s="354"/>
    </row>
    <row r="57" spans="2:6" x14ac:dyDescent="0.25">
      <c r="B57" s="211" t="s">
        <v>94</v>
      </c>
    </row>
    <row r="58" spans="2:6" x14ac:dyDescent="0.25">
      <c r="B58" s="354"/>
      <c r="C58" s="354"/>
      <c r="D58" s="354"/>
    </row>
  </sheetData>
  <mergeCells count="55">
    <mergeCell ref="B46:F46"/>
    <mergeCell ref="B52:F52"/>
    <mergeCell ref="B53:F53"/>
    <mergeCell ref="B47:F47"/>
    <mergeCell ref="B48:F48"/>
    <mergeCell ref="B49:F49"/>
    <mergeCell ref="B50:F50"/>
    <mergeCell ref="B51:F51"/>
    <mergeCell ref="B41:F41"/>
    <mergeCell ref="B42:F42"/>
    <mergeCell ref="B43:F43"/>
    <mergeCell ref="B44:F44"/>
    <mergeCell ref="B45:F45"/>
    <mergeCell ref="B36:F36"/>
    <mergeCell ref="B37:F37"/>
    <mergeCell ref="B38:F38"/>
    <mergeCell ref="B39:F39"/>
    <mergeCell ref="B40:F40"/>
    <mergeCell ref="B31:F31"/>
    <mergeCell ref="B32:F32"/>
    <mergeCell ref="B33:F33"/>
    <mergeCell ref="B34:F34"/>
    <mergeCell ref="B35:F35"/>
    <mergeCell ref="B2:F2"/>
    <mergeCell ref="B1:F1"/>
    <mergeCell ref="B4:F4"/>
    <mergeCell ref="B54:F54"/>
    <mergeCell ref="B56:D56"/>
    <mergeCell ref="B12:F12"/>
    <mergeCell ref="B13:F13"/>
    <mergeCell ref="B14:F14"/>
    <mergeCell ref="B15:F15"/>
    <mergeCell ref="B16:F16"/>
    <mergeCell ref="B17:F17"/>
    <mergeCell ref="B18:F18"/>
    <mergeCell ref="B19:F19"/>
    <mergeCell ref="B20:F20"/>
    <mergeCell ref="B21:F21"/>
    <mergeCell ref="B22:F22"/>
    <mergeCell ref="B58:D58"/>
    <mergeCell ref="B5:F5"/>
    <mergeCell ref="B6:F6"/>
    <mergeCell ref="B7:F7"/>
    <mergeCell ref="B8:F8"/>
    <mergeCell ref="B9:F9"/>
    <mergeCell ref="B10:F10"/>
    <mergeCell ref="B11:F11"/>
    <mergeCell ref="B23:F23"/>
    <mergeCell ref="B24:F24"/>
    <mergeCell ref="B25:F25"/>
    <mergeCell ref="B26:F26"/>
    <mergeCell ref="B27:F27"/>
    <mergeCell ref="B28:F28"/>
    <mergeCell ref="B29:F29"/>
    <mergeCell ref="B30:F3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16</vt:i4>
      </vt:variant>
      <vt:variant>
        <vt:lpstr>Именованные диапазоны</vt:lpstr>
      </vt:variant>
      <vt:variant>
        <vt:i4>12</vt:i4>
      </vt:variant>
    </vt:vector>
  </HeadingPairs>
  <TitlesOfParts>
    <vt:vector size="28" baseType="lpstr">
      <vt:lpstr>list01</vt:lpstr>
      <vt:lpstr>list02</vt:lpstr>
      <vt:lpstr>list03</vt:lpstr>
      <vt:lpstr>list04</vt:lpstr>
      <vt:lpstr>list05</vt:lpstr>
      <vt:lpstr>list06</vt:lpstr>
      <vt:lpstr>list07</vt:lpstr>
      <vt:lpstr>list08</vt:lpstr>
      <vt:lpstr>list09</vt:lpstr>
      <vt:lpstr>list10</vt:lpstr>
      <vt:lpstr>list11</vt:lpstr>
      <vt:lpstr>list12</vt:lpstr>
      <vt:lpstr>list13</vt:lpstr>
      <vt:lpstr>list14</vt:lpstr>
      <vt:lpstr>list15</vt:lpstr>
      <vt:lpstr>list16</vt:lpstr>
      <vt:lpstr>list14!OLE_LINK14</vt:lpstr>
      <vt:lpstr>list01!Область_печати</vt:lpstr>
      <vt:lpstr>list02!Область_печати</vt:lpstr>
      <vt:lpstr>list03!Область_печати</vt:lpstr>
      <vt:lpstr>list04!Область_печати</vt:lpstr>
      <vt:lpstr>list05!Область_печати</vt:lpstr>
      <vt:lpstr>list06!Область_печати</vt:lpstr>
      <vt:lpstr>list07!Область_печати</vt:lpstr>
      <vt:lpstr>list10!Область_печати</vt:lpstr>
      <vt:lpstr>list13!Область_печати</vt:lpstr>
      <vt:lpstr>list14!Область_печати</vt:lpstr>
      <vt:lpstr>list15!Область_печати</vt:lpstr>
    </vt:vector>
  </TitlesOfParts>
  <Company>SICNT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Saxiybek</dc:creator>
  <cp:lastModifiedBy>acer</cp:lastModifiedBy>
  <cp:lastPrinted>2023-03-05T16:53:44Z</cp:lastPrinted>
  <dcterms:created xsi:type="dcterms:W3CDTF">2007-07-18T19:20:15Z</dcterms:created>
  <dcterms:modified xsi:type="dcterms:W3CDTF">2025-03-27T08:44:04Z</dcterms:modified>
</cp:coreProperties>
</file>