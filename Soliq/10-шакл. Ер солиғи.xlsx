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!! 2024\5_Май\01_Турсунбоев\Хисобот\"/>
    </mc:Choice>
  </mc:AlternateContent>
  <xr:revisionPtr revIDLastSave="0" documentId="13_ncr:1_{49ADFDC5-8A00-427C-BAC6-B1DFA16DC92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вод" sheetId="8" r:id="rId1"/>
    <sheet name="Ноқишлоқ" sheetId="2" r:id="rId2"/>
    <sheet name="Ноқишлоқ-илова" sheetId="6" r:id="rId3"/>
    <sheet name="Қишлоқ" sheetId="9" r:id="rId4"/>
    <sheet name="Қишлоқ-илова" sheetId="10" r:id="rId5"/>
  </sheets>
  <definedNames>
    <definedName name="_xlnm.Print_Area" localSheetId="1">Ноқишлоқ!$A$1:$I$23</definedName>
    <definedName name="_xlnm.Print_Area" localSheetId="2">'Ноқишлоқ-илова'!$A$1:$P$24</definedName>
    <definedName name="_xlnm.Print_Area" localSheetId="0">Свод!$A$1:$J$12</definedName>
  </definedNames>
  <calcPr calcId="181029"/>
  <webPublishObjects count="32">
    <webPublishObject id="12668" divId="Zemliya_12668" destinationFile="C:\Documents and Settings\Farhod\Desktop\15.02.2008\Zemliya\Zemliya 2\db\Zemliyaru.htm"/>
    <webPublishObject id="3491" divId="Zemliya_3491" destinationFile="C:\Documents and Settings\Farhod\Desktop\15.02.2008\Zemliya\Zemliya 2\db\Zemliyaru.htm"/>
    <webPublishObject id="20912" divId="Zemliya_20912" destinationFile="C:\Documents and Settings\Farhod\Desktop\15.02.2008\Zemliya\Zemliya 2\db\Zemliyaru.htm"/>
    <webPublishObject id="31261" divId="Zemliya_31261" destinationFile="C:\Documents and Settings\Farhod\Desktop\15.02.2008\Zemliya\Zemliya 2\db\Zemliyaru.htm"/>
    <webPublishObject id="11333" divId="Zemliya_11333" destinationFile="C:\Documents and Settings\Farhod\Desktop\15.02.2008\Zemliya\Zemliya 2\db\Zemliyaru.htm"/>
    <webPublishObject id="18640" divId="Zemliya_18640" destinationFile="C:\Documents and Settings\Farhod\Desktop\15.02.2008\Zemliya\Zemliya 2\db\Zemliyaru.htm"/>
    <webPublishObject id="32346" divId="Zemliya_32346" destinationFile="C:\Documents and Settings\Farhod\Desktop\15.02.2008\Zemliya\Zemliya 2.1\db\Zemliyaru.htm"/>
    <webPublishObject id="4277" divId="Zemliya_4277" destinationFile="C:\Documents and Settings\Farhod\Desktop\15.02.2008\Zemliya\Zemliya 2\db\Zemliyaru.htm"/>
    <webPublishObject id="8838" divId="Zemliya_8838" destinationFile="C:\Documents and Settings\Farhod\Desktop\15.02.2008\Zemliya\Zemliya 2\db\Zemliyaru.htm"/>
    <webPublishObject id="2177" divId="Zemliya_2177" destinationFile="C:\Documents and Settings\Farhod\Desktop\15.02.2008\Zemliya\Zemliya 2\db\Zemliyaru.htm"/>
    <webPublishObject id="30943" divId="Zemliya_30943" destinationFile="C:\Documents and Settings\Farhod\Desktop\15.02.2008\Zemliya\Zemliya 2\db\Zemliyaru.htm"/>
    <webPublishObject id="9758" divId="Zemliya_9758" destinationFile="C:\Documents and Settings\Farhod\Desktop\15.02.2008\Zemliya\Zemliya 2\db\Zemliyaru.htm"/>
    <webPublishObject id="17634" divId="Zemliya_17634" destinationFile="C:\Documents and Settings\Farhod\Desktop\15.02.2008\Zemliya\Zemliya 2\db\Zemliyaru.htm"/>
    <webPublishObject id="25815" divId="Zemliya_25815" destinationFile="C:\Documents and Settings\Farhod\Desktop\15.02.2008\Zemliya\Zemliya 2\db\Zemliyaru.htm"/>
    <webPublishObject id="21194" divId="Zemliya_21194" destinationFile="C:\Documents and Settings\Farhod\Desktop\15.02.2008\Zemliya\Zemliya 2\db\Zemliyaru.htm"/>
    <webPublishObject id="6138" divId="Zemliya_6138" destinationFile="C:\Documents and Settings\Farhod\Desktop\15.02.2008\Zemliya\Zemliya 2\db\Zemliyaru.htm"/>
    <webPublishObject id="29375" divId="Zemliya_29375" destinationFile="C:\Documents and Settings\Farhod\Desktop\15.02.2008\Zemliya\Zemliya 2\db\Zemliyaru.htm"/>
    <webPublishObject id="27803" divId="Zemliya_27803" destinationFile="C:\Documents and Settings\Farhod\Desktop\15.02.2008\Zemliya\Zemliya 2\db\Zemliyaru.htm"/>
    <webPublishObject id="641" divId="Zemliya_641" destinationFile="C:\Documents and Settings\Farhod\Desktop\15.02.2008\Zemliya\Zemliya 2\db\Zemliyaru.htm"/>
    <webPublishObject id="7543" divId="Zemliya_7543" destinationFile="C:\Documents and Settings\Farhod\Desktop\15.02.2008\Zemliya\Zemliya 2\db\Zemliyaru.htm"/>
    <webPublishObject id="12907" divId="Zemliya_12907" destinationFile="C:\Documents and Settings\Farhod\Desktop\15.02.2008\Zemliya\Zemliya 2\db\Zemliyaru.htm"/>
    <webPublishObject id="21779" divId="Zemliya_21779" destinationFile="C:\Documents and Settings\Farhod\Desktop\15.02.2008\Zemliya\Zemliya 2\db\Zemliyaru.htm"/>
    <webPublishObject id="25161" divId="Zemliya_25161" destinationFile="C:\Documents and Settings\Farhod\Desktop\15.02.2008\Zemliya\Zemliya 2\db\Zemliyaru.htm"/>
    <webPublishObject id="30746" divId="Zemliya_30746" destinationFile="C:\Documents and Settings\Farhod\Desktop\15.02.2008\Zemliya\Zemliya 2\db\Zemliyaru.htm"/>
    <webPublishObject id="28457" divId="Zemliya_28457" destinationFile="C:\Documents and Settings\Farhod\Desktop\15.02.2008\Zemliya\Zemliya 2\db\Zemliyaru.htm"/>
    <webPublishObject id="302" divId="Zemliya_302" destinationFile="D:\elektronika\20.03.2008.10.20\Zemliya\NE_SELXOZ\PO_YUR\db\Zemliyaru.htm"/>
    <webPublishObject id="6595" divId="Zemliya_6595" destinationFile="D:\elektronika\20.03.2008.10.20\Zemliya\NE_SELXOZ\PO_YUR\db\Zemliyaru.htm"/>
    <webPublishObject id="5556" divId="Zemliya_5556" destinationFile="D:\elektronika\20.03.2008.10.20\Zemliya\NE_SELXOZ\PO_YUR\db\Zemliyaru.htm"/>
    <webPublishObject id="6900" divId="Zemliya_6900" destinationFile="D:\elektronika\20.03.2008.10.20\Zemliya\NE_SELXOZ\PO_YUR\db\Zemliyaru.htm"/>
    <webPublishObject id="29573" divId="Zemliya_29573" destinationFile="D:\Farhod_el\ot_uz\Zemliya(112;113;115)\NE_SELXOZ\PO_YUR\ru\Zemliyaru1.htm"/>
    <webPublishObject id="10738" divId="Zemliya_10738" destinationFile="D:\Farhod_el\ot_uz\Zemliya(112;113;115)\NE_SELXOZ\PO_YUR\ru\Zemliyaru1.htm"/>
    <webPublishObject id="9673" divId="Zemliya_9673" destinationFile="D:\Farhod_el\ot_uz\Zemliya(112;113;115)\NE_SELXOZ\PO_YUR\ru\Zemliyaru.htm"/>
  </webPublishObject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7" i="8" l="1"/>
  <c r="G7" i="8"/>
  <c r="F7" i="8"/>
  <c r="C8" i="8"/>
  <c r="D12" i="8"/>
  <c r="C12" i="8" s="1"/>
  <c r="D11" i="8"/>
  <c r="C11" i="8" s="1"/>
  <c r="D10" i="8"/>
  <c r="D9" i="8"/>
  <c r="D8" i="8"/>
  <c r="C7" i="8" l="1"/>
  <c r="D7" i="8"/>
  <c r="K1" i="6"/>
  <c r="M23" i="6" l="1"/>
  <c r="M22" i="6"/>
  <c r="M21" i="6"/>
  <c r="M20" i="6"/>
  <c r="M19" i="6"/>
  <c r="M18" i="6"/>
  <c r="M17" i="6"/>
  <c r="M16" i="6"/>
  <c r="I15" i="6"/>
  <c r="G15" i="6"/>
  <c r="J8" i="8" l="1"/>
  <c r="E11" i="8"/>
  <c r="I7" i="8"/>
  <c r="E8" i="8" l="1"/>
  <c r="E12" i="8" l="1"/>
  <c r="J12" i="8"/>
  <c r="E15" i="6" l="1"/>
  <c r="L23" i="6"/>
  <c r="N23" i="6" s="1"/>
  <c r="L22" i="6"/>
  <c r="N22" i="6" s="1"/>
  <c r="L21" i="6"/>
  <c r="N21" i="6" s="1"/>
  <c r="L20" i="6"/>
  <c r="N20" i="6" s="1"/>
  <c r="L19" i="6"/>
  <c r="N19" i="6" s="1"/>
  <c r="L18" i="6"/>
  <c r="N18" i="6" s="1"/>
  <c r="L17" i="6"/>
  <c r="N17" i="6" s="1"/>
  <c r="L16" i="6"/>
  <c r="N16" i="6" l="1"/>
  <c r="N15" i="6" s="1"/>
  <c r="L15" i="6"/>
  <c r="F7" i="2"/>
  <c r="F8" i="2"/>
  <c r="G8" i="2"/>
  <c r="F9" i="2" l="1"/>
  <c r="G10" i="2"/>
  <c r="G18" i="2" s="1"/>
  <c r="G7" i="2"/>
  <c r="G20" i="2" l="1"/>
  <c r="G22" i="2"/>
  <c r="G19" i="2"/>
  <c r="G12" i="2"/>
  <c r="G15" i="2"/>
  <c r="G14" i="2"/>
  <c r="G13" i="2"/>
  <c r="G21" i="2"/>
  <c r="G17" i="2"/>
  <c r="G16" i="2"/>
  <c r="G23" i="2" l="1"/>
  <c r="E7" i="8" l="1"/>
  <c r="E9" i="8"/>
  <c r="J9" i="8"/>
  <c r="J7" i="8" l="1"/>
</calcChain>
</file>

<file path=xl/sharedStrings.xml><?xml version="1.0" encoding="utf-8"?>
<sst xmlns="http://schemas.openxmlformats.org/spreadsheetml/2006/main" count="312" uniqueCount="206">
  <si>
    <t>х</t>
  </si>
  <si>
    <t>010</t>
  </si>
  <si>
    <t>020</t>
  </si>
  <si>
    <t>030</t>
  </si>
  <si>
    <t>040</t>
  </si>
  <si>
    <t>0401</t>
  </si>
  <si>
    <t>0402</t>
  </si>
  <si>
    <t>0403</t>
  </si>
  <si>
    <t>0404</t>
  </si>
  <si>
    <t>050</t>
  </si>
  <si>
    <t>0405</t>
  </si>
  <si>
    <t>0406</t>
  </si>
  <si>
    <t>0407</t>
  </si>
  <si>
    <t>0408</t>
  </si>
  <si>
    <t>0409</t>
  </si>
  <si>
    <t>0410</t>
  </si>
  <si>
    <t>Кўрсаткичлар</t>
  </si>
  <si>
    <t>Сатр коди</t>
  </si>
  <si>
    <t>Ер майдони</t>
  </si>
  <si>
    <t>шу жумладан:</t>
  </si>
  <si>
    <t>февраль ой учун – 10 февралгача</t>
  </si>
  <si>
    <t>март ой учун – 10 мартгача</t>
  </si>
  <si>
    <t>апрель ой учун – 10 апрелгача</t>
  </si>
  <si>
    <t>май ой учун – 10 майгача</t>
  </si>
  <si>
    <t>июнь ой учун – 10 июнгача</t>
  </si>
  <si>
    <t>июль ой учун – 10 июлгача</t>
  </si>
  <si>
    <t>август ой учун – 10 августгача</t>
  </si>
  <si>
    <t>сентябрь ой учун – 10 сентябргача</t>
  </si>
  <si>
    <t>октябрь ой учун – 10 октябргача</t>
  </si>
  <si>
    <t>ноябрь ой учун – 10 ноябрча</t>
  </si>
  <si>
    <t>0411</t>
  </si>
  <si>
    <t>декабрь ой учун – 10 декабргача</t>
  </si>
  <si>
    <t>0412</t>
  </si>
  <si>
    <t>Солиқ суммаси</t>
  </si>
  <si>
    <t>Кадастр рақами</t>
  </si>
  <si>
    <t>Ер майдони, гектар</t>
  </si>
  <si>
    <t>Солиқ солинмайдиган ер майдони</t>
  </si>
  <si>
    <t>сана</t>
  </si>
  <si>
    <t>ер майдони гектар</t>
  </si>
  <si>
    <t>суммаси</t>
  </si>
  <si>
    <t>060</t>
  </si>
  <si>
    <t>070</t>
  </si>
  <si>
    <t>080</t>
  </si>
  <si>
    <t>0801</t>
  </si>
  <si>
    <t>0802</t>
  </si>
  <si>
    <t>0803</t>
  </si>
  <si>
    <t>0804</t>
  </si>
  <si>
    <t>0805</t>
  </si>
  <si>
    <t>0806</t>
  </si>
  <si>
    <t>0807</t>
  </si>
  <si>
    <t>0808</t>
  </si>
  <si>
    <t>Солиқ базаси мазкур ҳисоб-китобга 1-илованинг 010-сатр 11-устунлари</t>
  </si>
  <si>
    <t>1. 030-сатрга киритилган ер участкалари бўйича солиқ ставкаси Солиқ кодексининг 429-моддасига кўра автомат тарзда 2 бараварга кўпайтирилади.</t>
  </si>
  <si>
    <t>3. 050-сатрга киритилган ер участкалари бўйича солиқ ставкаси Солиқ кодексининг 429-моддасига кўра 0,1 коэффициент қўлланилган ҳолда ҳисобланади.</t>
  </si>
  <si>
    <t xml:space="preserve">Солиқ тўловчининг ер участкалари тўғрисида </t>
  </si>
  <si>
    <t>МАЪЛУМОТ</t>
  </si>
  <si>
    <t>Изох:</t>
  </si>
  <si>
    <t>Ер участкаси жойлашган жойи</t>
  </si>
  <si>
    <t>Жорий йилда ер участкаси ҳуқуқи пайдо бўлган</t>
  </si>
  <si>
    <t>ер майдони,
гектар</t>
  </si>
  <si>
    <t>Солиқ суммаси
(сўмда)</t>
  </si>
  <si>
    <t>консервацияга қўйилиши тўғрисида Вазирлар Маҳкамасининг қарорлари қабул қилинган объектлар эгаллаган ерлар − уларнинг консервацияси даврида</t>
  </si>
  <si>
    <t>Давлат дастурларига киритилган объектлар қурилиши учун ажратилган ерлар − қурилишнинг норматив муддати даврида</t>
  </si>
  <si>
    <t xml:space="preserve">самолётларнинг учиш-қўниш майдонлари, ерда бошқариш йўлкалари ва тўхташ жойлари, фуқаро авиацияси аэропортларининг радионавигация ва электр ёритиш ускуналари эгаллаган ерлар </t>
  </si>
  <si>
    <t>магистрал нефть ва газ қувурлари банд этган ерлар</t>
  </si>
  <si>
    <t>умумдавлат алоқа линиялари эгаллаган ерлар</t>
  </si>
  <si>
    <t>электр узатиш линиялари, уларнинг подстанциялари ва иншоотлари эгаллаган ерлар</t>
  </si>
  <si>
    <t>ягона иштирокчилари ногиронларнинг жамоат бирлашмалари бўлган ва ходимлар умумий сонининг камида 50 фоизини ногиронлар ташкил этадиган юридик шахслар эгаллаган ерлар (0,25 коэффициент)</t>
  </si>
  <si>
    <t>Йил учун бюджетга тўланиши лозим бўлган жами солиқ суммаси мазкур ҳисоб-китобга 1-илованинг  010-сатр 13-устуни</t>
  </si>
  <si>
    <t>4. 060-сатрга киритилган ер участкалари бўйича солиқ ставкаси Солиқ кодексининг 429-моддасига кўра 0,05 коэффициент қўлланилган ҳолда ҳисобланади.</t>
  </si>
  <si>
    <t>5. 070-сатрга киритилган ер участкалари бўйича солиқ ставкаси Солиқ кодексининг 429-моддасига кўра 0,3 коэффициент қўлланилган ҳолда ҳисобланади.</t>
  </si>
  <si>
    <t>6. 080-сатрга киритилган ер участкалари (0801-сатр бундан мустасно) бўйича солиқ ставкаси Солиқ кодексининг 429-моддасига кўра 0,3 коэффициент қўлланилган ҳолда ҳисобланади.</t>
  </si>
  <si>
    <t>8. 7 ва 8-устунлар жорий йилда ер участкаси ҳуқуқи бекор бўлганда тўлдирилади.</t>
  </si>
  <si>
    <t xml:space="preserve">Солиқ солинадиган база, гектар </t>
  </si>
  <si>
    <t xml:space="preserve">Ер участкаси ҳуқуқи бекор қилинган </t>
  </si>
  <si>
    <t>Солиқ ставкаси, 
1 гектар учун, (сўмда)</t>
  </si>
  <si>
    <t>Жорий солиқ даврининг 1 январидаги ҳолат бўйича қишлоқ хўжалиги учун мўлжалланмаган ерлар учун юридик шахслардан олинадиган ер солиғи</t>
  </si>
  <si>
    <t>Белгиланган ставка бўйича солиқ солинадиган ер участкалари</t>
  </si>
  <si>
    <t>Ер майдонларидан ҳужжатларсиз ёхуд ер учаскасига бўлган ҳуқуқни тасдиқловчи ҳужжатларда кўрсатилганидан каттароқ ҳажмда фойдаланилган ер участкалари</t>
  </si>
  <si>
    <t>Тугалланмаган қурилиш объектларига тегишли ер участкалари</t>
  </si>
  <si>
    <t>Конлар ва карьерлар банд этган ерлар</t>
  </si>
  <si>
    <t>Лалми-яйлов зонада жойлашган конлар ва карьерлар банд этган ерлар</t>
  </si>
  <si>
    <t>Лалми-яйлов зонада жойлашган ерлар</t>
  </si>
  <si>
    <t>Солиқ кодексининг 429-моддасига асосан солиқ ставкасига пасайтирувчи коэффициент кўлланиладиган ер участкалари учун:</t>
  </si>
  <si>
    <t>умумий фойдаланишдаги темир йўллар эгаллаган ерлар</t>
  </si>
  <si>
    <r>
      <t>Юридик шахснинг ер участкалари жами: (</t>
    </r>
    <r>
      <rPr>
        <sz val="9"/>
        <rFont val="Arial"/>
        <family val="2"/>
        <charset val="204"/>
      </rPr>
      <t>020-сатр+030-сатр+040-сатр+050-сатр+060-сатр+070-сатр+080-сатр)</t>
    </r>
  </si>
  <si>
    <t>Ер участкасининг умумий майдони, мазкур ҳисоб-китобга 1-илованинг 010-сатр 4 ва 13-устунлари</t>
  </si>
  <si>
    <t>Солиқ солинмайдиган ер майдони -  мазкур ҳисоб-китобга 1-илованинг 010-сатр 9 ва 10-устунлари</t>
  </si>
  <si>
    <t>9. 9 ва 10-устунлар "E-Imtiyoz" дастурига киритилган объектлар бўйича автоматик шаклланади.</t>
  </si>
  <si>
    <t>7. 5 ва 6-устунлар жорий йилда ер участкаси ҳуқуқи пайдо бўлганда тўлдирилади.</t>
  </si>
  <si>
    <t>Изоҳ</t>
  </si>
  <si>
    <r>
      <t xml:space="preserve">Мазкур сатр </t>
    </r>
    <r>
      <rPr>
        <sz val="10"/>
        <color rgb="FFC00000"/>
        <rFont val="Times New Roman"/>
        <family val="1"/>
        <charset val="204"/>
      </rPr>
      <t>020+..+080</t>
    </r>
    <r>
      <rPr>
        <sz val="10"/>
        <color theme="3"/>
        <rFont val="Times New Roman"/>
        <family val="1"/>
        <charset val="204"/>
      </rPr>
      <t xml:space="preserve"> сатрлар йиғиндисидан автомат шаклланади</t>
    </r>
  </si>
  <si>
    <r>
      <t xml:space="preserve">Мазкур сатрнинг </t>
    </r>
    <r>
      <rPr>
        <sz val="10"/>
        <color rgb="FFC00000"/>
        <rFont val="Times New Roman"/>
        <family val="1"/>
        <charset val="204"/>
      </rPr>
      <t>1,3,4,5,6,7,8,12</t>
    </r>
    <r>
      <rPr>
        <sz val="10"/>
        <color theme="1"/>
        <rFont val="Times New Roman"/>
        <family val="1"/>
        <charset val="204"/>
      </rPr>
      <t xml:space="preserve">-устунлари </t>
    </r>
    <r>
      <rPr>
        <b/>
        <sz val="10"/>
        <color rgb="FF002060"/>
        <rFont val="Times New Roman"/>
        <family val="1"/>
        <charset val="204"/>
      </rPr>
      <t>Кадастр агентлиги</t>
    </r>
    <r>
      <rPr>
        <sz val="10"/>
        <color theme="1"/>
        <rFont val="Times New Roman"/>
        <family val="1"/>
        <charset val="204"/>
      </rPr>
      <t xml:space="preserve"> маълумотлари асосида,</t>
    </r>
    <r>
      <rPr>
        <sz val="10"/>
        <color rgb="FFC00000"/>
        <rFont val="Times New Roman"/>
        <family val="1"/>
        <charset val="204"/>
      </rPr>
      <t xml:space="preserve"> 9,10-</t>
    </r>
    <r>
      <rPr>
        <sz val="10"/>
        <rFont val="Times New Roman"/>
        <family val="1"/>
        <charset val="204"/>
      </rPr>
      <t>устунл</t>
    </r>
    <r>
      <rPr>
        <sz val="10"/>
        <color theme="1"/>
        <rFont val="Times New Roman"/>
        <family val="1"/>
        <charset val="204"/>
      </rPr>
      <t xml:space="preserve">ари                            </t>
    </r>
    <r>
      <rPr>
        <b/>
        <sz val="10"/>
        <color rgb="FF002060"/>
        <rFont val="Times New Roman"/>
        <family val="1"/>
        <charset val="204"/>
      </rPr>
      <t>"Е-Имтиёз"</t>
    </r>
    <r>
      <rPr>
        <sz val="10"/>
        <color theme="1"/>
        <rFont val="Times New Roman"/>
        <family val="1"/>
        <charset val="204"/>
      </rPr>
      <t xml:space="preserve"> дастуридан </t>
    </r>
    <r>
      <rPr>
        <sz val="10"/>
        <color rgb="FFC00000"/>
        <rFont val="Times New Roman"/>
        <family val="1"/>
        <charset val="204"/>
      </rPr>
      <t>11,13-</t>
    </r>
    <r>
      <rPr>
        <sz val="10"/>
        <rFont val="Times New Roman"/>
        <family val="1"/>
        <charset val="204"/>
      </rPr>
      <t>устунлари</t>
    </r>
    <r>
      <rPr>
        <sz val="10"/>
        <color theme="1"/>
        <rFont val="Times New Roman"/>
        <family val="1"/>
        <charset val="204"/>
      </rPr>
      <t xml:space="preserve"> формула орқали </t>
    </r>
    <r>
      <rPr>
        <b/>
        <sz val="10"/>
        <color rgb="FF00B050"/>
        <rFont val="Times New Roman"/>
        <family val="1"/>
        <charset val="204"/>
      </rPr>
      <t>автоматик шаклланади.</t>
    </r>
  </si>
  <si>
    <r>
      <rPr>
        <b/>
        <sz val="10"/>
        <color theme="3"/>
        <rFont val="Times New Roman"/>
        <family val="1"/>
        <charset val="204"/>
      </rPr>
      <t>Мазкур сатр</t>
    </r>
    <r>
      <rPr>
        <sz val="10"/>
        <color theme="1"/>
        <rFont val="Times New Roman"/>
        <family val="1"/>
        <charset val="204"/>
      </rPr>
      <t xml:space="preserve"> </t>
    </r>
    <r>
      <rPr>
        <sz val="10"/>
        <color rgb="FFC00000"/>
        <rFont val="Times New Roman"/>
        <family val="1"/>
        <charset val="204"/>
      </rPr>
      <t>1,3,4,5,6,7,8,12</t>
    </r>
    <r>
      <rPr>
        <sz val="10"/>
        <color theme="1"/>
        <rFont val="Times New Roman"/>
        <family val="1"/>
        <charset val="204"/>
      </rPr>
      <t xml:space="preserve">-устунлари Кадастр агентлиги маълумотлари асосида </t>
    </r>
    <r>
      <rPr>
        <sz val="10"/>
        <color rgb="FFC00000"/>
        <rFont val="Times New Roman"/>
        <family val="1"/>
        <charset val="204"/>
      </rPr>
      <t>11,13</t>
    </r>
    <r>
      <rPr>
        <sz val="10"/>
        <color theme="1"/>
        <rFont val="Times New Roman"/>
        <family val="1"/>
        <charset val="204"/>
      </rPr>
      <t>-устунлар формула орқали</t>
    </r>
    <r>
      <rPr>
        <b/>
        <sz val="10"/>
        <color rgb="FFC00000"/>
        <rFont val="Times New Roman"/>
        <family val="1"/>
        <charset val="204"/>
      </rPr>
      <t xml:space="preserve"> </t>
    </r>
    <r>
      <rPr>
        <b/>
        <sz val="10"/>
        <color rgb="FF00B050"/>
        <rFont val="Times New Roman"/>
        <family val="1"/>
        <charset val="204"/>
      </rPr>
      <t>автоматик шаклланади.</t>
    </r>
    <r>
      <rPr>
        <sz val="10"/>
        <color rgb="FF00B050"/>
        <rFont val="Times New Roman"/>
        <family val="1"/>
        <charset val="204"/>
      </rPr>
      <t xml:space="preserve"> </t>
    </r>
  </si>
  <si>
    <r>
      <t xml:space="preserve">Мазкур сатрнинг </t>
    </r>
    <r>
      <rPr>
        <sz val="10"/>
        <color rgb="FFC00000"/>
        <rFont val="Times New Roman"/>
        <family val="1"/>
        <charset val="204"/>
      </rPr>
      <t>1,3,4,5,6,7,8,12</t>
    </r>
    <r>
      <rPr>
        <sz val="10"/>
        <color theme="1"/>
        <rFont val="Times New Roman"/>
        <family val="1"/>
        <charset val="204"/>
      </rPr>
      <t xml:space="preserve">-устунлари </t>
    </r>
    <r>
      <rPr>
        <b/>
        <sz val="10"/>
        <color rgb="FF002060"/>
        <rFont val="Times New Roman"/>
        <family val="1"/>
        <charset val="204"/>
      </rPr>
      <t>Кадастр агентлиги</t>
    </r>
    <r>
      <rPr>
        <sz val="10"/>
        <color theme="1"/>
        <rFont val="Times New Roman"/>
        <family val="1"/>
        <charset val="204"/>
      </rPr>
      <t xml:space="preserve"> маълумотлари асосида, </t>
    </r>
    <r>
      <rPr>
        <sz val="10"/>
        <color rgb="FFC00000"/>
        <rFont val="Times New Roman"/>
        <family val="1"/>
        <charset val="204"/>
      </rPr>
      <t>9,10</t>
    </r>
    <r>
      <rPr>
        <sz val="10"/>
        <color theme="1"/>
        <rFont val="Times New Roman"/>
        <family val="1"/>
        <charset val="204"/>
      </rPr>
      <t xml:space="preserve">-устунлари                          </t>
    </r>
    <r>
      <rPr>
        <b/>
        <sz val="10"/>
        <color rgb="FF002060"/>
        <rFont val="Times New Roman"/>
        <family val="1"/>
        <charset val="204"/>
      </rPr>
      <t>"Е-Имтиёз"</t>
    </r>
    <r>
      <rPr>
        <sz val="10"/>
        <color theme="1"/>
        <rFont val="Times New Roman"/>
        <family val="1"/>
        <charset val="204"/>
      </rPr>
      <t xml:space="preserve"> дастуридан </t>
    </r>
    <r>
      <rPr>
        <sz val="10"/>
        <color rgb="FFC00000"/>
        <rFont val="Times New Roman"/>
        <family val="1"/>
        <charset val="204"/>
      </rPr>
      <t>11,13-</t>
    </r>
    <r>
      <rPr>
        <sz val="10"/>
        <color theme="1"/>
        <rFont val="Times New Roman"/>
        <family val="1"/>
        <charset val="204"/>
      </rPr>
      <t xml:space="preserve">устунлари формула орқали </t>
    </r>
    <r>
      <rPr>
        <b/>
        <sz val="10"/>
        <color rgb="FF00B050"/>
        <rFont val="Times New Roman"/>
        <family val="1"/>
        <charset val="204"/>
      </rPr>
      <t>автоматик шаклланади.</t>
    </r>
  </si>
  <si>
    <r>
      <t xml:space="preserve">Мазкур сатрнинг </t>
    </r>
    <r>
      <rPr>
        <sz val="10"/>
        <color rgb="FFC00000"/>
        <rFont val="Times New Roman"/>
        <family val="1"/>
        <charset val="204"/>
      </rPr>
      <t>1,3,4,5,6,7,8,12</t>
    </r>
    <r>
      <rPr>
        <sz val="10"/>
        <color theme="1"/>
        <rFont val="Times New Roman"/>
        <family val="1"/>
        <charset val="204"/>
      </rPr>
      <t xml:space="preserve">-устунлари </t>
    </r>
    <r>
      <rPr>
        <b/>
        <sz val="10"/>
        <color rgb="FF002060"/>
        <rFont val="Times New Roman"/>
        <family val="1"/>
        <charset val="204"/>
      </rPr>
      <t>Кадастр агентлиги</t>
    </r>
    <r>
      <rPr>
        <sz val="10"/>
        <color theme="1"/>
        <rFont val="Times New Roman"/>
        <family val="1"/>
        <charset val="204"/>
      </rPr>
      <t xml:space="preserve"> маълумотлари асосида, </t>
    </r>
    <r>
      <rPr>
        <sz val="10"/>
        <color rgb="FFC00000"/>
        <rFont val="Times New Roman"/>
        <family val="1"/>
        <charset val="204"/>
      </rPr>
      <t>9,10</t>
    </r>
    <r>
      <rPr>
        <sz val="10"/>
        <color theme="1"/>
        <rFont val="Times New Roman"/>
        <family val="1"/>
        <charset val="204"/>
      </rPr>
      <t xml:space="preserve">-устунлари                   </t>
    </r>
    <r>
      <rPr>
        <b/>
        <sz val="10"/>
        <color rgb="FF002060"/>
        <rFont val="Times New Roman"/>
        <family val="1"/>
        <charset val="204"/>
      </rPr>
      <t>"Е-Имтиёз"</t>
    </r>
    <r>
      <rPr>
        <sz val="10"/>
        <color theme="1"/>
        <rFont val="Times New Roman"/>
        <family val="1"/>
        <charset val="204"/>
      </rPr>
      <t xml:space="preserve"> дастуридан </t>
    </r>
    <r>
      <rPr>
        <sz val="10"/>
        <color rgb="FFC00000"/>
        <rFont val="Times New Roman"/>
        <family val="1"/>
        <charset val="204"/>
      </rPr>
      <t>11,13-</t>
    </r>
    <r>
      <rPr>
        <sz val="10"/>
        <color theme="1"/>
        <rFont val="Times New Roman"/>
        <family val="1"/>
        <charset val="204"/>
      </rPr>
      <t xml:space="preserve">устунлари формула орқали </t>
    </r>
    <r>
      <rPr>
        <b/>
        <sz val="10"/>
        <color rgb="FF00B050"/>
        <rFont val="Times New Roman"/>
        <family val="1"/>
        <charset val="204"/>
      </rPr>
      <t>автоматик шаклланади.</t>
    </r>
  </si>
  <si>
    <r>
      <t xml:space="preserve">Мазкур устун формула орқали </t>
    </r>
    <r>
      <rPr>
        <i/>
        <sz val="12"/>
        <color rgb="FF00B050"/>
        <rFont val="Arial"/>
        <family val="2"/>
        <charset val="204"/>
      </rPr>
      <t>автомат шакланади</t>
    </r>
  </si>
  <si>
    <r>
      <t xml:space="preserve">Мазкур устун Кадастр агентилиги маълумотидан </t>
    </r>
    <r>
      <rPr>
        <i/>
        <sz val="12"/>
        <color rgb="FF00B050"/>
        <rFont val="Arial"/>
        <family val="2"/>
        <charset val="204"/>
      </rPr>
      <t>автомат шакланади</t>
    </r>
  </si>
  <si>
    <r>
      <t>"</t>
    </r>
    <r>
      <rPr>
        <i/>
        <sz val="12"/>
        <color rgb="FF0070C0"/>
        <rFont val="Arial"/>
        <family val="2"/>
        <charset val="204"/>
      </rPr>
      <t>Е-имтиёз</t>
    </r>
    <r>
      <rPr>
        <i/>
        <sz val="12"/>
        <color theme="1"/>
        <rFont val="Arial"/>
        <family val="2"/>
        <charset val="204"/>
      </rPr>
      <t>" дастурий махсулидан автоматик шаклланади</t>
    </r>
  </si>
  <si>
    <t>январь ой учун – 1 февралгача</t>
  </si>
  <si>
    <t>Изох</t>
  </si>
  <si>
    <t>Ҳисобланган солиқ суммаси тенг улушларда ойларга тақсимланади.</t>
  </si>
  <si>
    <r>
      <rPr>
        <b/>
        <sz val="10"/>
        <color rgb="FF002060"/>
        <rFont val="Times New Roman"/>
        <family val="1"/>
        <charset val="204"/>
      </rPr>
      <t xml:space="preserve">Мазкур сатр 1-илованинг 
010-сатри 4 ва 13-устунларнинг йиғиндисидан </t>
    </r>
    <r>
      <rPr>
        <b/>
        <sz val="10"/>
        <color rgb="FF00B050"/>
        <rFont val="Times New Roman"/>
        <family val="1"/>
        <charset val="204"/>
      </rPr>
      <t>формула орқали шаклланади.</t>
    </r>
  </si>
  <si>
    <r>
      <t xml:space="preserve">ҲИСОБ-КИТОБИ </t>
    </r>
    <r>
      <rPr>
        <b/>
        <sz val="10"/>
        <rFont val="Arial"/>
        <family val="2"/>
        <charset val="204"/>
      </rPr>
      <t xml:space="preserve"> (Айланмадан солиқ тўловчилар бўлмаган)</t>
    </r>
  </si>
  <si>
    <r>
      <rPr>
        <b/>
        <sz val="9"/>
        <color rgb="FF002060"/>
        <rFont val="Times New Roman"/>
        <family val="1"/>
        <charset val="204"/>
      </rPr>
      <t>Мазкур сатр 1-илованинг 010-сатри 9 ва 10-устунларининг йиғиндисидан</t>
    </r>
    <r>
      <rPr>
        <b/>
        <sz val="9"/>
        <rFont val="Times New Roman"/>
        <family val="1"/>
        <charset val="204"/>
      </rPr>
      <t xml:space="preserve"> </t>
    </r>
    <r>
      <rPr>
        <b/>
        <sz val="9"/>
        <color rgb="FF00B050"/>
        <rFont val="Times New Roman"/>
        <family val="1"/>
        <charset val="204"/>
      </rPr>
      <t>формула орқали шаклланади.</t>
    </r>
  </si>
  <si>
    <r>
      <rPr>
        <b/>
        <sz val="9"/>
        <color rgb="FF002060"/>
        <rFont val="Times New Roman"/>
        <family val="1"/>
        <charset val="204"/>
      </rPr>
      <t>Мазкур сатр 1-илованинг 010-сатри 11-устунининг йиғиндисидан</t>
    </r>
    <r>
      <rPr>
        <sz val="9"/>
        <rFont val="Times New Roman"/>
        <family val="1"/>
        <charset val="204"/>
      </rPr>
      <t xml:space="preserve"> </t>
    </r>
    <r>
      <rPr>
        <b/>
        <sz val="9"/>
        <color rgb="FF00B050"/>
        <rFont val="Times New Roman"/>
        <family val="1"/>
        <charset val="204"/>
      </rPr>
      <t>формула орқали шаклланади.</t>
    </r>
  </si>
  <si>
    <r>
      <rPr>
        <b/>
        <sz val="9"/>
        <color rgb="FF002060"/>
        <rFont val="Times New Roman"/>
        <family val="1"/>
        <charset val="204"/>
      </rPr>
      <t>Мазкур сатр 1-илованинг 010-сатри 13-устунининг йиғиндисидан</t>
    </r>
    <r>
      <rPr>
        <sz val="9"/>
        <rFont val="Times New Roman"/>
        <family val="1"/>
        <charset val="204"/>
      </rPr>
      <t xml:space="preserve"> </t>
    </r>
    <r>
      <rPr>
        <b/>
        <sz val="9"/>
        <color rgb="FF00B050"/>
        <rFont val="Times New Roman"/>
        <family val="1"/>
        <charset val="204"/>
      </rPr>
      <t>формула орқали шаклланади.</t>
    </r>
  </si>
  <si>
    <r>
      <t>Юридик шахслардан олинадиган ер солиғининг  ҳисобот шаклини</t>
    </r>
    <r>
      <rPr>
        <b/>
        <sz val="14"/>
        <color rgb="FFFF0000"/>
        <rFont val="Calibri"/>
        <family val="2"/>
        <charset val="204"/>
        <scheme val="minor"/>
      </rPr>
      <t xml:space="preserve"> </t>
    </r>
    <r>
      <rPr>
        <b/>
        <sz val="14"/>
        <color rgb="FFC00000"/>
        <rFont val="Calibri"/>
        <family val="2"/>
        <charset val="204"/>
        <scheme val="minor"/>
      </rPr>
      <t xml:space="preserve">автомат шакллантириш </t>
    </r>
    <r>
      <rPr>
        <b/>
        <sz val="14"/>
        <color rgb="FF002060"/>
        <rFont val="Calibri"/>
        <family val="2"/>
        <charset val="204"/>
        <scheme val="minor"/>
      </rPr>
      <t>юзасидан таҳлилий жадвал 
МАЪЛУМОТ</t>
    </r>
  </si>
  <si>
    <t>Т/р</t>
  </si>
  <si>
    <t>Қўшилган қиймат солиғи
ҳисоботи жадваллари</t>
  </si>
  <si>
    <r>
      <t xml:space="preserve">Жами </t>
    </r>
    <r>
      <rPr>
        <sz val="11"/>
        <color rgb="FF0070C0"/>
        <rFont val="Calibri"/>
        <family val="2"/>
        <charset val="204"/>
        <scheme val="minor"/>
      </rPr>
      <t>катаклар</t>
    </r>
    <r>
      <rPr>
        <sz val="11"/>
        <rFont val="Calibri"/>
        <family val="2"/>
        <charset val="204"/>
        <scheme val="minor"/>
      </rPr>
      <t xml:space="preserve"> сони</t>
    </r>
  </si>
  <si>
    <t>жумладан</t>
  </si>
  <si>
    <t>Автомат шакл-ланади</t>
  </si>
  <si>
    <t>%</t>
  </si>
  <si>
    <t>Қўлда тўлдири-лади</t>
  </si>
  <si>
    <t>Формула орқали йиғинди ва бошқа иловадан келади</t>
  </si>
  <si>
    <t>Солиқ ставкаларни автомат қўйиш ҳисобига</t>
  </si>
  <si>
    <t>ЖАМИ</t>
  </si>
  <si>
    <r>
      <t>Хисоб китоб шакли</t>
    </r>
    <r>
      <rPr>
        <b/>
        <sz val="11"/>
        <color rgb="FF002060"/>
        <rFont val="Calibri"/>
        <family val="2"/>
        <charset val="204"/>
        <scheme val="minor"/>
      </rPr>
      <t xml:space="preserve"> </t>
    </r>
    <r>
      <rPr>
        <b/>
        <i/>
        <sz val="11"/>
        <color rgb="FF002060"/>
        <rFont val="Calibri"/>
        <family val="2"/>
        <charset val="204"/>
        <scheme val="minor"/>
      </rPr>
      <t>(ноқишлоқ)</t>
    </r>
  </si>
  <si>
    <r>
      <rPr>
        <b/>
        <sz val="11"/>
        <color rgb="FF0070C0"/>
        <rFont val="Calibri"/>
        <family val="2"/>
        <charset val="204"/>
        <scheme val="minor"/>
      </rPr>
      <t>1-илова</t>
    </r>
    <r>
      <rPr>
        <sz val="11"/>
        <rFont val="Calibri"/>
        <family val="2"/>
        <charset val="204"/>
        <scheme val="minor"/>
      </rPr>
      <t xml:space="preserve">
</t>
    </r>
    <r>
      <rPr>
        <i/>
        <sz val="10"/>
        <color rgb="FFC00000"/>
        <rFont val="Calibri"/>
        <family val="2"/>
        <charset val="204"/>
        <scheme val="minor"/>
      </rPr>
      <t>(Солиқ тўловчининг ер участкалари тўғрисида маълумот)</t>
    </r>
  </si>
  <si>
    <r>
      <t xml:space="preserve">Хисоб китоб шакли </t>
    </r>
    <r>
      <rPr>
        <b/>
        <i/>
        <sz val="11"/>
        <color rgb="FF002060"/>
        <rFont val="Calibri"/>
        <family val="2"/>
        <charset val="204"/>
        <scheme val="minor"/>
      </rPr>
      <t>(қишлоқ хўжалиги)</t>
    </r>
  </si>
  <si>
    <r>
      <rPr>
        <b/>
        <sz val="11"/>
        <color rgb="FF0070C0"/>
        <rFont val="Calibri"/>
        <family val="2"/>
        <charset val="204"/>
        <scheme val="minor"/>
      </rPr>
      <t xml:space="preserve">1-илова                                                                     </t>
    </r>
    <r>
      <rPr>
        <i/>
        <sz val="10"/>
        <color rgb="FFC00000"/>
        <rFont val="Calibri"/>
        <family val="2"/>
        <charset val="204"/>
        <scheme val="minor"/>
      </rPr>
      <t>(Солиқ тўловчининг ер участкалари тўғрисида маълумот)</t>
    </r>
  </si>
  <si>
    <t>2. 040-сатрга киритилган ер участкалари бўйича солиқ ставкаси Солиқ кодексининг 429-моддасига кўра автомат тарзда 2 бараварга кўпайтирилади.</t>
  </si>
  <si>
    <t>Солиқ ставкаси хар бир коди бўйича автоматик шакллантирилади</t>
  </si>
  <si>
    <r>
      <t xml:space="preserve">Мазкур сатрнинг </t>
    </r>
    <r>
      <rPr>
        <sz val="10"/>
        <color rgb="FFC00000"/>
        <rFont val="Times New Roman"/>
        <family val="1"/>
        <charset val="204"/>
      </rPr>
      <t>3,4,5,6,7,8</t>
    </r>
    <r>
      <rPr>
        <sz val="10"/>
        <color theme="1"/>
        <rFont val="Times New Roman"/>
        <family val="1"/>
        <charset val="204"/>
      </rPr>
      <t xml:space="preserve">-устунлари Интерактив хизмат орқали солиқ тўловчи томонидан </t>
    </r>
    <r>
      <rPr>
        <sz val="10"/>
        <rFont val="Times New Roman"/>
        <family val="1"/>
        <charset val="204"/>
      </rPr>
      <t>юборилган маълумотлар асосида</t>
    </r>
    <r>
      <rPr>
        <sz val="10"/>
        <color theme="1"/>
        <rFont val="Times New Roman"/>
        <family val="1"/>
        <charset val="204"/>
      </rPr>
      <t>.</t>
    </r>
    <r>
      <rPr>
        <i/>
        <sz val="10"/>
        <color theme="1"/>
        <rFont val="Times New Roman"/>
        <family val="1"/>
        <charset val="204"/>
      </rPr>
      <t xml:space="preserve"> (</t>
    </r>
    <r>
      <rPr>
        <i/>
        <sz val="10"/>
        <color rgb="FFC00000"/>
        <rFont val="Times New Roman"/>
        <family val="1"/>
        <charset val="204"/>
      </rPr>
      <t>12-</t>
    </r>
    <r>
      <rPr>
        <i/>
        <sz val="10"/>
        <color theme="1"/>
        <rFont val="Times New Roman"/>
        <family val="1"/>
        <charset val="204"/>
      </rPr>
      <t xml:space="preserve">устун </t>
    </r>
    <r>
      <rPr>
        <i/>
        <sz val="10"/>
        <color rgb="FF00B050"/>
        <rFont val="Times New Roman"/>
        <family val="1"/>
        <charset val="204"/>
      </rPr>
      <t xml:space="preserve">автоматик </t>
    </r>
    <r>
      <rPr>
        <i/>
        <sz val="10"/>
        <color theme="1"/>
        <rFont val="Times New Roman"/>
        <family val="1"/>
        <charset val="204"/>
      </rPr>
      <t xml:space="preserve">равишда, </t>
    </r>
    <r>
      <rPr>
        <i/>
        <sz val="10"/>
        <color rgb="FFC00000"/>
        <rFont val="Times New Roman"/>
        <family val="1"/>
        <charset val="204"/>
      </rPr>
      <t>11-13</t>
    </r>
    <r>
      <rPr>
        <i/>
        <sz val="10"/>
        <color theme="1"/>
        <rFont val="Times New Roman"/>
        <family val="1"/>
        <charset val="204"/>
      </rPr>
      <t>-устунлар формула орқали шаклланади.)</t>
    </r>
  </si>
  <si>
    <t>СТИР</t>
  </si>
  <si>
    <t xml:space="preserve">  
Ҳужжат тури</t>
  </si>
  <si>
    <t>йил</t>
  </si>
  <si>
    <t>Ҳужжат тури: 1 – ҳисоб-китоб, 2 – аниқлаштирувчи (каср орқали аниқлаштирув рақами).</t>
  </si>
  <si>
    <t>Солиқ тўловчининг тўлиқ номи</t>
  </si>
  <si>
    <t>Почта манзили</t>
  </si>
  <si>
    <t>Ҳисоб-китоб топшириш муддати (кун/ой/йил)</t>
  </si>
  <si>
    <t>Тақдим этилади</t>
  </si>
  <si>
    <t>(рўйхатга олинган давлат солиқ хизмати органининг ёки ер майдони жойлашган ҳудуд номи)</t>
  </si>
  <si>
    <t xml:space="preserve">Жорий солиқ даврининг 1 январь ҳолатига қишлоқ хўжалиги учун мўлжалланган </t>
  </si>
  <si>
    <t>ерлар бўйича тўланадиган ер солиғи</t>
  </si>
  <si>
    <t>ҲИСОБ-КИТОБИ</t>
  </si>
  <si>
    <t>Кўрсаткич</t>
  </si>
  <si>
    <t>Ер майдони (гектар)</t>
  </si>
  <si>
    <t>Норматив қиймат</t>
  </si>
  <si>
    <t>Солиқ суммаси (сўмда)</t>
  </si>
  <si>
    <t>Ер участкасининг умумий майдони бўйича
(мос равишда мазкур Ҳисоб-китобга илованинг 010-сатридаги 3, 12, 14-устунлари)</t>
  </si>
  <si>
    <t>Солиқ солинмайдиган ер участкалари бўйича
(мос равишда мазкур Ҳисоб-китобга илованинг 010-сатридаги 9-устун, (9-устун х 11-устун), 10-устун)</t>
  </si>
  <si>
    <t>Солиқ солинадиган ер участкалари бўйича 
(010-сатр - 020-сатр)</t>
  </si>
  <si>
    <t>Бюджетга тўланиши лозим бўлган жами солиқ суммаси
(мазкур Ҳисоб-китобга илованинг 010-сатридаги 14-устун)</t>
  </si>
  <si>
    <t>1 сентябргача (30%)</t>
  </si>
  <si>
    <t>1 декабргача (солиқнинг қолган миқдори)</t>
  </si>
  <si>
    <t>Раҳбар</t>
  </si>
  <si>
    <t>Бош ҳисобчи</t>
  </si>
  <si>
    <t xml:space="preserve">Жорий солиқ даврининг 1 январь ҳолатига қишлоқ хўжалиги учун мўлжалланган ерлар бўйича тўланадиган ер солиғи ҳисоб-китобига 1-ИЛОВА
</t>
  </si>
  <si>
    <t>Сатр
коди</t>
  </si>
  <si>
    <t>Майдон,
гектар</t>
  </si>
  <si>
    <t>Хужжатларсиз ёки ҳуқуқни тасдиқловчи ҳужжатларда кўрсатилганидан каттароқ ҳажмда фойдаланилган ер майдони,                          гектар</t>
  </si>
  <si>
    <t>Ер участкасига ижара ҳуқуқи берилган</t>
  </si>
  <si>
    <t>Ер участкасига ижара ҳуқуқи бекор қилинган</t>
  </si>
  <si>
    <t>Cолиқ солинмайдиган ер участкаси</t>
  </si>
  <si>
    <t>Солиқ солинадиган база, гектар</t>
  </si>
  <si>
    <t>Ернинг норматив қиймати</t>
  </si>
  <si>
    <t>Солиқ ставкаси</t>
  </si>
  <si>
    <t>Сумма</t>
  </si>
  <si>
    <t>ер майдони, гектар</t>
  </si>
  <si>
    <t>ер майдони</t>
  </si>
  <si>
    <t>солиқ суммаси</t>
  </si>
  <si>
    <t>1 гектар учун</t>
  </si>
  <si>
    <t xml:space="preserve">жами ер майдон учун  </t>
  </si>
  <si>
    <t>Жами ер майдони, шу жумладан:</t>
  </si>
  <si>
    <t xml:space="preserve">Экин ерлар: </t>
  </si>
  <si>
    <t>011</t>
  </si>
  <si>
    <t>суғориладиган</t>
  </si>
  <si>
    <t>0111</t>
  </si>
  <si>
    <t>лалми</t>
  </si>
  <si>
    <t>0112</t>
  </si>
  <si>
    <t xml:space="preserve">Боғлар: </t>
  </si>
  <si>
    <t>012</t>
  </si>
  <si>
    <t>0121</t>
  </si>
  <si>
    <t>0122</t>
  </si>
  <si>
    <t xml:space="preserve">Узумзорлар: </t>
  </si>
  <si>
    <t>013</t>
  </si>
  <si>
    <t>0131</t>
  </si>
  <si>
    <t>0132</t>
  </si>
  <si>
    <t>Бошқа кўп йиллик дарахтзорлар:</t>
  </si>
  <si>
    <t>014</t>
  </si>
  <si>
    <t>0141</t>
  </si>
  <si>
    <t>0142</t>
  </si>
  <si>
    <t>Бўз ерлар:</t>
  </si>
  <si>
    <t>015</t>
  </si>
  <si>
    <t>0151</t>
  </si>
  <si>
    <t>0152</t>
  </si>
  <si>
    <t>Пичанзор ва яйловлар:</t>
  </si>
  <si>
    <t>016</t>
  </si>
  <si>
    <t>0161</t>
  </si>
  <si>
    <t>суғорилмайдиган</t>
  </si>
  <si>
    <t>0162</t>
  </si>
  <si>
    <t xml:space="preserve">Ижтимоий иморатлар ва ҳовлилар </t>
  </si>
  <si>
    <t>017</t>
  </si>
  <si>
    <t>Иссиқхоналар</t>
  </si>
  <si>
    <t>018</t>
  </si>
  <si>
    <t>Балиқчилик ҳовузлари</t>
  </si>
  <si>
    <t>019</t>
  </si>
  <si>
    <t>...</t>
  </si>
  <si>
    <r>
      <t xml:space="preserve">Мазкур устун интерактив хизмат орқали </t>
    </r>
    <r>
      <rPr>
        <i/>
        <sz val="12"/>
        <color rgb="FF00B050"/>
        <rFont val="Arial"/>
        <family val="2"/>
        <charset val="204"/>
      </rPr>
      <t>тақдим этилади</t>
    </r>
  </si>
  <si>
    <t>Формула орқали</t>
  </si>
  <si>
    <t>Ўздаверлойиха институти маълумотлари асосида автомат шаклланади</t>
  </si>
  <si>
    <t>Мустақил тўлдирилади</t>
  </si>
  <si>
    <t>АМАЛДА</t>
  </si>
  <si>
    <t>Кадастр агентлиги,  Ўздаерлойиҳа ва интерактив хизмат  маълумоти асосида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</si>
</sst>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#,##0.00_ ;[Red]\-#,##0.00\ "/>
    <numFmt numFmtId="165" formatCode="#,##0.00000_ ;[Red]\-#,##0.00000\ "/>
    <numFmt numFmtId="166" formatCode="#,##0.0000_ ;[Red]\-#,##0.0000\ "/>
    <numFmt numFmtId="167" formatCode="#,##0.0"/>
    <numFmt numFmtId="168" formatCode="#,##0.0_ ;[Red]\-#,##0.0\ "/>
    <numFmt numFmtId="169" formatCode="#,##0_ ;[Red]\-#,##0\ "/>
    <numFmt numFmtId="170" formatCode="0.0"/>
    <numFmt numFmtId="171" formatCode="0.00_ ;[Red]\-0.00\ "/>
  </numFmts>
  <fonts count="7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8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indexed="63"/>
      <name val="Arial"/>
      <family val="2"/>
      <charset val="204"/>
    </font>
    <font>
      <sz val="10"/>
      <color rgb="FFFF0000"/>
      <name val="Arial"/>
      <family val="2"/>
      <charset val="204"/>
    </font>
    <font>
      <sz val="9"/>
      <name val="Arial"/>
      <family val="2"/>
      <charset val="204"/>
    </font>
    <font>
      <b/>
      <sz val="12"/>
      <name val="Arial"/>
      <family val="2"/>
      <charset val="204"/>
    </font>
    <font>
      <sz val="10"/>
      <color theme="1"/>
      <name val="Times New Roman"/>
      <family val="1"/>
      <charset val="204"/>
    </font>
    <font>
      <b/>
      <sz val="10"/>
      <color rgb="FF002060"/>
      <name val="Times New Roman"/>
      <family val="1"/>
      <charset val="204"/>
    </font>
    <font>
      <b/>
      <sz val="10"/>
      <color rgb="FFC00000"/>
      <name val="Times New Roman"/>
      <family val="1"/>
      <charset val="204"/>
    </font>
    <font>
      <b/>
      <sz val="10"/>
      <color rgb="FF00B05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3"/>
      <name val="Times New Roman"/>
      <family val="1"/>
      <charset val="204"/>
    </font>
    <font>
      <b/>
      <sz val="14"/>
      <color rgb="FF0070C0"/>
      <name val="Arial"/>
      <family val="2"/>
      <charset val="204"/>
    </font>
    <font>
      <sz val="10"/>
      <color rgb="FFC00000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0"/>
      <color theme="3"/>
      <name val="Times New Roman"/>
      <family val="1"/>
      <charset val="204"/>
    </font>
    <font>
      <sz val="10"/>
      <color rgb="FF00B050"/>
      <name val="Times New Roman"/>
      <family val="1"/>
      <charset val="204"/>
    </font>
    <font>
      <i/>
      <sz val="10"/>
      <color rgb="FFC00000"/>
      <name val="Times New Roman"/>
      <family val="1"/>
      <charset val="204"/>
    </font>
    <font>
      <i/>
      <sz val="10"/>
      <color rgb="FF00B050"/>
      <name val="Times New Roman"/>
      <family val="1"/>
      <charset val="204"/>
    </font>
    <font>
      <i/>
      <sz val="12"/>
      <color indexed="8"/>
      <name val="Arial"/>
      <family val="2"/>
      <charset val="204"/>
    </font>
    <font>
      <i/>
      <sz val="12"/>
      <color theme="1"/>
      <name val="Arial"/>
      <family val="2"/>
      <charset val="204"/>
    </font>
    <font>
      <i/>
      <sz val="12"/>
      <color rgb="FF00B050"/>
      <name val="Arial"/>
      <family val="2"/>
      <charset val="204"/>
    </font>
    <font>
      <i/>
      <sz val="12"/>
      <name val="Arial"/>
      <family val="2"/>
      <charset val="204"/>
    </font>
    <font>
      <i/>
      <sz val="12"/>
      <color rgb="FF0070C0"/>
      <name val="Arial"/>
      <family val="2"/>
      <charset val="204"/>
    </font>
    <font>
      <b/>
      <sz val="9"/>
      <name val="Times New Roman"/>
      <family val="1"/>
      <charset val="204"/>
    </font>
    <font>
      <b/>
      <sz val="9"/>
      <color rgb="FF002060"/>
      <name val="Times New Roman"/>
      <family val="1"/>
      <charset val="204"/>
    </font>
    <font>
      <b/>
      <sz val="9"/>
      <color rgb="FF00B050"/>
      <name val="Times New Roman"/>
      <family val="1"/>
      <charset val="204"/>
    </font>
    <font>
      <sz val="9"/>
      <name val="Times New Roman"/>
      <family val="1"/>
      <charset val="204"/>
    </font>
    <font>
      <b/>
      <sz val="14"/>
      <color rgb="FF00206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4"/>
      <color rgb="FF0070C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i/>
      <sz val="10"/>
      <color rgb="FFC00000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i/>
      <sz val="10"/>
      <color rgb="FFC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2060"/>
      <name val="Calibri"/>
      <family val="2"/>
      <charset val="204"/>
      <scheme val="minor"/>
    </font>
    <font>
      <b/>
      <i/>
      <sz val="11"/>
      <color rgb="FF00206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sz val="10"/>
      <color rgb="FFC00000"/>
      <name val="Arial"/>
      <family val="2"/>
      <charset val="204"/>
    </font>
    <font>
      <sz val="10"/>
      <color theme="1"/>
      <name val="Arial Cyr"/>
      <charset val="204"/>
    </font>
    <font>
      <b/>
      <sz val="10"/>
      <color theme="1"/>
      <name val="Times New Roman"/>
      <family val="1"/>
      <charset val="204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7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6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0" borderId="0"/>
    <xf numFmtId="0" fontId="2" fillId="0" borderId="0"/>
    <xf numFmtId="0" fontId="6" fillId="0" borderId="0"/>
    <xf numFmtId="43" fontId="68" fillId="0" borderId="0" applyFont="0" applyFill="0" applyBorder="0" applyAlignment="0" applyProtection="0"/>
    <xf numFmtId="0" fontId="6" fillId="0" borderId="0"/>
  </cellStyleXfs>
  <cellXfs count="221">
    <xf numFmtId="0" fontId="0" fillId="0" borderId="0" xfId="0"/>
    <xf numFmtId="0" fontId="3" fillId="0" borderId="0" xfId="0" applyFont="1"/>
    <xf numFmtId="0" fontId="3" fillId="0" borderId="11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10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166" fontId="3" fillId="25" borderId="10" xfId="0" applyNumberFormat="1" applyFont="1" applyFill="1" applyBorder="1" applyAlignment="1">
      <alignment horizontal="center" vertical="center"/>
    </xf>
    <xf numFmtId="14" fontId="3" fillId="0" borderId="10" xfId="0" applyNumberFormat="1" applyFont="1" applyFill="1" applyBorder="1" applyAlignment="1">
      <alignment horizontal="center" vertical="center" wrapText="1"/>
    </xf>
    <xf numFmtId="49" fontId="3" fillId="25" borderId="10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 applyProtection="1">
      <alignment horizontal="center" vertical="center" wrapText="1"/>
      <protection locked="0"/>
    </xf>
    <xf numFmtId="49" fontId="25" fillId="25" borderId="10" xfId="0" applyNumberFormat="1" applyFont="1" applyFill="1" applyBorder="1" applyAlignment="1">
      <alignment horizontal="center" vertical="center"/>
    </xf>
    <xf numFmtId="0" fontId="25" fillId="0" borderId="10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/>
    <xf numFmtId="0" fontId="25" fillId="0" borderId="0" xfId="0" applyFont="1" applyFill="1"/>
    <xf numFmtId="0" fontId="25" fillId="0" borderId="0" xfId="0" applyFont="1" applyFill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0" fontId="26" fillId="0" borderId="0" xfId="0" applyFont="1" applyAlignment="1" applyProtection="1">
      <alignment horizontal="center"/>
      <protection locked="0"/>
    </xf>
    <xf numFmtId="0" fontId="25" fillId="0" borderId="0" xfId="0" applyFont="1" applyAlignment="1">
      <alignment horizontal="center" vertical="center" wrapText="1"/>
    </xf>
    <xf numFmtId="14" fontId="3" fillId="0" borderId="0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vertical="center" wrapText="1"/>
    </xf>
    <xf numFmtId="0" fontId="25" fillId="0" borderId="14" xfId="0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164" fontId="3" fillId="0" borderId="1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vertical="center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0" fontId="26" fillId="0" borderId="0" xfId="0" applyFont="1" applyBorder="1" applyAlignment="1">
      <alignment horizontal="center" vertical="center"/>
    </xf>
    <xf numFmtId="0" fontId="4" fillId="0" borderId="10" xfId="42" applyFont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24" fillId="0" borderId="10" xfId="0" applyFont="1" applyFill="1" applyBorder="1" applyAlignment="1" applyProtection="1">
      <alignment horizontal="center" vertical="center" wrapText="1"/>
      <protection locked="0"/>
    </xf>
    <xf numFmtId="0" fontId="3" fillId="25" borderId="10" xfId="0" applyFont="1" applyFill="1" applyBorder="1" applyAlignment="1">
      <alignment horizontal="left" vertical="center" wrapText="1"/>
    </xf>
    <xf numFmtId="165" fontId="3" fillId="25" borderId="10" xfId="0" applyNumberFormat="1" applyFont="1" applyFill="1" applyBorder="1" applyAlignment="1">
      <alignment horizontal="left" vertical="center" wrapText="1"/>
    </xf>
    <xf numFmtId="165" fontId="25" fillId="25" borderId="10" xfId="0" applyNumberFormat="1" applyFont="1" applyFill="1" applyBorder="1" applyAlignment="1">
      <alignment horizontal="left" vertical="center" wrapText="1"/>
    </xf>
    <xf numFmtId="14" fontId="25" fillId="25" borderId="10" xfId="0" applyNumberFormat="1" applyFont="1" applyFill="1" applyBorder="1" applyAlignment="1">
      <alignment horizontal="left" vertical="center" wrapText="1"/>
    </xf>
    <xf numFmtId="14" fontId="3" fillId="25" borderId="10" xfId="0" applyNumberFormat="1" applyFont="1" applyFill="1" applyBorder="1" applyAlignment="1">
      <alignment horizontal="left" vertical="center" wrapText="1"/>
    </xf>
    <xf numFmtId="49" fontId="25" fillId="25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right" vertical="center" wrapText="1"/>
    </xf>
    <xf numFmtId="14" fontId="4" fillId="25" borderId="0" xfId="0" applyNumberFormat="1" applyFont="1" applyFill="1" applyBorder="1" applyAlignment="1">
      <alignment horizontal="left" vertical="center" wrapText="1"/>
    </xf>
    <xf numFmtId="166" fontId="3" fillId="24" borderId="10" xfId="0" applyNumberFormat="1" applyFont="1" applyFill="1" applyBorder="1" applyAlignment="1">
      <alignment horizontal="center" vertical="center" wrapText="1"/>
    </xf>
    <xf numFmtId="166" fontId="25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Fill="1" applyBorder="1" applyAlignment="1">
      <alignment horizontal="center" vertical="center" wrapText="1"/>
    </xf>
    <xf numFmtId="164" fontId="3" fillId="24" borderId="10" xfId="0" applyNumberFormat="1" applyFont="1" applyFill="1" applyBorder="1" applyAlignment="1">
      <alignment horizontal="center" vertical="center" wrapText="1"/>
    </xf>
    <xf numFmtId="164" fontId="25" fillId="0" borderId="0" xfId="0" applyNumberFormat="1" applyFont="1" applyFill="1" applyBorder="1" applyAlignment="1">
      <alignment horizontal="center" vertical="center"/>
    </xf>
    <xf numFmtId="0" fontId="25" fillId="0" borderId="0" xfId="0" applyFont="1" applyFill="1" applyAlignment="1">
      <alignment horizontal="center"/>
    </xf>
    <xf numFmtId="168" fontId="3" fillId="24" borderId="10" xfId="0" applyNumberFormat="1" applyFont="1" applyFill="1" applyBorder="1" applyAlignment="1">
      <alignment horizontal="center" vertical="center"/>
    </xf>
    <xf numFmtId="168" fontId="3" fillId="0" borderId="10" xfId="0" applyNumberFormat="1" applyFont="1" applyFill="1" applyBorder="1" applyAlignment="1">
      <alignment horizontal="center" vertical="center" wrapText="1"/>
    </xf>
    <xf numFmtId="168" fontId="3" fillId="24" borderId="10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7" fontId="30" fillId="25" borderId="10" xfId="0" applyNumberFormat="1" applyFont="1" applyFill="1" applyBorder="1" applyAlignment="1">
      <alignment horizontal="center" vertical="center" wrapText="1"/>
    </xf>
    <xf numFmtId="167" fontId="30" fillId="25" borderId="10" xfId="0" applyNumberFormat="1" applyFont="1" applyFill="1" applyBorder="1" applyAlignment="1">
      <alignment horizontal="center" vertical="top" wrapText="1"/>
    </xf>
    <xf numFmtId="0" fontId="3" fillId="26" borderId="0" xfId="0" applyFont="1" applyFill="1"/>
    <xf numFmtId="0" fontId="25" fillId="26" borderId="0" xfId="0" applyFont="1" applyFill="1"/>
    <xf numFmtId="0" fontId="25" fillId="26" borderId="0" xfId="0" applyFont="1" applyFill="1" applyAlignment="1">
      <alignment horizontal="center" vertical="center" wrapText="1"/>
    </xf>
    <xf numFmtId="164" fontId="40" fillId="25" borderId="10" xfId="42" applyNumberFormat="1" applyFont="1" applyFill="1" applyBorder="1" applyAlignment="1">
      <alignment horizontal="center" vertical="center" wrapText="1"/>
    </xf>
    <xf numFmtId="2" fontId="44" fillId="0" borderId="10" xfId="43" applyNumberFormat="1" applyFont="1" applyBorder="1" applyAlignment="1">
      <alignment horizontal="center" vertical="center" wrapText="1"/>
    </xf>
    <xf numFmtId="0" fontId="3" fillId="0" borderId="10" xfId="0" applyFont="1" applyBorder="1"/>
    <xf numFmtId="0" fontId="44" fillId="0" borderId="10" xfId="0" applyFont="1" applyBorder="1" applyAlignment="1">
      <alignment horizontal="center" vertical="center" wrapText="1"/>
    </xf>
    <xf numFmtId="0" fontId="35" fillId="0" borderId="10" xfId="42" applyFont="1" applyBorder="1" applyAlignment="1">
      <alignment horizontal="center" vertical="center" wrapText="1"/>
    </xf>
    <xf numFmtId="0" fontId="49" fillId="0" borderId="10" xfId="42" applyFont="1" applyBorder="1" applyAlignment="1">
      <alignment horizontal="center" vertical="center" wrapText="1"/>
    </xf>
    <xf numFmtId="0" fontId="52" fillId="0" borderId="10" xfId="42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vertical="center" wrapText="1"/>
    </xf>
    <xf numFmtId="0" fontId="1" fillId="0" borderId="0" xfId="44" applyFont="1"/>
    <xf numFmtId="0" fontId="1" fillId="0" borderId="0" xfId="44" applyFont="1" applyAlignment="1">
      <alignment horizontal="center"/>
    </xf>
    <xf numFmtId="0" fontId="1" fillId="0" borderId="0" xfId="44" applyFont="1" applyAlignment="1">
      <alignment horizontal="center" vertical="center"/>
    </xf>
    <xf numFmtId="0" fontId="65" fillId="0" borderId="0" xfId="44" applyFont="1" applyAlignment="1">
      <alignment horizontal="left" vertical="center"/>
    </xf>
    <xf numFmtId="169" fontId="1" fillId="0" borderId="0" xfId="44" applyNumberFormat="1" applyFont="1" applyAlignment="1">
      <alignment horizontal="left" vertical="center"/>
    </xf>
    <xf numFmtId="0" fontId="1" fillId="0" borderId="0" xfId="44" applyFont="1" applyAlignment="1">
      <alignment horizontal="left" vertical="center"/>
    </xf>
    <xf numFmtId="169" fontId="60" fillId="0" borderId="19" xfId="45" applyNumberFormat="1" applyFont="1" applyFill="1" applyBorder="1" applyAlignment="1">
      <alignment horizontal="center" vertical="center" wrapText="1"/>
    </xf>
    <xf numFmtId="169" fontId="56" fillId="0" borderId="19" xfId="45" applyNumberFormat="1" applyFont="1" applyFill="1" applyBorder="1" applyAlignment="1">
      <alignment horizontal="center" vertical="center" wrapText="1"/>
    </xf>
    <xf numFmtId="169" fontId="70" fillId="0" borderId="19" xfId="45" applyNumberFormat="1" applyFont="1" applyFill="1" applyBorder="1" applyAlignment="1">
      <alignment horizontal="center" vertical="center" wrapText="1"/>
    </xf>
    <xf numFmtId="169" fontId="61" fillId="0" borderId="19" xfId="45" applyNumberFormat="1" applyFont="1" applyFill="1" applyBorder="1" applyAlignment="1">
      <alignment horizontal="center" vertical="center" wrapText="1"/>
    </xf>
    <xf numFmtId="169" fontId="1" fillId="0" borderId="0" xfId="44" applyNumberFormat="1" applyFont="1" applyAlignment="1">
      <alignment horizontal="center" wrapText="1"/>
    </xf>
    <xf numFmtId="0" fontId="60" fillId="0" borderId="0" xfId="44" applyFont="1" applyAlignment="1">
      <alignment horizontal="center" wrapText="1"/>
    </xf>
    <xf numFmtId="0" fontId="1" fillId="0" borderId="0" xfId="44" applyFont="1" applyAlignment="1">
      <alignment horizontal="center" wrapText="1"/>
    </xf>
    <xf numFmtId="170" fontId="3" fillId="24" borderId="10" xfId="0" applyNumberFormat="1" applyFont="1" applyFill="1" applyBorder="1" applyAlignment="1">
      <alignment horizontal="center" vertical="center" wrapText="1"/>
    </xf>
    <xf numFmtId="169" fontId="62" fillId="26" borderId="19" xfId="44" applyNumberFormat="1" applyFont="1" applyFill="1" applyBorder="1" applyAlignment="1">
      <alignment horizontal="center" vertical="center" wrapText="1"/>
    </xf>
    <xf numFmtId="169" fontId="63" fillId="0" borderId="19" xfId="44" applyNumberFormat="1" applyFont="1" applyBorder="1" applyAlignment="1">
      <alignment horizontal="center" vertical="center" wrapText="1"/>
    </xf>
    <xf numFmtId="169" fontId="64" fillId="0" borderId="19" xfId="44" applyNumberFormat="1" applyFont="1" applyBorder="1" applyAlignment="1">
      <alignment horizontal="center" vertical="center" wrapText="1"/>
    </xf>
    <xf numFmtId="169" fontId="62" fillId="0" borderId="19" xfId="44" applyNumberFormat="1" applyFont="1" applyBorder="1" applyAlignment="1">
      <alignment horizontal="center" vertical="center" wrapText="1"/>
    </xf>
    <xf numFmtId="0" fontId="56" fillId="0" borderId="19" xfId="44" applyFont="1" applyBorder="1" applyAlignment="1">
      <alignment horizontal="center" vertical="center"/>
    </xf>
    <xf numFmtId="0" fontId="63" fillId="0" borderId="19" xfId="44" applyFont="1" applyBorder="1" applyAlignment="1">
      <alignment vertical="center" wrapText="1"/>
    </xf>
    <xf numFmtId="169" fontId="56" fillId="26" borderId="19" xfId="45" applyNumberFormat="1" applyFont="1" applyFill="1" applyBorder="1" applyAlignment="1">
      <alignment horizontal="center" vertical="center" wrapText="1"/>
    </xf>
    <xf numFmtId="169" fontId="58" fillId="0" borderId="19" xfId="45" applyNumberFormat="1" applyFont="1" applyFill="1" applyBorder="1" applyAlignment="1">
      <alignment horizontal="center" vertical="center" wrapText="1"/>
    </xf>
    <xf numFmtId="169" fontId="69" fillId="0" borderId="19" xfId="45" applyNumberFormat="1" applyFont="1" applyBorder="1" applyAlignment="1">
      <alignment horizontal="center" vertical="center" wrapText="1"/>
    </xf>
    <xf numFmtId="169" fontId="56" fillId="0" borderId="19" xfId="45" applyNumberFormat="1" applyFont="1" applyBorder="1" applyAlignment="1">
      <alignment horizontal="center" vertical="center" wrapText="1"/>
    </xf>
    <xf numFmtId="169" fontId="60" fillId="0" borderId="19" xfId="45" applyNumberFormat="1" applyFont="1" applyBorder="1" applyAlignment="1">
      <alignment horizontal="center" vertical="center" wrapText="1"/>
    </xf>
    <xf numFmtId="0" fontId="56" fillId="0" borderId="19" xfId="44" applyFont="1" applyBorder="1" applyAlignment="1">
      <alignment vertical="center" wrapText="1"/>
    </xf>
    <xf numFmtId="0" fontId="71" fillId="0" borderId="0" xfId="46" applyFont="1"/>
    <xf numFmtId="0" fontId="71" fillId="0" borderId="0" xfId="46" applyFont="1" applyAlignment="1">
      <alignment horizontal="right"/>
    </xf>
    <xf numFmtId="0" fontId="71" fillId="27" borderId="12" xfId="46" applyFont="1" applyFill="1" applyBorder="1"/>
    <xf numFmtId="0" fontId="72" fillId="0" borderId="0" xfId="46" applyFont="1"/>
    <xf numFmtId="0" fontId="73" fillId="0" borderId="0" xfId="46" applyFont="1" applyAlignment="1">
      <alignment vertical="center"/>
    </xf>
    <xf numFmtId="0" fontId="71" fillId="27" borderId="10" xfId="46" applyFont="1" applyFill="1" applyBorder="1" applyAlignment="1">
      <alignment horizontal="center"/>
    </xf>
    <xf numFmtId="0" fontId="71" fillId="0" borderId="0" xfId="46" applyFont="1" applyAlignment="1">
      <alignment vertical="center"/>
    </xf>
    <xf numFmtId="0" fontId="71" fillId="27" borderId="12" xfId="46" applyFont="1" applyFill="1" applyBorder="1" applyAlignment="1">
      <alignment horizontal="center"/>
    </xf>
    <xf numFmtId="0" fontId="74" fillId="0" borderId="0" xfId="46" applyFont="1" applyAlignment="1">
      <alignment vertical="top"/>
    </xf>
    <xf numFmtId="0" fontId="74" fillId="0" borderId="0" xfId="46" applyFont="1" applyAlignment="1">
      <alignment horizontal="left" vertical="top"/>
    </xf>
    <xf numFmtId="0" fontId="4" fillId="0" borderId="0" xfId="46" applyFont="1" applyAlignment="1">
      <alignment horizontal="center" vertical="center" wrapText="1"/>
    </xf>
    <xf numFmtId="0" fontId="4" fillId="0" borderId="0" xfId="46" applyFont="1" applyAlignment="1">
      <alignment horizontal="center" vertical="center"/>
    </xf>
    <xf numFmtId="14" fontId="71" fillId="27" borderId="12" xfId="46" applyNumberFormat="1" applyFont="1" applyFill="1" applyBorder="1" applyAlignment="1">
      <alignment horizontal="center"/>
    </xf>
    <xf numFmtId="0" fontId="71" fillId="0" borderId="0" xfId="46" applyFont="1" applyAlignment="1">
      <alignment horizontal="right" vertical="center" wrapText="1"/>
    </xf>
    <xf numFmtId="0" fontId="71" fillId="0" borderId="0" xfId="46" applyFont="1" applyAlignment="1">
      <alignment horizontal="center" vertical="center"/>
    </xf>
    <xf numFmtId="0" fontId="71" fillId="0" borderId="0" xfId="46" applyFont="1" applyAlignment="1">
      <alignment horizontal="center"/>
    </xf>
    <xf numFmtId="0" fontId="74" fillId="0" borderId="0" xfId="46" applyFont="1" applyAlignment="1">
      <alignment horizontal="center" vertical="top"/>
    </xf>
    <xf numFmtId="0" fontId="4" fillId="0" borderId="11" xfId="42" applyFont="1" applyBorder="1" applyAlignment="1">
      <alignment horizontal="center" vertical="center" wrapText="1"/>
    </xf>
    <xf numFmtId="49" fontId="3" fillId="0" borderId="10" xfId="42" applyNumberFormat="1" applyFont="1" applyBorder="1" applyAlignment="1">
      <alignment horizontal="center" vertical="center"/>
    </xf>
    <xf numFmtId="168" fontId="3" fillId="24" borderId="10" xfId="42" applyNumberFormat="1" applyFont="1" applyFill="1" applyBorder="1" applyAlignment="1">
      <alignment horizontal="center" vertical="center"/>
    </xf>
    <xf numFmtId="164" fontId="3" fillId="24" borderId="10" xfId="42" applyNumberFormat="1" applyFont="1" applyFill="1" applyBorder="1" applyAlignment="1">
      <alignment horizontal="center" vertical="center"/>
    </xf>
    <xf numFmtId="168" fontId="3" fillId="25" borderId="10" xfId="42" applyNumberFormat="1" applyFont="1" applyFill="1" applyBorder="1" applyAlignment="1">
      <alignment horizontal="center" vertical="center"/>
    </xf>
    <xf numFmtId="0" fontId="75" fillId="0" borderId="0" xfId="0" applyFont="1"/>
    <xf numFmtId="0" fontId="3" fillId="0" borderId="0" xfId="46" applyFont="1"/>
    <xf numFmtId="0" fontId="76" fillId="0" borderId="0" xfId="42" applyFont="1"/>
    <xf numFmtId="0" fontId="76" fillId="0" borderId="0" xfId="42" applyFont="1" applyAlignment="1">
      <alignment horizontal="center" vertical="center"/>
    </xf>
    <xf numFmtId="0" fontId="76" fillId="0" borderId="0" xfId="42" applyFont="1" applyAlignment="1">
      <alignment horizontal="center"/>
    </xf>
    <xf numFmtId="0" fontId="76" fillId="0" borderId="0" xfId="42" applyFont="1" applyAlignment="1">
      <alignment horizontal="left" vertical="center"/>
    </xf>
    <xf numFmtId="0" fontId="76" fillId="0" borderId="0" xfId="42" applyFont="1" applyAlignment="1">
      <alignment vertical="center"/>
    </xf>
    <xf numFmtId="0" fontId="25" fillId="0" borderId="0" xfId="42" applyFont="1" applyAlignment="1">
      <alignment horizontal="center" wrapText="1"/>
    </xf>
    <xf numFmtId="0" fontId="25" fillId="0" borderId="12" xfId="42" applyFont="1" applyBorder="1" applyAlignment="1">
      <alignment horizontal="center"/>
    </xf>
    <xf numFmtId="0" fontId="25" fillId="0" borderId="0" xfId="42" applyFont="1" applyAlignment="1">
      <alignment horizontal="center"/>
    </xf>
    <xf numFmtId="0" fontId="25" fillId="0" borderId="0" xfId="42" applyFont="1"/>
    <xf numFmtId="0" fontId="25" fillId="0" borderId="0" xfId="42" applyFont="1" applyAlignment="1">
      <alignment horizontal="center" vertical="center"/>
    </xf>
    <xf numFmtId="0" fontId="77" fillId="25" borderId="10" xfId="42" applyFont="1" applyFill="1" applyBorder="1" applyAlignment="1">
      <alignment horizontal="center" vertical="center" wrapText="1"/>
    </xf>
    <xf numFmtId="0" fontId="77" fillId="0" borderId="10" xfId="0" applyFont="1" applyBorder="1" applyAlignment="1">
      <alignment horizontal="center" vertical="center" wrapText="1"/>
    </xf>
    <xf numFmtId="0" fontId="24" fillId="0" borderId="10" xfId="42" applyFont="1" applyBorder="1" applyAlignment="1">
      <alignment horizontal="center" vertical="center"/>
    </xf>
    <xf numFmtId="0" fontId="30" fillId="0" borderId="10" xfId="42" applyFont="1" applyBorder="1" applyAlignment="1">
      <alignment vertical="center"/>
    </xf>
    <xf numFmtId="49" fontId="30" fillId="0" borderId="10" xfId="42" applyNumberFormat="1" applyFont="1" applyBorder="1" applyAlignment="1">
      <alignment horizontal="center" vertical="center"/>
    </xf>
    <xf numFmtId="168" fontId="25" fillId="24" borderId="10" xfId="42" applyNumberFormat="1" applyFont="1" applyFill="1" applyBorder="1" applyAlignment="1">
      <alignment horizontal="center" vertical="center"/>
    </xf>
    <xf numFmtId="167" fontId="25" fillId="0" borderId="10" xfId="42" applyNumberFormat="1" applyFont="1" applyBorder="1" applyAlignment="1">
      <alignment horizontal="center" vertical="center"/>
    </xf>
    <xf numFmtId="166" fontId="25" fillId="24" borderId="10" xfId="42" applyNumberFormat="1" applyFont="1" applyFill="1" applyBorder="1" applyAlignment="1">
      <alignment horizontal="center" vertical="center"/>
    </xf>
    <xf numFmtId="164" fontId="25" fillId="24" borderId="10" xfId="42" applyNumberFormat="1" applyFont="1" applyFill="1" applyBorder="1" applyAlignment="1">
      <alignment horizontal="center" vertical="center"/>
    </xf>
    <xf numFmtId="167" fontId="25" fillId="28" borderId="10" xfId="42" applyNumberFormat="1" applyFont="1" applyFill="1" applyBorder="1" applyAlignment="1">
      <alignment horizontal="center" vertical="center"/>
    </xf>
    <xf numFmtId="168" fontId="25" fillId="28" borderId="10" xfId="42" applyNumberFormat="1" applyFont="1" applyFill="1" applyBorder="1" applyAlignment="1">
      <alignment horizontal="center" vertical="center"/>
    </xf>
    <xf numFmtId="0" fontId="30" fillId="0" borderId="10" xfId="42" applyFont="1" applyBorder="1" applyAlignment="1">
      <alignment horizontal="left" vertical="center"/>
    </xf>
    <xf numFmtId="0" fontId="30" fillId="28" borderId="10" xfId="42" applyFont="1" applyFill="1" applyBorder="1" applyAlignment="1">
      <alignment vertical="center" wrapText="1"/>
    </xf>
    <xf numFmtId="166" fontId="25" fillId="28" borderId="10" xfId="42" applyNumberFormat="1" applyFont="1" applyFill="1" applyBorder="1" applyAlignment="1">
      <alignment horizontal="center" vertical="center"/>
    </xf>
    <xf numFmtId="164" fontId="25" fillId="28" borderId="10" xfId="42" applyNumberFormat="1" applyFont="1" applyFill="1" applyBorder="1" applyAlignment="1">
      <alignment horizontal="center" vertical="center"/>
    </xf>
    <xf numFmtId="164" fontId="47" fillId="0" borderId="10" xfId="0" applyNumberFormat="1" applyFont="1" applyFill="1" applyBorder="1" applyAlignment="1">
      <alignment horizontal="center" vertical="center" wrapText="1"/>
    </xf>
    <xf numFmtId="166" fontId="25" fillId="0" borderId="10" xfId="0" applyNumberFormat="1" applyFont="1" applyBorder="1" applyAlignment="1">
      <alignment horizontal="center" vertical="center" wrapText="1"/>
    </xf>
    <xf numFmtId="0" fontId="60" fillId="0" borderId="19" xfId="44" applyFont="1" applyBorder="1" applyAlignment="1">
      <alignment horizontal="center" vertical="center" wrapText="1"/>
    </xf>
    <xf numFmtId="0" fontId="53" fillId="0" borderId="0" xfId="44" applyFont="1" applyAlignment="1">
      <alignment horizontal="center" vertical="center" wrapText="1"/>
    </xf>
    <xf numFmtId="0" fontId="56" fillId="0" borderId="19" xfId="44" applyFont="1" applyBorder="1" applyAlignment="1">
      <alignment horizontal="center" vertical="center" wrapText="1"/>
    </xf>
    <xf numFmtId="0" fontId="57" fillId="26" borderId="19" xfId="44" applyFont="1" applyFill="1" applyBorder="1" applyAlignment="1">
      <alignment horizontal="center" vertical="center" wrapText="1"/>
    </xf>
    <xf numFmtId="0" fontId="56" fillId="26" borderId="19" xfId="44" applyFont="1" applyFill="1" applyBorder="1" applyAlignment="1">
      <alignment horizontal="center" vertical="center" wrapText="1"/>
    </xf>
    <xf numFmtId="0" fontId="58" fillId="0" borderId="19" xfId="44" applyFont="1" applyBorder="1" applyAlignment="1">
      <alignment horizontal="center" vertical="center" wrapText="1"/>
    </xf>
    <xf numFmtId="0" fontId="60" fillId="0" borderId="19" xfId="44" applyFont="1" applyBorder="1" applyAlignment="1">
      <alignment horizontal="center" vertical="center" wrapText="1"/>
    </xf>
    <xf numFmtId="0" fontId="61" fillId="0" borderId="19" xfId="44" applyFont="1" applyBorder="1" applyAlignment="1">
      <alignment horizontal="center" vertical="center" wrapText="1"/>
    </xf>
    <xf numFmtId="0" fontId="62" fillId="0" borderId="19" xfId="44" applyFont="1" applyBorder="1" applyAlignment="1">
      <alignment horizontal="center" vertical="center"/>
    </xf>
    <xf numFmtId="0" fontId="59" fillId="0" borderId="19" xfId="44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31" fillId="0" borderId="10" xfId="42" applyFont="1" applyBorder="1" applyAlignment="1">
      <alignment horizontal="center" vertical="center" wrapText="1"/>
    </xf>
    <xf numFmtId="0" fontId="35" fillId="0" borderId="10" xfId="42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164" fontId="47" fillId="0" borderId="10" xfId="0" applyNumberFormat="1" applyFont="1" applyFill="1" applyBorder="1" applyAlignment="1">
      <alignment horizontal="center" vertical="center" wrapText="1"/>
    </xf>
    <xf numFmtId="166" fontId="45" fillId="0" borderId="10" xfId="0" applyNumberFormat="1" applyFont="1" applyFill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24" fillId="0" borderId="10" xfId="0" applyFont="1" applyFill="1" applyBorder="1" applyAlignment="1" applyProtection="1">
      <alignment horizontal="center" vertical="center" wrapText="1"/>
      <protection locked="0"/>
    </xf>
    <xf numFmtId="0" fontId="37" fillId="0" borderId="10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25" borderId="10" xfId="0" applyFont="1" applyFill="1" applyBorder="1" applyAlignment="1">
      <alignment horizontal="center" vertical="center" wrapText="1"/>
    </xf>
    <xf numFmtId="0" fontId="24" fillId="25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27" borderId="12" xfId="0" applyFont="1" applyFill="1" applyBorder="1" applyAlignment="1">
      <alignment horizontal="center" vertical="center"/>
    </xf>
    <xf numFmtId="0" fontId="3" fillId="0" borderId="10" xfId="42" applyFont="1" applyBorder="1" applyAlignment="1">
      <alignment horizontal="left" vertical="center" wrapText="1"/>
    </xf>
    <xf numFmtId="0" fontId="4" fillId="0" borderId="10" xfId="42" applyFont="1" applyBorder="1" applyAlignment="1">
      <alignment horizontal="center" vertical="center" wrapText="1"/>
    </xf>
    <xf numFmtId="166" fontId="3" fillId="25" borderId="10" xfId="42" applyNumberFormat="1" applyFont="1" applyFill="1" applyBorder="1" applyAlignment="1">
      <alignment horizontal="left" vertical="center" wrapText="1"/>
    </xf>
    <xf numFmtId="0" fontId="4" fillId="0" borderId="0" xfId="46" applyFont="1" applyAlignment="1">
      <alignment horizontal="center" vertical="center"/>
    </xf>
    <xf numFmtId="0" fontId="4" fillId="0" borderId="12" xfId="46" applyFont="1" applyBorder="1" applyAlignment="1">
      <alignment horizontal="center" vertical="center"/>
    </xf>
    <xf numFmtId="0" fontId="4" fillId="0" borderId="15" xfId="46" applyFont="1" applyBorder="1" applyAlignment="1">
      <alignment horizontal="center" vertical="center"/>
    </xf>
    <xf numFmtId="0" fontId="71" fillId="0" borderId="0" xfId="46" applyFont="1" applyAlignment="1">
      <alignment horizontal="right"/>
    </xf>
    <xf numFmtId="0" fontId="71" fillId="27" borderId="12" xfId="46" applyFont="1" applyFill="1" applyBorder="1" applyAlignment="1">
      <alignment horizontal="center" vertical="center"/>
    </xf>
    <xf numFmtId="0" fontId="71" fillId="0" borderId="0" xfId="46" applyFont="1" applyAlignment="1">
      <alignment horizontal="center"/>
    </xf>
    <xf numFmtId="0" fontId="74" fillId="0" borderId="20" xfId="46" applyFont="1" applyBorder="1" applyAlignment="1">
      <alignment horizontal="center" vertical="top" wrapText="1"/>
    </xf>
    <xf numFmtId="0" fontId="71" fillId="27" borderId="12" xfId="46" applyFont="1" applyFill="1" applyBorder="1" applyAlignment="1">
      <alignment horizontal="center" vertical="center" wrapText="1"/>
    </xf>
    <xf numFmtId="0" fontId="71" fillId="0" borderId="0" xfId="46" applyFont="1" applyAlignment="1">
      <alignment horizontal="left" wrapText="1"/>
    </xf>
    <xf numFmtId="0" fontId="71" fillId="0" borderId="14" xfId="46" applyFont="1" applyBorder="1" applyAlignment="1">
      <alignment horizontal="left"/>
    </xf>
    <xf numFmtId="0" fontId="74" fillId="0" borderId="0" xfId="46" applyFont="1" applyAlignment="1">
      <alignment horizontal="left" vertical="center" wrapText="1"/>
    </xf>
    <xf numFmtId="0" fontId="74" fillId="0" borderId="0" xfId="46" applyFont="1" applyAlignment="1">
      <alignment horizontal="left" vertical="center"/>
    </xf>
    <xf numFmtId="0" fontId="71" fillId="0" borderId="0" xfId="46" applyFont="1" applyAlignment="1">
      <alignment horizontal="right" wrapText="1"/>
    </xf>
    <xf numFmtId="166" fontId="25" fillId="0" borderId="10" xfId="0" applyNumberFormat="1" applyFont="1" applyBorder="1" applyAlignment="1">
      <alignment horizontal="center" vertical="center" wrapText="1"/>
    </xf>
    <xf numFmtId="164" fontId="25" fillId="0" borderId="10" xfId="0" applyNumberFormat="1" applyFont="1" applyBorder="1" applyAlignment="1">
      <alignment horizontal="center" vertical="center" wrapText="1"/>
    </xf>
    <xf numFmtId="171" fontId="25" fillId="24" borderId="10" xfId="42" applyNumberFormat="1" applyFont="1" applyFill="1" applyBorder="1" applyAlignment="1">
      <alignment horizontal="center" vertical="center"/>
    </xf>
    <xf numFmtId="0" fontId="77" fillId="25" borderId="21" xfId="42" applyFont="1" applyFill="1" applyBorder="1" applyAlignment="1">
      <alignment horizontal="center" vertical="center" wrapText="1"/>
    </xf>
    <xf numFmtId="0" fontId="77" fillId="25" borderId="22" xfId="42" applyFont="1" applyFill="1" applyBorder="1" applyAlignment="1">
      <alignment horizontal="center" vertical="center" wrapText="1"/>
    </xf>
    <xf numFmtId="0" fontId="77" fillId="25" borderId="23" xfId="42" applyFont="1" applyFill="1" applyBorder="1" applyAlignment="1">
      <alignment horizontal="center" vertical="center" wrapText="1"/>
    </xf>
    <xf numFmtId="0" fontId="77" fillId="25" borderId="24" xfId="42" applyFont="1" applyFill="1" applyBorder="1" applyAlignment="1">
      <alignment horizontal="center" vertical="center" wrapText="1"/>
    </xf>
    <xf numFmtId="0" fontId="77" fillId="25" borderId="11" xfId="42" applyFont="1" applyFill="1" applyBorder="1" applyAlignment="1">
      <alignment horizontal="center" vertical="center" wrapText="1"/>
    </xf>
    <xf numFmtId="0" fontId="77" fillId="25" borderId="18" xfId="42" applyFont="1" applyFill="1" applyBorder="1" applyAlignment="1">
      <alignment horizontal="center" vertical="center" wrapText="1"/>
    </xf>
    <xf numFmtId="0" fontId="77" fillId="25" borderId="17" xfId="42" applyFont="1" applyFill="1" applyBorder="1" applyAlignment="1">
      <alignment horizontal="center" vertical="center" wrapText="1"/>
    </xf>
    <xf numFmtId="0" fontId="77" fillId="25" borderId="11" xfId="42" applyFont="1" applyFill="1" applyBorder="1" applyAlignment="1">
      <alignment horizontal="center" vertical="center"/>
    </xf>
    <xf numFmtId="0" fontId="77" fillId="25" borderId="18" xfId="42" applyFont="1" applyFill="1" applyBorder="1" applyAlignment="1">
      <alignment horizontal="center" vertical="center"/>
    </xf>
    <xf numFmtId="0" fontId="77" fillId="25" borderId="17" xfId="42" applyFont="1" applyFill="1" applyBorder="1" applyAlignment="1">
      <alignment horizontal="center" vertical="center"/>
    </xf>
    <xf numFmtId="0" fontId="24" fillId="0" borderId="0" xfId="42" applyFont="1" applyAlignment="1">
      <alignment horizontal="center" vertical="center"/>
    </xf>
  </cellXfs>
  <cellStyles count="47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42" xr:uid="{00000000-0005-0000-0000-000024000000}"/>
    <cellStyle name="Обычный 2 2 2" xfId="44" xr:uid="{261AEDF0-F54A-403E-84E2-6B00F13F4D66}"/>
    <cellStyle name="Обычный 6 2" xfId="43" xr:uid="{00000000-0005-0000-0000-000025000000}"/>
    <cellStyle name="Обычный_10007ru" xfId="46" xr:uid="{51E39319-64DB-475F-B873-36EF69C7FD26}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Финансовый 2" xfId="45" xr:uid="{B760A073-1187-4E6B-BEC4-86A96CB9C006}"/>
    <cellStyle name="Хороший" xfId="41" builtinId="26" customBuiltin="1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51F5-E4B7-425F-BF83-EBCB4474D8F3}">
  <sheetPr>
    <tabColor rgb="FFFFC000"/>
    <pageSetUpPr fitToPage="1"/>
  </sheetPr>
  <dimension ref="A1:N15"/>
  <sheetViews>
    <sheetView tabSelected="1" view="pageBreakPreview" zoomScale="85" zoomScaleNormal="85" zoomScaleSheetLayoutView="85" workbookViewId="0">
      <selection activeCell="H7" sqref="H7"/>
    </sheetView>
  </sheetViews>
  <sheetFormatPr defaultColWidth="9.140625" defaultRowHeight="15" x14ac:dyDescent="0.25"/>
  <cols>
    <col min="1" max="1" width="5" style="76" customWidth="1"/>
    <col min="2" max="2" width="38.5703125" style="76" customWidth="1"/>
    <col min="3" max="3" width="9.7109375" style="88" customWidth="1"/>
    <col min="4" max="4" width="8.42578125" style="88" customWidth="1"/>
    <col min="5" max="5" width="8.28515625" style="87" customWidth="1"/>
    <col min="6" max="8" width="18.28515625" style="87" customWidth="1"/>
    <col min="9" max="9" width="8.42578125" style="88" customWidth="1"/>
    <col min="10" max="10" width="7.7109375" style="87" customWidth="1" collapsed="1"/>
    <col min="11" max="16384" width="9.140625" style="76"/>
  </cols>
  <sheetData>
    <row r="1" spans="1:14" ht="63" customHeight="1" x14ac:dyDescent="0.25">
      <c r="A1" s="154" t="s">
        <v>107</v>
      </c>
      <c r="B1" s="154"/>
      <c r="C1" s="154"/>
      <c r="D1" s="154"/>
      <c r="E1" s="154"/>
      <c r="F1" s="154"/>
      <c r="G1" s="154"/>
      <c r="H1" s="154"/>
      <c r="I1" s="154"/>
      <c r="J1" s="154"/>
    </row>
    <row r="2" spans="1:14" s="77" customFormat="1" ht="18" customHeight="1" x14ac:dyDescent="0.25">
      <c r="A2" s="155" t="s">
        <v>108</v>
      </c>
      <c r="B2" s="155" t="s">
        <v>109</v>
      </c>
      <c r="C2" s="156" t="s">
        <v>204</v>
      </c>
      <c r="D2" s="156"/>
      <c r="E2" s="156"/>
      <c r="F2" s="156"/>
      <c r="G2" s="156"/>
      <c r="H2" s="156"/>
      <c r="I2" s="156"/>
      <c r="J2" s="156"/>
    </row>
    <row r="3" spans="1:14" s="77" customFormat="1" ht="21" customHeight="1" x14ac:dyDescent="0.25">
      <c r="A3" s="155"/>
      <c r="B3" s="155"/>
      <c r="C3" s="157" t="s">
        <v>110</v>
      </c>
      <c r="D3" s="155" t="s">
        <v>111</v>
      </c>
      <c r="E3" s="155"/>
      <c r="F3" s="155"/>
      <c r="G3" s="155"/>
      <c r="H3" s="155"/>
      <c r="I3" s="155"/>
      <c r="J3" s="155"/>
    </row>
    <row r="4" spans="1:14" s="78" customFormat="1" ht="21" customHeight="1" x14ac:dyDescent="0.2">
      <c r="A4" s="155"/>
      <c r="B4" s="155"/>
      <c r="C4" s="157"/>
      <c r="D4" s="158" t="s">
        <v>112</v>
      </c>
      <c r="E4" s="159" t="s">
        <v>113</v>
      </c>
      <c r="F4" s="153"/>
      <c r="G4" s="153"/>
      <c r="H4" s="153"/>
      <c r="I4" s="162" t="s">
        <v>114</v>
      </c>
      <c r="J4" s="159" t="s">
        <v>113</v>
      </c>
    </row>
    <row r="5" spans="1:14" s="78" customFormat="1" ht="17.25" customHeight="1" x14ac:dyDescent="0.2">
      <c r="A5" s="155"/>
      <c r="B5" s="155"/>
      <c r="C5" s="157"/>
      <c r="D5" s="158"/>
      <c r="E5" s="159"/>
      <c r="F5" s="160" t="s">
        <v>205</v>
      </c>
      <c r="G5" s="160" t="s">
        <v>116</v>
      </c>
      <c r="H5" s="160" t="s">
        <v>115</v>
      </c>
      <c r="I5" s="162"/>
      <c r="J5" s="159"/>
    </row>
    <row r="6" spans="1:14" s="78" customFormat="1" ht="76.5" customHeight="1" x14ac:dyDescent="0.2">
      <c r="A6" s="155"/>
      <c r="B6" s="155"/>
      <c r="C6" s="157"/>
      <c r="D6" s="158"/>
      <c r="E6" s="159"/>
      <c r="F6" s="160"/>
      <c r="G6" s="160"/>
      <c r="H6" s="160"/>
      <c r="I6" s="162"/>
      <c r="J6" s="159"/>
    </row>
    <row r="7" spans="1:14" s="79" customFormat="1" ht="32.25" customHeight="1" x14ac:dyDescent="0.2">
      <c r="A7" s="161" t="s">
        <v>117</v>
      </c>
      <c r="B7" s="161"/>
      <c r="C7" s="90">
        <f>+C8+C9+C11+C12</f>
        <v>343</v>
      </c>
      <c r="D7" s="91">
        <f>SUM(D8:D12)</f>
        <v>341</v>
      </c>
      <c r="E7" s="92">
        <f t="shared" ref="E7:E8" si="0">+D7/C7*100</f>
        <v>99.416909620991262</v>
      </c>
      <c r="F7" s="91">
        <f>SUM(F8:F12)</f>
        <v>190</v>
      </c>
      <c r="G7" s="91">
        <f>SUM(G8:G12)</f>
        <v>17</v>
      </c>
      <c r="H7" s="91">
        <f>SUM(H8:H12)</f>
        <v>134</v>
      </c>
      <c r="I7" s="93">
        <f>+I9+I12</f>
        <v>2</v>
      </c>
      <c r="J7" s="92">
        <f>+I7/C7*100</f>
        <v>0.58309037900874638</v>
      </c>
    </row>
    <row r="8" spans="1:14" s="81" customFormat="1" ht="35.25" customHeight="1" x14ac:dyDescent="0.2">
      <c r="A8" s="94">
        <v>1</v>
      </c>
      <c r="B8" s="95" t="s">
        <v>118</v>
      </c>
      <c r="C8" s="96">
        <f>+D8</f>
        <v>18</v>
      </c>
      <c r="D8" s="97">
        <f>+F8+G8+H8</f>
        <v>18</v>
      </c>
      <c r="E8" s="82">
        <f t="shared" si="0"/>
        <v>100</v>
      </c>
      <c r="F8" s="98">
        <v>0</v>
      </c>
      <c r="G8" s="85">
        <v>0</v>
      </c>
      <c r="H8" s="98">
        <v>18</v>
      </c>
      <c r="I8" s="99">
        <v>0</v>
      </c>
      <c r="J8" s="100">
        <f>+I8/C8*100</f>
        <v>0</v>
      </c>
      <c r="K8" s="80"/>
      <c r="L8" s="80"/>
      <c r="M8" s="80"/>
    </row>
    <row r="9" spans="1:14" s="81" customFormat="1" ht="45" customHeight="1" x14ac:dyDescent="0.2">
      <c r="A9" s="94">
        <v>2</v>
      </c>
      <c r="B9" s="101" t="s">
        <v>119</v>
      </c>
      <c r="C9" s="96">
        <v>152</v>
      </c>
      <c r="D9" s="97">
        <f t="shared" ref="D9:D12" si="1">+F9+G9+H9</f>
        <v>152</v>
      </c>
      <c r="E9" s="82">
        <f>+D9/C9*100</f>
        <v>100</v>
      </c>
      <c r="F9" s="83">
        <v>104</v>
      </c>
      <c r="G9" s="83">
        <v>16</v>
      </c>
      <c r="H9" s="83">
        <v>32</v>
      </c>
      <c r="I9" s="83">
        <v>0</v>
      </c>
      <c r="J9" s="84">
        <f>+I9/C9*100</f>
        <v>0</v>
      </c>
      <c r="N9" s="80"/>
    </row>
    <row r="10" spans="1:14" s="81" customFormat="1" x14ac:dyDescent="0.2">
      <c r="A10" s="94"/>
      <c r="B10" s="101"/>
      <c r="C10" s="96"/>
      <c r="D10" s="97">
        <f t="shared" si="1"/>
        <v>0</v>
      </c>
      <c r="E10" s="84"/>
      <c r="F10" s="84"/>
      <c r="G10" s="84"/>
      <c r="H10" s="84"/>
      <c r="I10" s="84"/>
      <c r="J10" s="84"/>
    </row>
    <row r="11" spans="1:14" s="81" customFormat="1" ht="35.25" customHeight="1" x14ac:dyDescent="0.2">
      <c r="A11" s="94">
        <v>4</v>
      </c>
      <c r="B11" s="95" t="s">
        <v>120</v>
      </c>
      <c r="C11" s="96">
        <f>+D11+I11</f>
        <v>11</v>
      </c>
      <c r="D11" s="97">
        <f t="shared" si="1"/>
        <v>11</v>
      </c>
      <c r="E11" s="82">
        <f t="shared" ref="E11:E12" si="2">+D11/C11*100</f>
        <v>100</v>
      </c>
      <c r="F11" s="98">
        <v>0</v>
      </c>
      <c r="G11" s="85">
        <v>0</v>
      </c>
      <c r="H11" s="98">
        <v>11</v>
      </c>
      <c r="I11" s="99">
        <v>0</v>
      </c>
      <c r="J11" s="100">
        <v>0</v>
      </c>
      <c r="K11" s="80"/>
      <c r="L11" s="80"/>
    </row>
    <row r="12" spans="1:14" s="81" customFormat="1" ht="45.75" customHeight="1" x14ac:dyDescent="0.2">
      <c r="A12" s="94">
        <v>5</v>
      </c>
      <c r="B12" s="101" t="s">
        <v>121</v>
      </c>
      <c r="C12" s="96">
        <f>+D12+I12</f>
        <v>162</v>
      </c>
      <c r="D12" s="97">
        <f t="shared" si="1"/>
        <v>160</v>
      </c>
      <c r="E12" s="82">
        <f t="shared" si="2"/>
        <v>98.76543209876543</v>
      </c>
      <c r="F12" s="98">
        <v>86</v>
      </c>
      <c r="G12" s="85">
        <v>1</v>
      </c>
      <c r="H12" s="98">
        <v>73</v>
      </c>
      <c r="I12" s="99">
        <v>2</v>
      </c>
      <c r="J12" s="84">
        <f>+I12/C12*100</f>
        <v>1.2345679012345678</v>
      </c>
    </row>
    <row r="13" spans="1:14" ht="9" customHeight="1" x14ac:dyDescent="0.25">
      <c r="C13" s="76"/>
      <c r="D13" s="76"/>
      <c r="E13" s="76"/>
      <c r="F13" s="76"/>
      <c r="G13" s="76"/>
      <c r="H13" s="76"/>
      <c r="I13" s="76"/>
      <c r="J13" s="76"/>
    </row>
    <row r="15" spans="1:14" x14ac:dyDescent="0.25">
      <c r="D15" s="86"/>
      <c r="I15" s="86"/>
      <c r="J15" s="86"/>
    </row>
  </sheetData>
  <mergeCells count="14">
    <mergeCell ref="A7:B7"/>
    <mergeCell ref="I4:I6"/>
    <mergeCell ref="J4:J6"/>
    <mergeCell ref="F5:F6"/>
    <mergeCell ref="G5:G6"/>
    <mergeCell ref="H5:H6"/>
    <mergeCell ref="A1:J1"/>
    <mergeCell ref="A2:A6"/>
    <mergeCell ref="B2:B6"/>
    <mergeCell ref="C2:J2"/>
    <mergeCell ref="C3:C6"/>
    <mergeCell ref="D3:J3"/>
    <mergeCell ref="D4:D6"/>
    <mergeCell ref="E4:E6"/>
  </mergeCells>
  <printOptions horizontalCentered="1"/>
  <pageMargins left="0" right="0" top="0.59055118110236227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J24"/>
  <sheetViews>
    <sheetView view="pageBreakPreview" zoomScale="85" zoomScaleNormal="115" zoomScaleSheetLayoutView="85" workbookViewId="0">
      <selection activeCell="E11" sqref="E11"/>
    </sheetView>
  </sheetViews>
  <sheetFormatPr defaultColWidth="9.28515625" defaultRowHeight="12.75" x14ac:dyDescent="0.2"/>
  <cols>
    <col min="1" max="1" width="2.7109375" style="1" customWidth="1"/>
    <col min="2" max="2" width="46.5703125" style="1" customWidth="1"/>
    <col min="3" max="3" width="21" style="1" customWidth="1"/>
    <col min="4" max="4" width="26.85546875" style="1" customWidth="1"/>
    <col min="5" max="5" width="12.140625" style="1" customWidth="1"/>
    <col min="6" max="6" width="15.42578125" style="53" customWidth="1"/>
    <col min="7" max="7" width="17.28515625" style="53" customWidth="1"/>
    <col min="8" max="8" width="2.7109375" style="1" customWidth="1"/>
    <col min="9" max="9" width="47.42578125" style="1" customWidth="1"/>
    <col min="10" max="16384" width="9.28515625" style="1"/>
  </cols>
  <sheetData>
    <row r="1" spans="1:10" ht="4.1500000000000004" customHeight="1" x14ac:dyDescent="0.2">
      <c r="A1" s="7"/>
      <c r="B1" s="21"/>
      <c r="C1" s="21"/>
      <c r="D1" s="21"/>
      <c r="E1" s="22"/>
      <c r="F1" s="57"/>
      <c r="G1" s="23"/>
      <c r="H1" s="21"/>
      <c r="I1" s="21"/>
      <c r="J1" s="21"/>
    </row>
    <row r="2" spans="1:10" ht="47.25" customHeight="1" x14ac:dyDescent="0.2">
      <c r="A2" s="7"/>
      <c r="B2" s="163" t="s">
        <v>76</v>
      </c>
      <c r="C2" s="163"/>
      <c r="D2" s="163"/>
      <c r="E2" s="163"/>
      <c r="F2" s="163"/>
      <c r="G2" s="163"/>
      <c r="H2" s="37"/>
      <c r="I2" s="37"/>
      <c r="J2" s="24"/>
    </row>
    <row r="3" spans="1:10" ht="30.75" customHeight="1" x14ac:dyDescent="0.2">
      <c r="A3" s="7"/>
      <c r="B3" s="175" t="s">
        <v>103</v>
      </c>
      <c r="C3" s="175"/>
      <c r="D3" s="175"/>
      <c r="E3" s="175"/>
      <c r="F3" s="175"/>
      <c r="G3" s="175"/>
      <c r="H3" s="38"/>
      <c r="I3" s="25"/>
      <c r="J3" s="25"/>
    </row>
    <row r="4" spans="1:10" ht="19.5" customHeight="1" x14ac:dyDescent="0.2">
      <c r="A4" s="7"/>
      <c r="B4" s="39"/>
      <c r="C4" s="39"/>
      <c r="D4" s="39"/>
      <c r="E4" s="39"/>
      <c r="F4" s="39"/>
      <c r="G4" s="39"/>
      <c r="H4" s="38"/>
      <c r="I4" s="61" t="s">
        <v>100</v>
      </c>
      <c r="J4" s="25"/>
    </row>
    <row r="5" spans="1:10" ht="31.5" customHeight="1" x14ac:dyDescent="0.2">
      <c r="A5" s="7"/>
      <c r="B5" s="170" t="s">
        <v>16</v>
      </c>
      <c r="C5" s="171"/>
      <c r="D5" s="172"/>
      <c r="E5" s="11" t="s">
        <v>17</v>
      </c>
      <c r="F5" s="4" t="s">
        <v>18</v>
      </c>
      <c r="G5" s="40" t="s">
        <v>33</v>
      </c>
      <c r="H5" s="38"/>
      <c r="I5" s="74"/>
      <c r="J5" s="25"/>
    </row>
    <row r="6" spans="1:10" ht="16.899999999999999" customHeight="1" x14ac:dyDescent="0.2">
      <c r="A6" s="7"/>
      <c r="B6" s="170">
        <v>1</v>
      </c>
      <c r="C6" s="171"/>
      <c r="D6" s="172"/>
      <c r="E6" s="75">
        <v>2</v>
      </c>
      <c r="F6" s="4">
        <v>3</v>
      </c>
      <c r="G6" s="40">
        <v>4</v>
      </c>
      <c r="H6" s="38"/>
      <c r="I6" s="74"/>
      <c r="J6" s="25"/>
    </row>
    <row r="7" spans="1:10" ht="47.25" customHeight="1" x14ac:dyDescent="0.2">
      <c r="A7" s="5"/>
      <c r="B7" s="167" t="s">
        <v>86</v>
      </c>
      <c r="C7" s="168"/>
      <c r="D7" s="169"/>
      <c r="E7" s="3" t="s">
        <v>1</v>
      </c>
      <c r="F7" s="51">
        <f>'Ноқишлоқ-илова'!E8</f>
        <v>0</v>
      </c>
      <c r="G7" s="55">
        <f>'Ноқишлоқ-илова'!N8</f>
        <v>0</v>
      </c>
      <c r="I7" s="71" t="s">
        <v>102</v>
      </c>
    </row>
    <row r="8" spans="1:10" ht="33" customHeight="1" x14ac:dyDescent="0.2">
      <c r="A8" s="5"/>
      <c r="B8" s="167" t="s">
        <v>87</v>
      </c>
      <c r="C8" s="168"/>
      <c r="D8" s="169"/>
      <c r="E8" s="3" t="s">
        <v>2</v>
      </c>
      <c r="F8" s="51">
        <f>'Ноқишлоқ-илова'!K8</f>
        <v>0</v>
      </c>
      <c r="G8" s="55">
        <f>'Ноқишлоқ-илова'!K8</f>
        <v>0</v>
      </c>
      <c r="I8" s="72" t="s">
        <v>104</v>
      </c>
    </row>
    <row r="9" spans="1:10" ht="33" customHeight="1" x14ac:dyDescent="0.2">
      <c r="A9" s="5"/>
      <c r="B9" s="167" t="s">
        <v>51</v>
      </c>
      <c r="C9" s="168"/>
      <c r="D9" s="169"/>
      <c r="E9" s="3" t="s">
        <v>3</v>
      </c>
      <c r="F9" s="51">
        <f>'Ноқишлоқ-илова'!L8</f>
        <v>0</v>
      </c>
      <c r="G9" s="35" t="s">
        <v>0</v>
      </c>
      <c r="I9" s="73" t="s">
        <v>105</v>
      </c>
    </row>
    <row r="10" spans="1:10" ht="33" customHeight="1" x14ac:dyDescent="0.2">
      <c r="A10" s="5"/>
      <c r="B10" s="167" t="s">
        <v>68</v>
      </c>
      <c r="C10" s="168"/>
      <c r="D10" s="169"/>
      <c r="E10" s="3" t="s">
        <v>4</v>
      </c>
      <c r="F10" s="2" t="s">
        <v>0</v>
      </c>
      <c r="G10" s="55">
        <f>'Ноқишлоқ-илова'!N8</f>
        <v>0</v>
      </c>
      <c r="I10" s="73" t="s">
        <v>106</v>
      </c>
    </row>
    <row r="11" spans="1:10" ht="22.5" customHeight="1" x14ac:dyDescent="0.2">
      <c r="A11" s="5"/>
      <c r="B11" s="164" t="s">
        <v>19</v>
      </c>
      <c r="C11" s="165"/>
      <c r="D11" s="166"/>
      <c r="E11" s="12" t="s">
        <v>0</v>
      </c>
      <c r="F11" s="12" t="s">
        <v>0</v>
      </c>
      <c r="G11" s="35" t="s">
        <v>0</v>
      </c>
    </row>
    <row r="12" spans="1:10" ht="22.5" customHeight="1" x14ac:dyDescent="0.2">
      <c r="A12" s="5"/>
      <c r="B12" s="164" t="s">
        <v>99</v>
      </c>
      <c r="C12" s="165"/>
      <c r="D12" s="166"/>
      <c r="E12" s="6" t="s">
        <v>5</v>
      </c>
      <c r="F12" s="12" t="s">
        <v>0</v>
      </c>
      <c r="G12" s="55">
        <f>G10/12</f>
        <v>0</v>
      </c>
      <c r="I12" s="173" t="s">
        <v>101</v>
      </c>
    </row>
    <row r="13" spans="1:10" ht="22.5" customHeight="1" x14ac:dyDescent="0.2">
      <c r="A13" s="5"/>
      <c r="B13" s="164" t="s">
        <v>20</v>
      </c>
      <c r="C13" s="165"/>
      <c r="D13" s="166"/>
      <c r="E13" s="6" t="s">
        <v>6</v>
      </c>
      <c r="F13" s="12" t="s">
        <v>0</v>
      </c>
      <c r="G13" s="55">
        <f>G10/12</f>
        <v>0</v>
      </c>
      <c r="I13" s="174"/>
    </row>
    <row r="14" spans="1:10" ht="22.5" customHeight="1" x14ac:dyDescent="0.2">
      <c r="A14" s="5"/>
      <c r="B14" s="164" t="s">
        <v>21</v>
      </c>
      <c r="C14" s="165"/>
      <c r="D14" s="166"/>
      <c r="E14" s="6" t="s">
        <v>7</v>
      </c>
      <c r="F14" s="12" t="s">
        <v>0</v>
      </c>
      <c r="G14" s="55">
        <f>G10/12</f>
        <v>0</v>
      </c>
      <c r="I14" s="174"/>
    </row>
    <row r="15" spans="1:10" ht="22.5" customHeight="1" x14ac:dyDescent="0.2">
      <c r="A15" s="7"/>
      <c r="B15" s="164" t="s">
        <v>22</v>
      </c>
      <c r="C15" s="165"/>
      <c r="D15" s="166"/>
      <c r="E15" s="6" t="s">
        <v>8</v>
      </c>
      <c r="F15" s="12" t="s">
        <v>0</v>
      </c>
      <c r="G15" s="55">
        <f>G10/12</f>
        <v>0</v>
      </c>
      <c r="I15" s="174"/>
    </row>
    <row r="16" spans="1:10" ht="22.5" customHeight="1" x14ac:dyDescent="0.2">
      <c r="A16" s="7"/>
      <c r="B16" s="164" t="s">
        <v>23</v>
      </c>
      <c r="C16" s="165"/>
      <c r="D16" s="166"/>
      <c r="E16" s="6" t="s">
        <v>10</v>
      </c>
      <c r="F16" s="12" t="s">
        <v>0</v>
      </c>
      <c r="G16" s="55">
        <f>G10/12</f>
        <v>0</v>
      </c>
      <c r="I16" s="174"/>
    </row>
    <row r="17" spans="1:9" ht="22.5" customHeight="1" x14ac:dyDescent="0.2">
      <c r="A17" s="7"/>
      <c r="B17" s="164" t="s">
        <v>24</v>
      </c>
      <c r="C17" s="165"/>
      <c r="D17" s="166"/>
      <c r="E17" s="6" t="s">
        <v>11</v>
      </c>
      <c r="F17" s="12" t="s">
        <v>0</v>
      </c>
      <c r="G17" s="55">
        <f>G10/12</f>
        <v>0</v>
      </c>
      <c r="I17" s="174"/>
    </row>
    <row r="18" spans="1:9" ht="22.5" customHeight="1" x14ac:dyDescent="0.2">
      <c r="A18" s="7"/>
      <c r="B18" s="164" t="s">
        <v>25</v>
      </c>
      <c r="C18" s="165"/>
      <c r="D18" s="166"/>
      <c r="E18" s="6" t="s">
        <v>12</v>
      </c>
      <c r="F18" s="12" t="s">
        <v>0</v>
      </c>
      <c r="G18" s="55">
        <f>G10/12</f>
        <v>0</v>
      </c>
      <c r="I18" s="174"/>
    </row>
    <row r="19" spans="1:9" ht="22.5" customHeight="1" x14ac:dyDescent="0.2">
      <c r="A19" s="7"/>
      <c r="B19" s="164" t="s">
        <v>26</v>
      </c>
      <c r="C19" s="165"/>
      <c r="D19" s="166"/>
      <c r="E19" s="6" t="s">
        <v>13</v>
      </c>
      <c r="F19" s="12" t="s">
        <v>0</v>
      </c>
      <c r="G19" s="55">
        <f>G10/12</f>
        <v>0</v>
      </c>
      <c r="I19" s="174"/>
    </row>
    <row r="20" spans="1:9" ht="22.5" customHeight="1" x14ac:dyDescent="0.2">
      <c r="A20" s="7"/>
      <c r="B20" s="164" t="s">
        <v>27</v>
      </c>
      <c r="C20" s="165"/>
      <c r="D20" s="166"/>
      <c r="E20" s="6" t="s">
        <v>14</v>
      </c>
      <c r="F20" s="12" t="s">
        <v>0</v>
      </c>
      <c r="G20" s="55">
        <f>G10/12</f>
        <v>0</v>
      </c>
      <c r="I20" s="174"/>
    </row>
    <row r="21" spans="1:9" ht="22.5" customHeight="1" x14ac:dyDescent="0.2">
      <c r="A21" s="7"/>
      <c r="B21" s="164" t="s">
        <v>28</v>
      </c>
      <c r="C21" s="165"/>
      <c r="D21" s="166"/>
      <c r="E21" s="6" t="s">
        <v>15</v>
      </c>
      <c r="F21" s="12" t="s">
        <v>0</v>
      </c>
      <c r="G21" s="55">
        <f>G10/12</f>
        <v>0</v>
      </c>
      <c r="I21" s="174"/>
    </row>
    <row r="22" spans="1:9" ht="22.5" customHeight="1" x14ac:dyDescent="0.2">
      <c r="A22" s="7"/>
      <c r="B22" s="164" t="s">
        <v>29</v>
      </c>
      <c r="C22" s="165"/>
      <c r="D22" s="166"/>
      <c r="E22" s="6" t="s">
        <v>30</v>
      </c>
      <c r="F22" s="12" t="s">
        <v>0</v>
      </c>
      <c r="G22" s="55">
        <f>G10/12</f>
        <v>0</v>
      </c>
      <c r="I22" s="174"/>
    </row>
    <row r="23" spans="1:9" ht="22.5" customHeight="1" x14ac:dyDescent="0.2">
      <c r="A23" s="5"/>
      <c r="B23" s="164" t="s">
        <v>31</v>
      </c>
      <c r="C23" s="165"/>
      <c r="D23" s="166"/>
      <c r="E23" s="6" t="s">
        <v>32</v>
      </c>
      <c r="F23" s="12" t="s">
        <v>0</v>
      </c>
      <c r="G23" s="55">
        <f>G10-SUM(G12:G22)</f>
        <v>0</v>
      </c>
      <c r="I23" s="174"/>
    </row>
    <row r="24" spans="1:9" ht="15" customHeight="1" x14ac:dyDescent="0.2">
      <c r="A24" s="7"/>
      <c r="B24" s="8"/>
      <c r="C24" s="8"/>
      <c r="D24" s="8"/>
      <c r="E24" s="9"/>
      <c r="F24" s="10"/>
      <c r="G24" s="1"/>
    </row>
  </sheetData>
  <mergeCells count="22">
    <mergeCell ref="B5:D5"/>
    <mergeCell ref="B8:D8"/>
    <mergeCell ref="I12:I23"/>
    <mergeCell ref="B6:D6"/>
    <mergeCell ref="B3:G3"/>
    <mergeCell ref="B9:D9"/>
    <mergeCell ref="B2:G2"/>
    <mergeCell ref="B23:D23"/>
    <mergeCell ref="B22:D22"/>
    <mergeCell ref="B21:D21"/>
    <mergeCell ref="B20:D20"/>
    <mergeCell ref="B19:D19"/>
    <mergeCell ref="B17:D17"/>
    <mergeCell ref="B16:D16"/>
    <mergeCell ref="B15:D15"/>
    <mergeCell ref="B13:D13"/>
    <mergeCell ref="B14:D14"/>
    <mergeCell ref="B7:D7"/>
    <mergeCell ref="B18:D18"/>
    <mergeCell ref="B12:D12"/>
    <mergeCell ref="B11:D11"/>
    <mergeCell ref="B10:D10"/>
  </mergeCells>
  <phoneticPr fontId="5" type="noConversion"/>
  <pageMargins left="0.39370078740157483" right="0.39370078740157483" top="0.39370078740157483" bottom="0.39370078740157483" header="0.39370078740157483" footer="0.39370078740157483"/>
  <pageSetup paperSize="9" scale="73" orientation="landscape" r:id="rId1"/>
  <headerFooter alignWithMargins="0"/>
  <ignoredErrors>
    <ignoredError sqref="E7:E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pageSetUpPr fitToPage="1"/>
  </sheetPr>
  <dimension ref="A1:P35"/>
  <sheetViews>
    <sheetView view="pageBreakPreview" zoomScale="85" zoomScaleNormal="70" zoomScaleSheetLayoutView="85" workbookViewId="0">
      <pane xSplit="5" ySplit="7" topLeftCell="F8" activePane="bottomRight" state="frozen"/>
      <selection activeCell="G18" sqref="G18"/>
      <selection pane="topRight" activeCell="G18" sqref="G18"/>
      <selection pane="bottomLeft" activeCell="G18" sqref="G18"/>
      <selection pane="bottomRight"/>
    </sheetView>
  </sheetViews>
  <sheetFormatPr defaultColWidth="8.85546875" defaultRowHeight="12.75" x14ac:dyDescent="0.2"/>
  <cols>
    <col min="1" max="1" width="2.28515625" style="1" customWidth="1"/>
    <col min="2" max="2" width="76.85546875" style="1" customWidth="1"/>
    <col min="3" max="3" width="8.5703125" style="1" customWidth="1"/>
    <col min="4" max="4" width="19.7109375" style="1" customWidth="1"/>
    <col min="5" max="11" width="11.5703125" style="53" customWidth="1"/>
    <col min="12" max="12" width="17.5703125" style="53" customWidth="1"/>
    <col min="13" max="13" width="23" style="53" customWidth="1"/>
    <col min="14" max="14" width="20.140625" style="53" customWidth="1"/>
    <col min="15" max="15" width="3.140625" style="1" customWidth="1"/>
    <col min="16" max="16" width="91.5703125" style="1" customWidth="1"/>
    <col min="17" max="16384" width="8.85546875" style="1"/>
  </cols>
  <sheetData>
    <row r="1" spans="1:16" x14ac:dyDescent="0.2">
      <c r="K1" s="53">
        <f>88+64</f>
        <v>152</v>
      </c>
    </row>
    <row r="2" spans="1:16" ht="17.25" customHeight="1" x14ac:dyDescent="0.2">
      <c r="A2" s="20"/>
      <c r="B2" s="184" t="s">
        <v>54</v>
      </c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65"/>
    </row>
    <row r="3" spans="1:16" ht="21.75" customHeight="1" x14ac:dyDescent="0.2">
      <c r="A3" s="20"/>
      <c r="B3" s="185" t="s">
        <v>55</v>
      </c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65"/>
    </row>
    <row r="4" spans="1:16" ht="12" customHeight="1" x14ac:dyDescent="0.2">
      <c r="A4" s="20"/>
      <c r="B4" s="26"/>
      <c r="C4" s="26"/>
      <c r="D4" s="26"/>
      <c r="E4" s="26"/>
      <c r="F4" s="26"/>
      <c r="G4" s="26"/>
      <c r="H4" s="26"/>
      <c r="I4" s="26"/>
      <c r="J4" s="27"/>
      <c r="K4" s="27"/>
      <c r="L4" s="27"/>
      <c r="M4" s="26"/>
      <c r="N4" s="26"/>
      <c r="O4" s="65"/>
    </row>
    <row r="5" spans="1:16" ht="41.45" customHeight="1" x14ac:dyDescent="0.2">
      <c r="A5" s="20"/>
      <c r="B5" s="187" t="s">
        <v>57</v>
      </c>
      <c r="C5" s="188" t="s">
        <v>17</v>
      </c>
      <c r="D5" s="181" t="s">
        <v>34</v>
      </c>
      <c r="E5" s="181" t="s">
        <v>35</v>
      </c>
      <c r="F5" s="181" t="s">
        <v>58</v>
      </c>
      <c r="G5" s="181"/>
      <c r="H5" s="181" t="s">
        <v>74</v>
      </c>
      <c r="I5" s="181"/>
      <c r="J5" s="182" t="s">
        <v>36</v>
      </c>
      <c r="K5" s="182"/>
      <c r="L5" s="182" t="s">
        <v>73</v>
      </c>
      <c r="M5" s="181" t="s">
        <v>75</v>
      </c>
      <c r="N5" s="181" t="s">
        <v>60</v>
      </c>
      <c r="O5" s="65"/>
      <c r="P5" s="183" t="s">
        <v>90</v>
      </c>
    </row>
    <row r="6" spans="1:16" ht="41.25" customHeight="1" x14ac:dyDescent="0.2">
      <c r="A6" s="20"/>
      <c r="B6" s="187"/>
      <c r="C6" s="188"/>
      <c r="D6" s="181"/>
      <c r="E6" s="181"/>
      <c r="F6" s="41" t="s">
        <v>37</v>
      </c>
      <c r="G6" s="41" t="s">
        <v>59</v>
      </c>
      <c r="H6" s="41" t="s">
        <v>37</v>
      </c>
      <c r="I6" s="41" t="s">
        <v>59</v>
      </c>
      <c r="J6" s="42" t="s">
        <v>38</v>
      </c>
      <c r="K6" s="42" t="s">
        <v>39</v>
      </c>
      <c r="L6" s="182"/>
      <c r="M6" s="181"/>
      <c r="N6" s="181"/>
      <c r="O6" s="65"/>
      <c r="P6" s="183"/>
    </row>
    <row r="7" spans="1:16" x14ac:dyDescent="0.2">
      <c r="A7" s="20"/>
      <c r="B7" s="13">
        <v>1</v>
      </c>
      <c r="C7" s="31">
        <v>2</v>
      </c>
      <c r="D7" s="31">
        <v>3</v>
      </c>
      <c r="E7" s="41">
        <v>4</v>
      </c>
      <c r="F7" s="41">
        <v>5</v>
      </c>
      <c r="G7" s="41">
        <v>6</v>
      </c>
      <c r="H7" s="41">
        <v>7</v>
      </c>
      <c r="I7" s="41">
        <v>8</v>
      </c>
      <c r="J7" s="42">
        <v>9</v>
      </c>
      <c r="K7" s="42">
        <v>10</v>
      </c>
      <c r="L7" s="42">
        <v>11</v>
      </c>
      <c r="M7" s="41">
        <v>12</v>
      </c>
      <c r="N7" s="41">
        <v>13</v>
      </c>
      <c r="O7" s="65"/>
      <c r="P7" s="69"/>
    </row>
    <row r="8" spans="1:16" ht="40.5" customHeight="1" x14ac:dyDescent="0.2">
      <c r="A8" s="28"/>
      <c r="B8" s="43" t="s">
        <v>85</v>
      </c>
      <c r="C8" s="14" t="s">
        <v>1</v>
      </c>
      <c r="D8" s="30" t="s">
        <v>0</v>
      </c>
      <c r="E8" s="58">
        <v>0</v>
      </c>
      <c r="F8" s="59" t="s">
        <v>0</v>
      </c>
      <c r="G8" s="58">
        <v>0</v>
      </c>
      <c r="H8" s="59" t="s">
        <v>0</v>
      </c>
      <c r="I8" s="58">
        <v>0</v>
      </c>
      <c r="J8" s="58">
        <v>0</v>
      </c>
      <c r="K8" s="58">
        <v>0</v>
      </c>
      <c r="L8" s="58">
        <v>0</v>
      </c>
      <c r="M8" s="60">
        <v>0</v>
      </c>
      <c r="N8" s="58">
        <v>0</v>
      </c>
      <c r="O8" s="66"/>
      <c r="P8" s="67" t="s">
        <v>91</v>
      </c>
    </row>
    <row r="9" spans="1:16" ht="40.5" customHeight="1" x14ac:dyDescent="0.2">
      <c r="A9" s="32"/>
      <c r="B9" s="43" t="s">
        <v>77</v>
      </c>
      <c r="C9" s="16" t="s">
        <v>2</v>
      </c>
      <c r="D9" s="30" t="s">
        <v>0</v>
      </c>
      <c r="E9" s="58">
        <v>0</v>
      </c>
      <c r="F9" s="59" t="s">
        <v>0</v>
      </c>
      <c r="G9" s="58">
        <v>0</v>
      </c>
      <c r="H9" s="59" t="s">
        <v>0</v>
      </c>
      <c r="I9" s="58">
        <v>0</v>
      </c>
      <c r="J9" s="58">
        <v>0</v>
      </c>
      <c r="K9" s="58">
        <v>0</v>
      </c>
      <c r="L9" s="58">
        <v>0</v>
      </c>
      <c r="M9" s="60">
        <v>0</v>
      </c>
      <c r="N9" s="58">
        <v>0</v>
      </c>
      <c r="O9" s="66"/>
      <c r="P9" s="63" t="s">
        <v>92</v>
      </c>
    </row>
    <row r="10" spans="1:16" ht="40.5" customHeight="1" x14ac:dyDescent="0.2">
      <c r="A10" s="33"/>
      <c r="B10" s="43" t="s">
        <v>78</v>
      </c>
      <c r="C10" s="16" t="s">
        <v>3</v>
      </c>
      <c r="D10" s="30" t="s">
        <v>0</v>
      </c>
      <c r="E10" s="58">
        <v>0</v>
      </c>
      <c r="F10" s="15" t="s">
        <v>0</v>
      </c>
      <c r="G10" s="58">
        <v>0</v>
      </c>
      <c r="H10" s="15" t="s">
        <v>0</v>
      </c>
      <c r="I10" s="58">
        <v>0</v>
      </c>
      <c r="J10" s="17" t="s">
        <v>0</v>
      </c>
      <c r="K10" s="17" t="s">
        <v>0</v>
      </c>
      <c r="L10" s="58">
        <v>0</v>
      </c>
      <c r="M10" s="60">
        <v>0</v>
      </c>
      <c r="N10" s="58">
        <v>0</v>
      </c>
      <c r="O10" s="65"/>
      <c r="P10" s="62" t="s">
        <v>93</v>
      </c>
    </row>
    <row r="11" spans="1:16" ht="40.5" customHeight="1" x14ac:dyDescent="0.2">
      <c r="A11" s="34"/>
      <c r="B11" s="44" t="s">
        <v>79</v>
      </c>
      <c r="C11" s="16" t="s">
        <v>4</v>
      </c>
      <c r="D11" s="30" t="s">
        <v>0</v>
      </c>
      <c r="E11" s="58">
        <v>0</v>
      </c>
      <c r="F11" s="15" t="s">
        <v>0</v>
      </c>
      <c r="G11" s="58">
        <v>0</v>
      </c>
      <c r="H11" s="15" t="s">
        <v>0</v>
      </c>
      <c r="I11" s="58">
        <v>0</v>
      </c>
      <c r="J11" s="17" t="s">
        <v>0</v>
      </c>
      <c r="K11" s="17" t="s">
        <v>0</v>
      </c>
      <c r="L11" s="58">
        <v>0</v>
      </c>
      <c r="M11" s="60">
        <v>0</v>
      </c>
      <c r="N11" s="58">
        <v>0</v>
      </c>
      <c r="O11" s="65"/>
      <c r="P11" s="62" t="s">
        <v>93</v>
      </c>
    </row>
    <row r="12" spans="1:16" ht="40.5" customHeight="1" x14ac:dyDescent="0.2">
      <c r="A12" s="33"/>
      <c r="B12" s="45" t="s">
        <v>80</v>
      </c>
      <c r="C12" s="18" t="s">
        <v>9</v>
      </c>
      <c r="D12" s="19" t="s">
        <v>0</v>
      </c>
      <c r="E12" s="58">
        <v>0</v>
      </c>
      <c r="F12" s="15" t="s">
        <v>0</v>
      </c>
      <c r="G12" s="58">
        <v>0</v>
      </c>
      <c r="H12" s="15" t="s">
        <v>0</v>
      </c>
      <c r="I12" s="58">
        <v>0</v>
      </c>
      <c r="J12" s="58">
        <v>0</v>
      </c>
      <c r="K12" s="58">
        <v>0</v>
      </c>
      <c r="L12" s="58">
        <v>0</v>
      </c>
      <c r="M12" s="60">
        <v>0</v>
      </c>
      <c r="N12" s="58">
        <v>0</v>
      </c>
      <c r="O12" s="65"/>
      <c r="P12" s="63" t="s">
        <v>94</v>
      </c>
    </row>
    <row r="13" spans="1:16" ht="40.5" customHeight="1" x14ac:dyDescent="0.2">
      <c r="A13" s="33"/>
      <c r="B13" s="45" t="s">
        <v>81</v>
      </c>
      <c r="C13" s="18" t="s">
        <v>40</v>
      </c>
      <c r="D13" s="19" t="s">
        <v>0</v>
      </c>
      <c r="E13" s="58">
        <v>0</v>
      </c>
      <c r="F13" s="15" t="s">
        <v>0</v>
      </c>
      <c r="G13" s="58">
        <v>0</v>
      </c>
      <c r="H13" s="15" t="s">
        <v>0</v>
      </c>
      <c r="I13" s="58">
        <v>0</v>
      </c>
      <c r="J13" s="58">
        <v>0</v>
      </c>
      <c r="K13" s="58">
        <v>0</v>
      </c>
      <c r="L13" s="58">
        <v>0</v>
      </c>
      <c r="M13" s="60">
        <v>0</v>
      </c>
      <c r="N13" s="58">
        <v>0</v>
      </c>
      <c r="O13" s="65"/>
      <c r="P13" s="63" t="s">
        <v>92</v>
      </c>
    </row>
    <row r="14" spans="1:16" ht="40.5" customHeight="1" x14ac:dyDescent="0.2">
      <c r="A14" s="33"/>
      <c r="B14" s="45" t="s">
        <v>82</v>
      </c>
      <c r="C14" s="18" t="s">
        <v>41</v>
      </c>
      <c r="D14" s="19" t="s">
        <v>0</v>
      </c>
      <c r="E14" s="58">
        <v>0</v>
      </c>
      <c r="F14" s="15" t="s">
        <v>0</v>
      </c>
      <c r="G14" s="58">
        <v>0</v>
      </c>
      <c r="H14" s="15" t="s">
        <v>0</v>
      </c>
      <c r="I14" s="58">
        <v>0</v>
      </c>
      <c r="J14" s="58">
        <v>0</v>
      </c>
      <c r="K14" s="58">
        <v>0</v>
      </c>
      <c r="L14" s="58">
        <v>0</v>
      </c>
      <c r="M14" s="60">
        <v>0</v>
      </c>
      <c r="N14" s="58">
        <v>0</v>
      </c>
      <c r="O14" s="65"/>
      <c r="P14" s="63" t="s">
        <v>92</v>
      </c>
    </row>
    <row r="15" spans="1:16" ht="38.25" customHeight="1" x14ac:dyDescent="0.2">
      <c r="A15" s="36"/>
      <c r="B15" s="44" t="s">
        <v>83</v>
      </c>
      <c r="C15" s="18" t="s">
        <v>42</v>
      </c>
      <c r="D15" s="19" t="s">
        <v>0</v>
      </c>
      <c r="E15" s="58">
        <f>SUM(E16:E23)</f>
        <v>0</v>
      </c>
      <c r="F15" s="15" t="s">
        <v>0</v>
      </c>
      <c r="G15" s="58">
        <f>SUM(G16:G23)</f>
        <v>0</v>
      </c>
      <c r="H15" s="15" t="s">
        <v>0</v>
      </c>
      <c r="I15" s="58">
        <f>SUM(I16:I23)</f>
        <v>0</v>
      </c>
      <c r="J15" s="58">
        <v>0</v>
      </c>
      <c r="K15" s="58">
        <v>0</v>
      </c>
      <c r="L15" s="58">
        <f>SUM(L16:L23)</f>
        <v>0</v>
      </c>
      <c r="M15" s="60">
        <v>0</v>
      </c>
      <c r="N15" s="58">
        <f>SUM(N16:N23)</f>
        <v>0</v>
      </c>
      <c r="O15" s="65"/>
      <c r="P15" s="63" t="s">
        <v>92</v>
      </c>
    </row>
    <row r="16" spans="1:16" ht="42" customHeight="1" x14ac:dyDescent="0.2">
      <c r="A16" s="36"/>
      <c r="B16" s="46" t="s">
        <v>67</v>
      </c>
      <c r="C16" s="18" t="s">
        <v>43</v>
      </c>
      <c r="D16" s="89">
        <v>0</v>
      </c>
      <c r="E16" s="89">
        <v>0</v>
      </c>
      <c r="F16" s="89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60">
        <f t="shared" ref="L16:M23" si="0">E16-J16</f>
        <v>0</v>
      </c>
      <c r="M16" s="60">
        <f t="shared" si="0"/>
        <v>0</v>
      </c>
      <c r="N16" s="58">
        <f>L16*M16*0.25</f>
        <v>0</v>
      </c>
      <c r="O16" s="65"/>
      <c r="P16" s="63" t="s">
        <v>95</v>
      </c>
    </row>
    <row r="17" spans="1:16" ht="30" customHeight="1" x14ac:dyDescent="0.2">
      <c r="A17" s="36"/>
      <c r="B17" s="46" t="s">
        <v>66</v>
      </c>
      <c r="C17" s="18" t="s">
        <v>44</v>
      </c>
      <c r="D17" s="89">
        <v>0</v>
      </c>
      <c r="E17" s="89">
        <v>0</v>
      </c>
      <c r="F17" s="89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60">
        <f t="shared" si="0"/>
        <v>0</v>
      </c>
      <c r="M17" s="60">
        <f t="shared" si="0"/>
        <v>0</v>
      </c>
      <c r="N17" s="58">
        <f>L17*M17*0.3</f>
        <v>0</v>
      </c>
      <c r="O17" s="65"/>
      <c r="P17" s="176" t="s">
        <v>124</v>
      </c>
    </row>
    <row r="18" spans="1:16" ht="30" customHeight="1" x14ac:dyDescent="0.2">
      <c r="A18" s="36"/>
      <c r="B18" s="46" t="s">
        <v>65</v>
      </c>
      <c r="C18" s="18" t="s">
        <v>45</v>
      </c>
      <c r="D18" s="89">
        <v>0</v>
      </c>
      <c r="E18" s="89">
        <v>0</v>
      </c>
      <c r="F18" s="89">
        <v>0</v>
      </c>
      <c r="G18" s="89">
        <v>0</v>
      </c>
      <c r="H18" s="89">
        <v>0</v>
      </c>
      <c r="I18" s="89">
        <v>0</v>
      </c>
      <c r="J18" s="89">
        <v>0</v>
      </c>
      <c r="K18" s="89">
        <v>0</v>
      </c>
      <c r="L18" s="60">
        <f t="shared" si="0"/>
        <v>0</v>
      </c>
      <c r="M18" s="60">
        <f t="shared" si="0"/>
        <v>0</v>
      </c>
      <c r="N18" s="58">
        <f t="shared" ref="N18:N23" si="1">L18*M18*0.3</f>
        <v>0</v>
      </c>
      <c r="O18" s="65"/>
      <c r="P18" s="177"/>
    </row>
    <row r="19" spans="1:16" ht="30" customHeight="1" x14ac:dyDescent="0.2">
      <c r="A19" s="36"/>
      <c r="B19" s="46" t="s">
        <v>84</v>
      </c>
      <c r="C19" s="18" t="s">
        <v>46</v>
      </c>
      <c r="D19" s="89">
        <v>0</v>
      </c>
      <c r="E19" s="89">
        <v>0</v>
      </c>
      <c r="F19" s="89">
        <v>0</v>
      </c>
      <c r="G19" s="89">
        <v>0</v>
      </c>
      <c r="H19" s="89">
        <v>0</v>
      </c>
      <c r="I19" s="89">
        <v>0</v>
      </c>
      <c r="J19" s="89">
        <v>0</v>
      </c>
      <c r="K19" s="89">
        <v>0</v>
      </c>
      <c r="L19" s="60">
        <f t="shared" si="0"/>
        <v>0</v>
      </c>
      <c r="M19" s="60">
        <f t="shared" si="0"/>
        <v>0</v>
      </c>
      <c r="N19" s="58">
        <f t="shared" si="1"/>
        <v>0</v>
      </c>
      <c r="O19" s="65"/>
      <c r="P19" s="177"/>
    </row>
    <row r="20" spans="1:16" ht="30" customHeight="1" x14ac:dyDescent="0.2">
      <c r="A20" s="36"/>
      <c r="B20" s="46" t="s">
        <v>64</v>
      </c>
      <c r="C20" s="18" t="s">
        <v>47</v>
      </c>
      <c r="D20" s="89">
        <v>0</v>
      </c>
      <c r="E20" s="89">
        <v>0</v>
      </c>
      <c r="F20" s="89">
        <v>0</v>
      </c>
      <c r="G20" s="89">
        <v>0</v>
      </c>
      <c r="H20" s="89">
        <v>0</v>
      </c>
      <c r="I20" s="89">
        <v>0</v>
      </c>
      <c r="J20" s="89">
        <v>0</v>
      </c>
      <c r="K20" s="89">
        <v>0</v>
      </c>
      <c r="L20" s="60">
        <f t="shared" si="0"/>
        <v>0</v>
      </c>
      <c r="M20" s="60">
        <f t="shared" si="0"/>
        <v>0</v>
      </c>
      <c r="N20" s="58">
        <f t="shared" si="1"/>
        <v>0</v>
      </c>
      <c r="O20" s="65"/>
      <c r="P20" s="177"/>
    </row>
    <row r="21" spans="1:16" ht="38.25" customHeight="1" x14ac:dyDescent="0.2">
      <c r="A21" s="36"/>
      <c r="B21" s="46" t="s">
        <v>63</v>
      </c>
      <c r="C21" s="18" t="s">
        <v>48</v>
      </c>
      <c r="D21" s="89">
        <v>0</v>
      </c>
      <c r="E21" s="89">
        <v>0</v>
      </c>
      <c r="F21" s="89">
        <v>0</v>
      </c>
      <c r="G21" s="89">
        <v>0</v>
      </c>
      <c r="H21" s="89">
        <v>0</v>
      </c>
      <c r="I21" s="89">
        <v>0</v>
      </c>
      <c r="J21" s="89">
        <v>0</v>
      </c>
      <c r="K21" s="89">
        <v>0</v>
      </c>
      <c r="L21" s="60">
        <f t="shared" si="0"/>
        <v>0</v>
      </c>
      <c r="M21" s="60">
        <f t="shared" si="0"/>
        <v>0</v>
      </c>
      <c r="N21" s="58">
        <f t="shared" si="1"/>
        <v>0</v>
      </c>
      <c r="O21" s="65"/>
      <c r="P21" s="177"/>
    </row>
    <row r="22" spans="1:16" ht="36" customHeight="1" x14ac:dyDescent="0.2">
      <c r="A22" s="36"/>
      <c r="B22" s="47" t="s">
        <v>62</v>
      </c>
      <c r="C22" s="18" t="s">
        <v>49</v>
      </c>
      <c r="D22" s="89">
        <v>0</v>
      </c>
      <c r="E22" s="89">
        <v>0</v>
      </c>
      <c r="F22" s="89">
        <v>0</v>
      </c>
      <c r="G22" s="89">
        <v>0</v>
      </c>
      <c r="H22" s="89">
        <v>0</v>
      </c>
      <c r="I22" s="89">
        <v>0</v>
      </c>
      <c r="J22" s="89">
        <v>0</v>
      </c>
      <c r="K22" s="89">
        <v>0</v>
      </c>
      <c r="L22" s="60">
        <f t="shared" si="0"/>
        <v>0</v>
      </c>
      <c r="M22" s="60">
        <f t="shared" si="0"/>
        <v>0</v>
      </c>
      <c r="N22" s="58">
        <f t="shared" si="1"/>
        <v>0</v>
      </c>
      <c r="O22" s="65"/>
      <c r="P22" s="177"/>
    </row>
    <row r="23" spans="1:16" ht="30" customHeight="1" x14ac:dyDescent="0.2">
      <c r="A23" s="36"/>
      <c r="B23" s="47" t="s">
        <v>61</v>
      </c>
      <c r="C23" s="18" t="s">
        <v>50</v>
      </c>
      <c r="D23" s="89">
        <v>0</v>
      </c>
      <c r="E23" s="89">
        <v>0</v>
      </c>
      <c r="F23" s="89">
        <v>0</v>
      </c>
      <c r="G23" s="89">
        <v>0</v>
      </c>
      <c r="H23" s="89">
        <v>0</v>
      </c>
      <c r="I23" s="89">
        <v>0</v>
      </c>
      <c r="J23" s="89">
        <v>0</v>
      </c>
      <c r="K23" s="89">
        <v>0</v>
      </c>
      <c r="L23" s="60">
        <f t="shared" si="0"/>
        <v>0</v>
      </c>
      <c r="M23" s="60">
        <f t="shared" si="0"/>
        <v>0</v>
      </c>
      <c r="N23" s="58">
        <f t="shared" si="1"/>
        <v>0</v>
      </c>
      <c r="O23" s="65"/>
      <c r="P23" s="178"/>
    </row>
    <row r="24" spans="1:16" ht="117.75" customHeight="1" x14ac:dyDescent="0.2">
      <c r="A24" s="36"/>
      <c r="B24" s="69"/>
      <c r="C24" s="18"/>
      <c r="D24" s="179" t="s">
        <v>97</v>
      </c>
      <c r="E24" s="179"/>
      <c r="F24" s="179"/>
      <c r="G24" s="179"/>
      <c r="H24" s="179"/>
      <c r="I24" s="179"/>
      <c r="J24" s="180" t="s">
        <v>98</v>
      </c>
      <c r="K24" s="180"/>
      <c r="L24" s="68" t="s">
        <v>96</v>
      </c>
      <c r="M24" s="70" t="s">
        <v>123</v>
      </c>
      <c r="N24" s="68" t="s">
        <v>96</v>
      </c>
    </row>
    <row r="25" spans="1:16" ht="21.75" customHeight="1" x14ac:dyDescent="0.2">
      <c r="A25" s="36"/>
      <c r="B25" s="50" t="s">
        <v>56</v>
      </c>
      <c r="C25" s="48"/>
      <c r="D25" s="49"/>
      <c r="E25" s="52"/>
      <c r="F25" s="29"/>
      <c r="G25" s="52"/>
      <c r="H25" s="29"/>
      <c r="I25" s="52"/>
      <c r="J25" s="52"/>
      <c r="K25" s="54"/>
      <c r="L25" s="52"/>
      <c r="M25" s="56"/>
      <c r="N25" s="56"/>
      <c r="O25" s="65"/>
    </row>
    <row r="26" spans="1:16" ht="18.75" customHeight="1" x14ac:dyDescent="0.2">
      <c r="A26" s="20"/>
      <c r="B26" s="186" t="s">
        <v>52</v>
      </c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65"/>
    </row>
    <row r="27" spans="1:16" ht="18.75" customHeight="1" x14ac:dyDescent="0.2">
      <c r="A27" s="20"/>
      <c r="B27" s="186" t="s">
        <v>122</v>
      </c>
      <c r="C27" s="186"/>
      <c r="D27" s="186"/>
      <c r="E27" s="186"/>
      <c r="F27" s="186"/>
      <c r="G27" s="186"/>
      <c r="H27" s="186"/>
      <c r="I27" s="186"/>
      <c r="J27" s="186"/>
      <c r="K27" s="186"/>
      <c r="L27" s="186"/>
      <c r="M27" s="186"/>
      <c r="N27" s="186"/>
      <c r="O27" s="65"/>
    </row>
    <row r="28" spans="1:16" ht="18.75" customHeight="1" x14ac:dyDescent="0.2">
      <c r="A28" s="20"/>
      <c r="B28" s="186" t="s">
        <v>53</v>
      </c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65"/>
    </row>
    <row r="29" spans="1:16" ht="18.75" customHeight="1" x14ac:dyDescent="0.2">
      <c r="B29" s="186" t="s">
        <v>69</v>
      </c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64"/>
    </row>
    <row r="30" spans="1:16" ht="18.75" customHeight="1" x14ac:dyDescent="0.2">
      <c r="B30" s="186" t="s">
        <v>70</v>
      </c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64"/>
    </row>
    <row r="31" spans="1:16" ht="18.75" customHeight="1" x14ac:dyDescent="0.2">
      <c r="B31" s="186" t="s">
        <v>71</v>
      </c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64"/>
    </row>
    <row r="32" spans="1:16" ht="18.75" customHeight="1" x14ac:dyDescent="0.2">
      <c r="B32" s="186" t="s">
        <v>89</v>
      </c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64"/>
    </row>
    <row r="33" spans="2:15" ht="18.75" customHeight="1" x14ac:dyDescent="0.2">
      <c r="B33" s="186" t="s">
        <v>72</v>
      </c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64"/>
    </row>
    <row r="34" spans="2:15" ht="18.75" customHeight="1" x14ac:dyDescent="0.2">
      <c r="B34" s="186" t="s">
        <v>88</v>
      </c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64"/>
    </row>
    <row r="35" spans="2:15" x14ac:dyDescent="0.2">
      <c r="O35" s="64"/>
    </row>
  </sheetData>
  <mergeCells count="25">
    <mergeCell ref="B2:N2"/>
    <mergeCell ref="B3:N3"/>
    <mergeCell ref="B34:N34"/>
    <mergeCell ref="B29:N29"/>
    <mergeCell ref="B30:N30"/>
    <mergeCell ref="B31:N31"/>
    <mergeCell ref="B32:N32"/>
    <mergeCell ref="B33:N33"/>
    <mergeCell ref="B28:N28"/>
    <mergeCell ref="B27:N27"/>
    <mergeCell ref="B26:N26"/>
    <mergeCell ref="B5:B6"/>
    <mergeCell ref="C5:C6"/>
    <mergeCell ref="D5:D6"/>
    <mergeCell ref="E5:E6"/>
    <mergeCell ref="P17:P23"/>
    <mergeCell ref="D24:I24"/>
    <mergeCell ref="J24:K24"/>
    <mergeCell ref="N5:N6"/>
    <mergeCell ref="F5:G5"/>
    <mergeCell ref="H5:I5"/>
    <mergeCell ref="J5:K5"/>
    <mergeCell ref="L5:L6"/>
    <mergeCell ref="M5:M6"/>
    <mergeCell ref="P5:P6"/>
  </mergeCells>
  <printOptions horizontalCentered="1" verticalCentered="1"/>
  <pageMargins left="0.31496062992125984" right="0.11811023622047245" top="0.15748031496062992" bottom="0.15748031496062992" header="0.31496062992125984" footer="0.31496062992125984"/>
  <pageSetup paperSize="8" scale="60" orientation="landscape" r:id="rId1"/>
  <ignoredErrors>
    <ignoredError sqref="C8:C9 C14 C10 C11 C12 C13 C15:C2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54F6-CA78-4D3B-8171-E29CCDC17C59}">
  <sheetPr>
    <tabColor rgb="FF002060"/>
    <pageSetUpPr fitToPage="1"/>
  </sheetPr>
  <dimension ref="A1:I33"/>
  <sheetViews>
    <sheetView workbookViewId="0"/>
  </sheetViews>
  <sheetFormatPr defaultColWidth="9.140625" defaultRowHeight="12.75" x14ac:dyDescent="0.2"/>
  <cols>
    <col min="1" max="1" width="24.85546875" style="102" customWidth="1"/>
    <col min="2" max="2" width="17.7109375" style="102" customWidth="1"/>
    <col min="3" max="3" width="5.85546875" style="102" customWidth="1"/>
    <col min="4" max="4" width="6" style="102" customWidth="1"/>
    <col min="5" max="5" width="39.7109375" style="102" customWidth="1"/>
    <col min="6" max="6" width="18.42578125" style="102" customWidth="1"/>
    <col min="7" max="7" width="15.5703125" style="102" customWidth="1"/>
    <col min="8" max="8" width="15.42578125" style="102" customWidth="1"/>
    <col min="9" max="9" width="18" style="102" customWidth="1"/>
    <col min="10" max="16384" width="9.140625" style="102"/>
  </cols>
  <sheetData>
    <row r="1" spans="1:9" x14ac:dyDescent="0.2">
      <c r="A1" s="103" t="s">
        <v>125</v>
      </c>
      <c r="B1" s="104"/>
      <c r="C1" s="105"/>
      <c r="D1" s="105"/>
      <c r="E1" s="105"/>
      <c r="F1" s="105"/>
      <c r="G1" s="105"/>
      <c r="H1" s="105"/>
      <c r="I1" s="106"/>
    </row>
    <row r="2" spans="1:9" x14ac:dyDescent="0.2">
      <c r="I2" s="106"/>
    </row>
    <row r="3" spans="1:9" x14ac:dyDescent="0.2">
      <c r="A3" s="202" t="s">
        <v>126</v>
      </c>
      <c r="B3" s="203"/>
      <c r="C3" s="107"/>
      <c r="D3" s="107"/>
      <c r="E3" s="108"/>
      <c r="F3" s="108"/>
      <c r="G3" s="108"/>
      <c r="H3" s="109"/>
      <c r="I3" s="102" t="s">
        <v>127</v>
      </c>
    </row>
    <row r="4" spans="1:9" ht="12.75" customHeight="1" x14ac:dyDescent="0.2">
      <c r="A4" s="204" t="s">
        <v>128</v>
      </c>
      <c r="B4" s="205"/>
      <c r="C4" s="205"/>
      <c r="D4" s="205"/>
      <c r="E4" s="205"/>
      <c r="F4" s="110"/>
      <c r="G4" s="110"/>
      <c r="H4" s="110"/>
      <c r="I4" s="110"/>
    </row>
    <row r="5" spans="1:9" x14ac:dyDescent="0.2">
      <c r="A5" s="111"/>
      <c r="B5" s="111"/>
      <c r="C5" s="111"/>
      <c r="D5" s="111"/>
      <c r="E5" s="111"/>
      <c r="F5" s="110"/>
      <c r="G5" s="110"/>
      <c r="H5" s="110"/>
      <c r="I5" s="110"/>
    </row>
    <row r="6" spans="1:9" ht="12.75" customHeight="1" x14ac:dyDescent="0.2">
      <c r="A6" s="112"/>
      <c r="B6" s="113"/>
      <c r="C6" s="113"/>
      <c r="D6" s="113"/>
      <c r="E6" s="113"/>
      <c r="F6" s="113"/>
      <c r="G6" s="113"/>
      <c r="H6" s="113"/>
      <c r="I6" s="113"/>
    </row>
    <row r="7" spans="1:9" ht="12.75" customHeight="1" x14ac:dyDescent="0.2">
      <c r="A7" s="206" t="s">
        <v>129</v>
      </c>
      <c r="B7" s="206"/>
      <c r="C7" s="206"/>
      <c r="D7" s="206"/>
      <c r="E7" s="206"/>
      <c r="F7" s="201"/>
      <c r="G7" s="201"/>
      <c r="H7" s="201"/>
      <c r="I7" s="201"/>
    </row>
    <row r="8" spans="1:9" ht="12.75" customHeight="1" x14ac:dyDescent="0.2"/>
    <row r="9" spans="1:9" ht="12.75" customHeight="1" x14ac:dyDescent="0.2">
      <c r="A9" s="197" t="s">
        <v>130</v>
      </c>
      <c r="B9" s="197"/>
      <c r="C9" s="197"/>
      <c r="D9" s="197"/>
      <c r="E9" s="197"/>
      <c r="F9" s="198"/>
      <c r="G9" s="198"/>
      <c r="H9" s="198"/>
      <c r="I9" s="198"/>
    </row>
    <row r="10" spans="1:9" ht="12.75" customHeight="1" x14ac:dyDescent="0.2"/>
    <row r="11" spans="1:9" ht="12.75" customHeight="1" x14ac:dyDescent="0.2">
      <c r="A11" s="197" t="s">
        <v>131</v>
      </c>
      <c r="B11" s="197"/>
      <c r="C11" s="197"/>
      <c r="D11" s="197"/>
      <c r="E11" s="197"/>
      <c r="F11" s="114"/>
      <c r="G11" s="115"/>
      <c r="H11" s="116"/>
    </row>
    <row r="12" spans="1:9" ht="12.75" customHeight="1" x14ac:dyDescent="0.2"/>
    <row r="13" spans="1:9" ht="12.75" customHeight="1" x14ac:dyDescent="0.2">
      <c r="A13" s="197" t="s">
        <v>132</v>
      </c>
      <c r="B13" s="197"/>
      <c r="C13" s="197"/>
      <c r="D13" s="197"/>
      <c r="E13" s="197"/>
      <c r="F13" s="198"/>
      <c r="G13" s="198"/>
      <c r="H13" s="198"/>
      <c r="I13" s="198"/>
    </row>
    <row r="14" spans="1:9" ht="12.75" customHeight="1" x14ac:dyDescent="0.2">
      <c r="A14" s="199"/>
      <c r="B14" s="199"/>
      <c r="C14" s="199"/>
      <c r="D14" s="199"/>
      <c r="E14" s="110"/>
      <c r="F14" s="200" t="s">
        <v>133</v>
      </c>
      <c r="G14" s="200"/>
      <c r="H14" s="200"/>
      <c r="I14" s="200"/>
    </row>
    <row r="15" spans="1:9" ht="12.75" customHeight="1" x14ac:dyDescent="0.2">
      <c r="A15" s="117"/>
      <c r="B15" s="117"/>
      <c r="C15" s="117"/>
      <c r="D15" s="117"/>
      <c r="E15" s="118"/>
      <c r="F15" s="118"/>
      <c r="G15" s="118"/>
      <c r="H15" s="118"/>
      <c r="I15" s="118"/>
    </row>
    <row r="16" spans="1:9" ht="12.75" customHeight="1" x14ac:dyDescent="0.2">
      <c r="A16" s="194" t="s">
        <v>134</v>
      </c>
      <c r="B16" s="194"/>
      <c r="C16" s="194"/>
      <c r="D16" s="194"/>
      <c r="E16" s="194"/>
      <c r="F16" s="194"/>
      <c r="G16" s="194"/>
      <c r="H16" s="194"/>
      <c r="I16" s="194"/>
    </row>
    <row r="17" spans="1:9" ht="12.75" customHeight="1" x14ac:dyDescent="0.2">
      <c r="A17" s="195" t="s">
        <v>135</v>
      </c>
      <c r="B17" s="195"/>
      <c r="C17" s="195"/>
      <c r="D17" s="195"/>
      <c r="E17" s="195"/>
      <c r="F17" s="195"/>
      <c r="G17" s="195"/>
      <c r="H17" s="195"/>
      <c r="I17" s="195"/>
    </row>
    <row r="18" spans="1:9" ht="12.75" customHeight="1" x14ac:dyDescent="0.2">
      <c r="A18" s="196" t="s">
        <v>136</v>
      </c>
      <c r="B18" s="196"/>
      <c r="C18" s="196"/>
      <c r="D18" s="196"/>
      <c r="E18" s="196"/>
      <c r="F18" s="196"/>
      <c r="G18" s="196"/>
      <c r="H18" s="196"/>
      <c r="I18" s="196"/>
    </row>
    <row r="19" spans="1:9" ht="25.5" x14ac:dyDescent="0.2">
      <c r="A19" s="192" t="s">
        <v>137</v>
      </c>
      <c r="B19" s="192"/>
      <c r="C19" s="192"/>
      <c r="D19" s="192"/>
      <c r="E19" s="192"/>
      <c r="F19" s="119" t="s">
        <v>17</v>
      </c>
      <c r="G19" s="119" t="s">
        <v>138</v>
      </c>
      <c r="H19" s="119" t="s">
        <v>139</v>
      </c>
      <c r="I19" s="119" t="s">
        <v>140</v>
      </c>
    </row>
    <row r="20" spans="1:9" ht="37.5" customHeight="1" x14ac:dyDescent="0.2">
      <c r="A20" s="193" t="s">
        <v>141</v>
      </c>
      <c r="B20" s="193"/>
      <c r="C20" s="193"/>
      <c r="D20" s="193"/>
      <c r="E20" s="193"/>
      <c r="F20" s="120" t="s">
        <v>1</v>
      </c>
      <c r="G20" s="121"/>
      <c r="H20" s="121"/>
      <c r="I20" s="121"/>
    </row>
    <row r="21" spans="1:9" ht="37.5" customHeight="1" x14ac:dyDescent="0.2">
      <c r="A21" s="191" t="s">
        <v>142</v>
      </c>
      <c r="B21" s="191"/>
      <c r="C21" s="191"/>
      <c r="D21" s="191"/>
      <c r="E21" s="191"/>
      <c r="F21" s="120" t="s">
        <v>2</v>
      </c>
      <c r="G21" s="121"/>
      <c r="H21" s="122"/>
      <c r="I21" s="121"/>
    </row>
    <row r="22" spans="1:9" ht="37.5" customHeight="1" x14ac:dyDescent="0.2">
      <c r="A22" s="191" t="s">
        <v>143</v>
      </c>
      <c r="B22" s="191"/>
      <c r="C22" s="191"/>
      <c r="D22" s="191"/>
      <c r="E22" s="191"/>
      <c r="F22" s="120" t="s">
        <v>3</v>
      </c>
      <c r="G22" s="121"/>
      <c r="H22" s="121"/>
      <c r="I22" s="123" t="s">
        <v>0</v>
      </c>
    </row>
    <row r="23" spans="1:9" ht="33" customHeight="1" x14ac:dyDescent="0.2">
      <c r="A23" s="191" t="s">
        <v>144</v>
      </c>
      <c r="B23" s="191"/>
      <c r="C23" s="191"/>
      <c r="D23" s="191"/>
      <c r="E23" s="191"/>
      <c r="F23" s="120" t="s">
        <v>4</v>
      </c>
      <c r="G23" s="123" t="s">
        <v>0</v>
      </c>
      <c r="H23" s="123" t="s">
        <v>0</v>
      </c>
      <c r="I23" s="121"/>
    </row>
    <row r="24" spans="1:9" ht="21.75" customHeight="1" x14ac:dyDescent="0.2">
      <c r="A24" s="191" t="s">
        <v>145</v>
      </c>
      <c r="B24" s="191"/>
      <c r="C24" s="191"/>
      <c r="D24" s="191"/>
      <c r="E24" s="191"/>
      <c r="F24" s="120" t="s">
        <v>5</v>
      </c>
      <c r="G24" s="123" t="s">
        <v>0</v>
      </c>
      <c r="H24" s="123" t="s">
        <v>0</v>
      </c>
      <c r="I24" s="121"/>
    </row>
    <row r="25" spans="1:9" ht="21.75" customHeight="1" x14ac:dyDescent="0.2">
      <c r="A25" s="191" t="s">
        <v>146</v>
      </c>
      <c r="B25" s="191"/>
      <c r="C25" s="191"/>
      <c r="D25" s="191"/>
      <c r="E25" s="191"/>
      <c r="F25" s="120" t="s">
        <v>6</v>
      </c>
      <c r="G25" s="123" t="s">
        <v>0</v>
      </c>
      <c r="H25" s="123" t="s">
        <v>0</v>
      </c>
      <c r="I25" s="121"/>
    </row>
    <row r="26" spans="1:9" x14ac:dyDescent="0.2">
      <c r="A26" s="117"/>
      <c r="B26" s="117"/>
      <c r="C26" s="117"/>
      <c r="D26" s="117"/>
      <c r="E26" s="118"/>
      <c r="F26" s="118"/>
      <c r="G26" s="118"/>
      <c r="H26" s="118"/>
      <c r="I26" s="118"/>
    </row>
    <row r="27" spans="1:9" x14ac:dyDescent="0.2">
      <c r="A27" s="117"/>
      <c r="B27" s="117"/>
      <c r="C27" s="117"/>
      <c r="D27" s="117"/>
      <c r="E27" s="118"/>
      <c r="F27" s="118"/>
      <c r="G27" s="118"/>
      <c r="H27" s="118"/>
      <c r="I27" s="118"/>
    </row>
    <row r="28" spans="1:9" s="124" customFormat="1" x14ac:dyDescent="0.2">
      <c r="A28" s="189" t="s">
        <v>147</v>
      </c>
      <c r="B28" s="189"/>
      <c r="C28" s="189"/>
      <c r="D28" s="189"/>
      <c r="E28" s="189"/>
      <c r="F28" s="189"/>
    </row>
    <row r="29" spans="1:9" s="124" customFormat="1" x14ac:dyDescent="0.2">
      <c r="A29" s="190"/>
      <c r="B29" s="190"/>
      <c r="C29" s="190"/>
      <c r="D29" s="190"/>
      <c r="E29" s="190"/>
      <c r="F29" s="190"/>
    </row>
    <row r="30" spans="1:9" s="124" customFormat="1" x14ac:dyDescent="0.2">
      <c r="A30" s="189" t="s">
        <v>148</v>
      </c>
      <c r="B30" s="189"/>
      <c r="C30" s="189"/>
      <c r="D30" s="189"/>
      <c r="E30" s="189"/>
      <c r="F30" s="189"/>
    </row>
    <row r="31" spans="1:9" s="124" customFormat="1" x14ac:dyDescent="0.2">
      <c r="A31" s="190"/>
      <c r="B31" s="190"/>
      <c r="C31" s="190"/>
      <c r="D31" s="190"/>
      <c r="E31" s="190"/>
      <c r="F31" s="190"/>
    </row>
    <row r="32" spans="1:9" x14ac:dyDescent="0.2">
      <c r="A32" s="125"/>
      <c r="B32" s="125"/>
      <c r="C32" s="125"/>
      <c r="D32" s="125"/>
      <c r="E32" s="125"/>
      <c r="F32" s="125"/>
    </row>
    <row r="33" spans="1:6" x14ac:dyDescent="0.2">
      <c r="A33" s="125"/>
      <c r="B33" s="125"/>
      <c r="C33" s="125"/>
      <c r="D33" s="125"/>
      <c r="E33" s="125"/>
      <c r="F33" s="125"/>
    </row>
  </sheetData>
  <mergeCells count="25">
    <mergeCell ref="F7:I7"/>
    <mergeCell ref="A9:E9"/>
    <mergeCell ref="F9:I9"/>
    <mergeCell ref="A11:E11"/>
    <mergeCell ref="A3:B3"/>
    <mergeCell ref="A4:E4"/>
    <mergeCell ref="A7:E7"/>
    <mergeCell ref="A16:I16"/>
    <mergeCell ref="A17:I17"/>
    <mergeCell ref="A18:I18"/>
    <mergeCell ref="A13:E13"/>
    <mergeCell ref="F13:I13"/>
    <mergeCell ref="A14:D14"/>
    <mergeCell ref="F14:I14"/>
    <mergeCell ref="A22:E22"/>
    <mergeCell ref="A23:E23"/>
    <mergeCell ref="A24:E24"/>
    <mergeCell ref="A19:E19"/>
    <mergeCell ref="A20:E20"/>
    <mergeCell ref="A21:E21"/>
    <mergeCell ref="A30:F30"/>
    <mergeCell ref="A31:F31"/>
    <mergeCell ref="A25:E25"/>
    <mergeCell ref="A28:F28"/>
    <mergeCell ref="A29:F29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3901-97BA-4EF5-9AB3-4A3881A20FA8}">
  <sheetPr>
    <tabColor rgb="FF002060"/>
    <pageSetUpPr autoPageBreaks="0" fitToPage="1"/>
  </sheetPr>
  <dimension ref="A1:O32"/>
  <sheetViews>
    <sheetView zoomScale="70" zoomScaleNormal="70" workbookViewId="0">
      <selection activeCell="F1" sqref="F1"/>
    </sheetView>
  </sheetViews>
  <sheetFormatPr defaultColWidth="8.85546875" defaultRowHeight="12.75" customHeight="1" x14ac:dyDescent="0.2"/>
  <cols>
    <col min="1" max="1" width="33.85546875" style="126" customWidth="1"/>
    <col min="2" max="2" width="7" style="127" customWidth="1"/>
    <col min="3" max="3" width="10.85546875" style="128" customWidth="1"/>
    <col min="4" max="4" width="19.5703125" style="128" customWidth="1"/>
    <col min="5" max="5" width="10.42578125" style="126" customWidth="1"/>
    <col min="6" max="6" width="10.42578125" style="128" customWidth="1"/>
    <col min="7" max="7" width="11.5703125" style="126" customWidth="1"/>
    <col min="8" max="8" width="11.5703125" style="128" customWidth="1"/>
    <col min="9" max="10" width="11.5703125" style="127" customWidth="1"/>
    <col min="11" max="11" width="12.85546875" style="127" customWidth="1"/>
    <col min="12" max="12" width="11.5703125" style="127" customWidth="1"/>
    <col min="13" max="13" width="11.5703125" style="128" customWidth="1"/>
    <col min="14" max="14" width="12.28515625" style="126" customWidth="1"/>
    <col min="15" max="15" width="12.28515625" style="128" customWidth="1"/>
    <col min="16" max="16384" width="8.85546875" style="126"/>
  </cols>
  <sheetData>
    <row r="1" spans="1:15" ht="27" customHeight="1" x14ac:dyDescent="0.2">
      <c r="D1" s="129" t="s">
        <v>149</v>
      </c>
      <c r="J1" s="126"/>
      <c r="K1" s="130"/>
      <c r="L1" s="130"/>
      <c r="M1" s="130"/>
      <c r="N1" s="130"/>
      <c r="O1" s="130"/>
    </row>
    <row r="2" spans="1:15" x14ac:dyDescent="0.2">
      <c r="A2" s="131" t="s">
        <v>125</v>
      </c>
      <c r="B2" s="132"/>
      <c r="C2" s="133"/>
      <c r="D2" s="133"/>
      <c r="E2" s="134"/>
      <c r="F2" s="133"/>
      <c r="G2" s="134"/>
      <c r="H2" s="133"/>
      <c r="I2" s="135"/>
      <c r="J2" s="135"/>
      <c r="K2" s="135"/>
      <c r="L2" s="135"/>
      <c r="M2" s="133"/>
      <c r="O2" s="126"/>
    </row>
    <row r="3" spans="1:15" ht="19.5" customHeight="1" x14ac:dyDescent="0.2">
      <c r="A3" s="220" t="s">
        <v>54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</row>
    <row r="4" spans="1:15" ht="19.5" customHeight="1" x14ac:dyDescent="0.2">
      <c r="A4" s="220" t="s">
        <v>55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</row>
    <row r="5" spans="1:15" ht="13.15" customHeight="1" x14ac:dyDescent="0.2">
      <c r="A5" s="217" t="s">
        <v>16</v>
      </c>
      <c r="B5" s="214" t="s">
        <v>150</v>
      </c>
      <c r="C5" s="214" t="s">
        <v>151</v>
      </c>
      <c r="D5" s="214" t="s">
        <v>152</v>
      </c>
      <c r="E5" s="210" t="s">
        <v>153</v>
      </c>
      <c r="F5" s="211"/>
      <c r="G5" s="210" t="s">
        <v>154</v>
      </c>
      <c r="H5" s="211"/>
      <c r="I5" s="210" t="s">
        <v>155</v>
      </c>
      <c r="J5" s="211"/>
      <c r="K5" s="214" t="s">
        <v>156</v>
      </c>
      <c r="L5" s="210" t="s">
        <v>157</v>
      </c>
      <c r="M5" s="211"/>
      <c r="N5" s="214" t="s">
        <v>158</v>
      </c>
      <c r="O5" s="214" t="s">
        <v>159</v>
      </c>
    </row>
    <row r="6" spans="1:15" ht="39" customHeight="1" x14ac:dyDescent="0.2">
      <c r="A6" s="218"/>
      <c r="B6" s="215"/>
      <c r="C6" s="215"/>
      <c r="D6" s="215"/>
      <c r="E6" s="212"/>
      <c r="F6" s="213"/>
      <c r="G6" s="212"/>
      <c r="H6" s="213"/>
      <c r="I6" s="212"/>
      <c r="J6" s="213"/>
      <c r="K6" s="215"/>
      <c r="L6" s="212"/>
      <c r="M6" s="213"/>
      <c r="N6" s="215"/>
      <c r="O6" s="215"/>
    </row>
    <row r="7" spans="1:15" ht="55.5" customHeight="1" x14ac:dyDescent="0.2">
      <c r="A7" s="219"/>
      <c r="B7" s="216"/>
      <c r="C7" s="216"/>
      <c r="D7" s="216"/>
      <c r="E7" s="136" t="s">
        <v>37</v>
      </c>
      <c r="F7" s="136" t="s">
        <v>160</v>
      </c>
      <c r="G7" s="136" t="s">
        <v>37</v>
      </c>
      <c r="H7" s="136" t="s">
        <v>38</v>
      </c>
      <c r="I7" s="136" t="s">
        <v>161</v>
      </c>
      <c r="J7" s="136" t="s">
        <v>162</v>
      </c>
      <c r="K7" s="216"/>
      <c r="L7" s="136" t="s">
        <v>163</v>
      </c>
      <c r="M7" s="137" t="s">
        <v>164</v>
      </c>
      <c r="N7" s="216"/>
      <c r="O7" s="216"/>
    </row>
    <row r="8" spans="1:15" ht="15" customHeight="1" x14ac:dyDescent="0.2">
      <c r="A8" s="138">
        <v>1</v>
      </c>
      <c r="B8" s="138">
        <v>2</v>
      </c>
      <c r="C8" s="138">
        <v>3</v>
      </c>
      <c r="D8" s="138">
        <v>4</v>
      </c>
      <c r="E8" s="138">
        <v>5</v>
      </c>
      <c r="F8" s="138">
        <v>6</v>
      </c>
      <c r="G8" s="138">
        <v>7</v>
      </c>
      <c r="H8" s="138">
        <v>8</v>
      </c>
      <c r="I8" s="138">
        <v>9</v>
      </c>
      <c r="J8" s="138">
        <v>10</v>
      </c>
      <c r="K8" s="138">
        <v>11</v>
      </c>
      <c r="L8" s="138">
        <v>12</v>
      </c>
      <c r="M8" s="138">
        <v>13</v>
      </c>
      <c r="N8" s="138">
        <v>14</v>
      </c>
      <c r="O8" s="138">
        <v>15</v>
      </c>
    </row>
    <row r="9" spans="1:15" s="127" customFormat="1" ht="17.25" customHeight="1" x14ac:dyDescent="0.2">
      <c r="A9" s="139" t="s">
        <v>165</v>
      </c>
      <c r="B9" s="140" t="s">
        <v>1</v>
      </c>
      <c r="C9" s="141"/>
      <c r="D9" s="141"/>
      <c r="E9" s="142" t="s">
        <v>0</v>
      </c>
      <c r="F9" s="141"/>
      <c r="G9" s="142" t="s">
        <v>0</v>
      </c>
      <c r="H9" s="143"/>
      <c r="I9" s="141"/>
      <c r="J9" s="144"/>
      <c r="K9" s="144"/>
      <c r="L9" s="144"/>
      <c r="M9" s="144"/>
      <c r="N9" s="209">
        <v>0.95</v>
      </c>
      <c r="O9" s="144"/>
    </row>
    <row r="10" spans="1:15" ht="17.25" customHeight="1" x14ac:dyDescent="0.2">
      <c r="A10" s="139" t="s">
        <v>166</v>
      </c>
      <c r="B10" s="140" t="s">
        <v>167</v>
      </c>
      <c r="C10" s="141"/>
      <c r="D10" s="141"/>
      <c r="E10" s="142" t="s">
        <v>0</v>
      </c>
      <c r="F10" s="141"/>
      <c r="G10" s="142" t="s">
        <v>0</v>
      </c>
      <c r="H10" s="141"/>
      <c r="I10" s="141"/>
      <c r="J10" s="144"/>
      <c r="K10" s="141"/>
      <c r="L10" s="141"/>
      <c r="M10" s="141"/>
      <c r="N10" s="209"/>
      <c r="O10" s="144"/>
    </row>
    <row r="11" spans="1:15" ht="17.25" customHeight="1" x14ac:dyDescent="0.2">
      <c r="A11" s="139" t="s">
        <v>168</v>
      </c>
      <c r="B11" s="140" t="s">
        <v>169</v>
      </c>
      <c r="C11" s="141"/>
      <c r="D11" s="145"/>
      <c r="E11" s="141"/>
      <c r="F11" s="141"/>
      <c r="G11" s="141"/>
      <c r="H11" s="141"/>
      <c r="I11" s="141"/>
      <c r="J11" s="145"/>
      <c r="K11" s="141"/>
      <c r="L11" s="141"/>
      <c r="M11" s="141"/>
      <c r="N11" s="209"/>
      <c r="O11" s="144"/>
    </row>
    <row r="12" spans="1:15" ht="17.25" customHeight="1" x14ac:dyDescent="0.2">
      <c r="A12" s="139" t="s">
        <v>170</v>
      </c>
      <c r="B12" s="140" t="s">
        <v>171</v>
      </c>
      <c r="C12" s="141"/>
      <c r="D12" s="145"/>
      <c r="E12" s="141"/>
      <c r="F12" s="141"/>
      <c r="G12" s="141"/>
      <c r="H12" s="141"/>
      <c r="I12" s="141"/>
      <c r="J12" s="145"/>
      <c r="K12" s="141"/>
      <c r="L12" s="141"/>
      <c r="M12" s="141"/>
      <c r="N12" s="209"/>
      <c r="O12" s="144"/>
    </row>
    <row r="13" spans="1:15" ht="17.25" customHeight="1" x14ac:dyDescent="0.2">
      <c r="A13" s="139" t="s">
        <v>172</v>
      </c>
      <c r="B13" s="140" t="s">
        <v>173</v>
      </c>
      <c r="C13" s="141"/>
      <c r="D13" s="141"/>
      <c r="E13" s="142" t="s">
        <v>0</v>
      </c>
      <c r="F13" s="141"/>
      <c r="G13" s="142" t="s">
        <v>0</v>
      </c>
      <c r="H13" s="143"/>
      <c r="I13" s="141"/>
      <c r="J13" s="144"/>
      <c r="K13" s="141"/>
      <c r="L13" s="141"/>
      <c r="M13" s="141"/>
      <c r="N13" s="209"/>
      <c r="O13" s="144"/>
    </row>
    <row r="14" spans="1:15" ht="17.25" customHeight="1" x14ac:dyDescent="0.2">
      <c r="A14" s="139" t="s">
        <v>168</v>
      </c>
      <c r="B14" s="140" t="s">
        <v>174</v>
      </c>
      <c r="C14" s="141"/>
      <c r="D14" s="145"/>
      <c r="E14" s="141"/>
      <c r="F14" s="141"/>
      <c r="G14" s="141"/>
      <c r="H14" s="141"/>
      <c r="I14" s="141"/>
      <c r="J14" s="145"/>
      <c r="K14" s="141"/>
      <c r="L14" s="141"/>
      <c r="M14" s="141"/>
      <c r="N14" s="209"/>
      <c r="O14" s="144"/>
    </row>
    <row r="15" spans="1:15" ht="17.25" customHeight="1" x14ac:dyDescent="0.2">
      <c r="A15" s="139" t="s">
        <v>170</v>
      </c>
      <c r="B15" s="140" t="s">
        <v>175</v>
      </c>
      <c r="C15" s="141"/>
      <c r="D15" s="145"/>
      <c r="E15" s="141"/>
      <c r="F15" s="141"/>
      <c r="G15" s="141"/>
      <c r="H15" s="141"/>
      <c r="I15" s="141"/>
      <c r="J15" s="145"/>
      <c r="K15" s="141"/>
      <c r="L15" s="141"/>
      <c r="M15" s="141"/>
      <c r="N15" s="209"/>
      <c r="O15" s="144"/>
    </row>
    <row r="16" spans="1:15" ht="17.25" customHeight="1" x14ac:dyDescent="0.2">
      <c r="A16" s="139" t="s">
        <v>176</v>
      </c>
      <c r="B16" s="140" t="s">
        <v>177</v>
      </c>
      <c r="C16" s="141"/>
      <c r="D16" s="141"/>
      <c r="E16" s="142" t="s">
        <v>0</v>
      </c>
      <c r="F16" s="141"/>
      <c r="G16" s="142" t="s">
        <v>0</v>
      </c>
      <c r="H16" s="143"/>
      <c r="I16" s="141"/>
      <c r="J16" s="144"/>
      <c r="K16" s="141"/>
      <c r="L16" s="141"/>
      <c r="M16" s="141"/>
      <c r="N16" s="209"/>
      <c r="O16" s="144"/>
    </row>
    <row r="17" spans="1:15" ht="17.25" customHeight="1" x14ac:dyDescent="0.2">
      <c r="A17" s="139" t="s">
        <v>168</v>
      </c>
      <c r="B17" s="140" t="s">
        <v>178</v>
      </c>
      <c r="C17" s="141"/>
      <c r="D17" s="145"/>
      <c r="E17" s="141"/>
      <c r="F17" s="141"/>
      <c r="G17" s="141"/>
      <c r="H17" s="141"/>
      <c r="I17" s="141"/>
      <c r="J17" s="145"/>
      <c r="K17" s="141"/>
      <c r="L17" s="141"/>
      <c r="M17" s="141"/>
      <c r="N17" s="209"/>
      <c r="O17" s="144"/>
    </row>
    <row r="18" spans="1:15" ht="17.25" customHeight="1" x14ac:dyDescent="0.2">
      <c r="A18" s="139" t="s">
        <v>170</v>
      </c>
      <c r="B18" s="140" t="s">
        <v>179</v>
      </c>
      <c r="C18" s="141"/>
      <c r="D18" s="145"/>
      <c r="E18" s="141"/>
      <c r="F18" s="141"/>
      <c r="G18" s="141"/>
      <c r="H18" s="141"/>
      <c r="I18" s="141"/>
      <c r="J18" s="145"/>
      <c r="K18" s="141"/>
      <c r="L18" s="141"/>
      <c r="M18" s="141"/>
      <c r="N18" s="209"/>
      <c r="O18" s="144"/>
    </row>
    <row r="19" spans="1:15" ht="17.25" customHeight="1" x14ac:dyDescent="0.2">
      <c r="A19" s="139" t="s">
        <v>180</v>
      </c>
      <c r="B19" s="140" t="s">
        <v>181</v>
      </c>
      <c r="C19" s="141"/>
      <c r="D19" s="141"/>
      <c r="E19" s="142" t="s">
        <v>0</v>
      </c>
      <c r="F19" s="141"/>
      <c r="G19" s="142" t="s">
        <v>0</v>
      </c>
      <c r="H19" s="143"/>
      <c r="I19" s="141"/>
      <c r="J19" s="144"/>
      <c r="K19" s="141"/>
      <c r="L19" s="141"/>
      <c r="M19" s="141"/>
      <c r="N19" s="209"/>
      <c r="O19" s="144"/>
    </row>
    <row r="20" spans="1:15" ht="17.25" customHeight="1" x14ac:dyDescent="0.2">
      <c r="A20" s="139" t="s">
        <v>168</v>
      </c>
      <c r="B20" s="140" t="s">
        <v>182</v>
      </c>
      <c r="C20" s="141"/>
      <c r="D20" s="145"/>
      <c r="E20" s="141"/>
      <c r="F20" s="141"/>
      <c r="G20" s="141"/>
      <c r="H20" s="141"/>
      <c r="I20" s="141"/>
      <c r="J20" s="145"/>
      <c r="K20" s="141"/>
      <c r="L20" s="141"/>
      <c r="M20" s="141"/>
      <c r="N20" s="209"/>
      <c r="O20" s="144"/>
    </row>
    <row r="21" spans="1:15" ht="17.25" customHeight="1" x14ac:dyDescent="0.2">
      <c r="A21" s="139" t="s">
        <v>170</v>
      </c>
      <c r="B21" s="140" t="s">
        <v>183</v>
      </c>
      <c r="C21" s="141"/>
      <c r="D21" s="145"/>
      <c r="E21" s="141"/>
      <c r="F21" s="141"/>
      <c r="G21" s="141"/>
      <c r="H21" s="141"/>
      <c r="I21" s="141"/>
      <c r="J21" s="145"/>
      <c r="K21" s="141"/>
      <c r="L21" s="141"/>
      <c r="M21" s="141"/>
      <c r="N21" s="209"/>
      <c r="O21" s="144"/>
    </row>
    <row r="22" spans="1:15" ht="17.25" customHeight="1" x14ac:dyDescent="0.2">
      <c r="A22" s="139" t="s">
        <v>184</v>
      </c>
      <c r="B22" s="140" t="s">
        <v>185</v>
      </c>
      <c r="C22" s="141"/>
      <c r="D22" s="141"/>
      <c r="E22" s="142" t="s">
        <v>0</v>
      </c>
      <c r="F22" s="141"/>
      <c r="G22" s="142" t="s">
        <v>0</v>
      </c>
      <c r="H22" s="143"/>
      <c r="I22" s="141"/>
      <c r="J22" s="144"/>
      <c r="K22" s="141"/>
      <c r="L22" s="141"/>
      <c r="M22" s="141"/>
      <c r="N22" s="209"/>
      <c r="O22" s="144"/>
    </row>
    <row r="23" spans="1:15" ht="17.25" customHeight="1" x14ac:dyDescent="0.2">
      <c r="A23" s="139" t="s">
        <v>168</v>
      </c>
      <c r="B23" s="140" t="s">
        <v>186</v>
      </c>
      <c r="C23" s="141"/>
      <c r="D23" s="145"/>
      <c r="E23" s="141"/>
      <c r="F23" s="141"/>
      <c r="G23" s="141"/>
      <c r="H23" s="141"/>
      <c r="I23" s="141"/>
      <c r="J23" s="145"/>
      <c r="K23" s="141"/>
      <c r="L23" s="141"/>
      <c r="M23" s="141"/>
      <c r="N23" s="209"/>
      <c r="O23" s="144"/>
    </row>
    <row r="24" spans="1:15" ht="17.25" customHeight="1" x14ac:dyDescent="0.2">
      <c r="A24" s="147" t="s">
        <v>170</v>
      </c>
      <c r="B24" s="140" t="s">
        <v>187</v>
      </c>
      <c r="C24" s="141"/>
      <c r="D24" s="145"/>
      <c r="E24" s="141"/>
      <c r="F24" s="141"/>
      <c r="G24" s="141"/>
      <c r="H24" s="141"/>
      <c r="I24" s="141"/>
      <c r="J24" s="145"/>
      <c r="K24" s="141"/>
      <c r="L24" s="141"/>
      <c r="M24" s="141"/>
      <c r="N24" s="209"/>
      <c r="O24" s="144"/>
    </row>
    <row r="25" spans="1:15" ht="17.25" customHeight="1" x14ac:dyDescent="0.2">
      <c r="A25" s="139" t="s">
        <v>188</v>
      </c>
      <c r="B25" s="140" t="s">
        <v>189</v>
      </c>
      <c r="C25" s="141"/>
      <c r="D25" s="141"/>
      <c r="E25" s="142" t="s">
        <v>0</v>
      </c>
      <c r="F25" s="141"/>
      <c r="G25" s="142" t="s">
        <v>0</v>
      </c>
      <c r="H25" s="143"/>
      <c r="I25" s="141"/>
      <c r="J25" s="144"/>
      <c r="K25" s="141"/>
      <c r="L25" s="141"/>
      <c r="M25" s="141"/>
      <c r="N25" s="209"/>
      <c r="O25" s="144"/>
    </row>
    <row r="26" spans="1:15" ht="17.25" customHeight="1" x14ac:dyDescent="0.2">
      <c r="A26" s="139" t="s">
        <v>168</v>
      </c>
      <c r="B26" s="140" t="s">
        <v>190</v>
      </c>
      <c r="C26" s="141"/>
      <c r="D26" s="145"/>
      <c r="E26" s="141"/>
      <c r="F26" s="141"/>
      <c r="G26" s="141"/>
      <c r="H26" s="141"/>
      <c r="I26" s="141"/>
      <c r="J26" s="145"/>
      <c r="K26" s="141"/>
      <c r="L26" s="141"/>
      <c r="M26" s="141"/>
      <c r="N26" s="209"/>
      <c r="O26" s="144"/>
    </row>
    <row r="27" spans="1:15" ht="17.25" customHeight="1" x14ac:dyDescent="0.2">
      <c r="A27" s="139" t="s">
        <v>191</v>
      </c>
      <c r="B27" s="140" t="s">
        <v>192</v>
      </c>
      <c r="C27" s="141"/>
      <c r="D27" s="145"/>
      <c r="E27" s="141"/>
      <c r="F27" s="141"/>
      <c r="G27" s="141"/>
      <c r="H27" s="141"/>
      <c r="I27" s="141"/>
      <c r="J27" s="145"/>
      <c r="K27" s="141"/>
      <c r="L27" s="141"/>
      <c r="M27" s="141"/>
      <c r="N27" s="209"/>
      <c r="O27" s="144"/>
    </row>
    <row r="28" spans="1:15" ht="17.25" customHeight="1" x14ac:dyDescent="0.2">
      <c r="A28" s="139" t="s">
        <v>193</v>
      </c>
      <c r="B28" s="140" t="s">
        <v>194</v>
      </c>
      <c r="C28" s="141"/>
      <c r="D28" s="145"/>
      <c r="E28" s="141"/>
      <c r="F28" s="141"/>
      <c r="G28" s="141"/>
      <c r="H28" s="141"/>
      <c r="I28" s="141"/>
      <c r="J28" s="145"/>
      <c r="K28" s="141"/>
      <c r="L28" s="141"/>
      <c r="M28" s="141"/>
      <c r="N28" s="209"/>
      <c r="O28" s="144"/>
    </row>
    <row r="29" spans="1:15" ht="17.25" customHeight="1" x14ac:dyDescent="0.2">
      <c r="A29" s="139" t="s">
        <v>195</v>
      </c>
      <c r="B29" s="140" t="s">
        <v>196</v>
      </c>
      <c r="C29" s="141"/>
      <c r="D29" s="145"/>
      <c r="E29" s="141"/>
      <c r="F29" s="141"/>
      <c r="G29" s="141"/>
      <c r="H29" s="141"/>
      <c r="I29" s="141"/>
      <c r="J29" s="145"/>
      <c r="K29" s="141"/>
      <c r="L29" s="141"/>
      <c r="M29" s="141"/>
      <c r="N29" s="209"/>
      <c r="O29" s="144"/>
    </row>
    <row r="30" spans="1:15" ht="17.25" customHeight="1" x14ac:dyDescent="0.2">
      <c r="A30" s="139" t="s">
        <v>197</v>
      </c>
      <c r="B30" s="140" t="s">
        <v>198</v>
      </c>
      <c r="C30" s="141"/>
      <c r="D30" s="145"/>
      <c r="E30" s="141"/>
      <c r="F30" s="141"/>
      <c r="G30" s="141"/>
      <c r="H30" s="141"/>
      <c r="I30" s="141"/>
      <c r="J30" s="145"/>
      <c r="K30" s="141"/>
      <c r="L30" s="141"/>
      <c r="M30" s="141"/>
      <c r="N30" s="209"/>
      <c r="O30" s="144"/>
    </row>
    <row r="31" spans="1:15" ht="17.25" customHeight="1" x14ac:dyDescent="0.2">
      <c r="A31" s="148" t="s">
        <v>199</v>
      </c>
      <c r="B31" s="140" t="s">
        <v>2</v>
      </c>
      <c r="C31" s="146"/>
      <c r="D31" s="149"/>
      <c r="E31" s="141"/>
      <c r="F31" s="141"/>
      <c r="G31" s="141"/>
      <c r="H31" s="141"/>
      <c r="I31" s="141"/>
      <c r="J31" s="145"/>
      <c r="K31" s="141"/>
      <c r="L31" s="150"/>
      <c r="M31" s="141"/>
      <c r="N31" s="209"/>
      <c r="O31" s="144"/>
    </row>
    <row r="32" spans="1:15" ht="56.25" customHeight="1" x14ac:dyDescent="0.2">
      <c r="A32" s="208" t="s">
        <v>202</v>
      </c>
      <c r="B32" s="208"/>
      <c r="C32" s="208"/>
      <c r="D32" s="151" t="s">
        <v>203</v>
      </c>
      <c r="E32" s="179" t="s">
        <v>200</v>
      </c>
      <c r="F32" s="179"/>
      <c r="G32" s="179"/>
      <c r="H32" s="179"/>
      <c r="I32" s="180" t="s">
        <v>98</v>
      </c>
      <c r="J32" s="180"/>
      <c r="K32" s="152" t="s">
        <v>201</v>
      </c>
      <c r="L32" s="208" t="s">
        <v>202</v>
      </c>
      <c r="M32" s="208"/>
      <c r="N32" s="207" t="s">
        <v>201</v>
      </c>
      <c r="O32" s="207"/>
    </row>
  </sheetData>
  <mergeCells count="19">
    <mergeCell ref="A5:A7"/>
    <mergeCell ref="B5:B7"/>
    <mergeCell ref="C5:C7"/>
    <mergeCell ref="D5:D7"/>
    <mergeCell ref="A3:O3"/>
    <mergeCell ref="A4:O4"/>
    <mergeCell ref="O5:O7"/>
    <mergeCell ref="N9:N31"/>
    <mergeCell ref="E5:F6"/>
    <mergeCell ref="G5:H6"/>
    <mergeCell ref="I5:J6"/>
    <mergeCell ref="K5:K7"/>
    <mergeCell ref="L5:M6"/>
    <mergeCell ref="N5:N7"/>
    <mergeCell ref="N32:O32"/>
    <mergeCell ref="A32:C32"/>
    <mergeCell ref="I32:J32"/>
    <mergeCell ref="E32:H32"/>
    <mergeCell ref="L32:M32"/>
  </mergeCells>
  <pageMargins left="0.39370078740157483" right="0.39370078740157483" top="0.39370078740157483" bottom="0.39370078740157483" header="0.39370078740157483" footer="0.39370078740157483"/>
  <pageSetup paperSize="9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Свод</vt:lpstr>
      <vt:lpstr>Ноқишлоқ</vt:lpstr>
      <vt:lpstr>Ноқишлоқ-илова</vt:lpstr>
      <vt:lpstr>Қишлоқ</vt:lpstr>
      <vt:lpstr>Қишлоқ-илова</vt:lpstr>
      <vt:lpstr>Ноқишлоқ!Область_печати</vt:lpstr>
      <vt:lpstr>'Ноқишлоқ-илова'!Область_печати</vt:lpstr>
      <vt:lpstr>Свод!Область_печати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Bahromjon</dc:creator>
  <cp:lastModifiedBy>User</cp:lastModifiedBy>
  <cp:lastPrinted>2024-04-25T07:28:26Z</cp:lastPrinted>
  <dcterms:created xsi:type="dcterms:W3CDTF">2008-01-28T22:52:31Z</dcterms:created>
  <dcterms:modified xsi:type="dcterms:W3CDTF">2024-05-27T16:02:27Z</dcterms:modified>
</cp:coreProperties>
</file>