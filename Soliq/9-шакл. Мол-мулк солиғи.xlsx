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07. Умумбелгиланган соликлар\Avtomatlashtirish\"/>
    </mc:Choice>
  </mc:AlternateContent>
  <xr:revisionPtr revIDLastSave="0" documentId="8_{F0739CB1-CD4D-4FD0-86E6-C7C4AFD040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вод" sheetId="38" r:id="rId1"/>
    <sheet name="Маълумотнома ой " sheetId="28" r:id="rId2"/>
    <sheet name="1-илова " sheetId="30" r:id="rId3"/>
    <sheet name="2- илова " sheetId="31" r:id="rId4"/>
    <sheet name="Ҳисобот" sheetId="32" r:id="rId5"/>
    <sheet name="1-илова" sheetId="33" r:id="rId6"/>
    <sheet name="2-илова" sheetId="34" r:id="rId7"/>
    <sheet name="3-илова" sheetId="35" r:id="rId8"/>
    <sheet name="4-илова" sheetId="36" r:id="rId9"/>
  </sheets>
  <definedNames>
    <definedName name="_xlnm._FilterDatabase" localSheetId="5" hidden="1">'1-илова'!$B$4:$N$18</definedName>
    <definedName name="_xlnm._FilterDatabase" localSheetId="2" hidden="1">'1-илова '!$B$6:$Q$13</definedName>
    <definedName name="_xlnm.Print_Area" localSheetId="5">'1-илова'!$A$1:$X$18</definedName>
    <definedName name="_xlnm.Print_Area" localSheetId="2">'1-илова '!$A$1:$AR$19</definedName>
    <definedName name="_xlnm.Print_Area" localSheetId="7">'3-илова'!$A$1:$T$55</definedName>
    <definedName name="_xlnm.Print_Area" localSheetId="8">'4-илова'!$A$1:$S$23</definedName>
    <definedName name="_xlnm.Print_Area" localSheetId="1">'Маълумотнома ой '!$B$1:$G$48</definedName>
    <definedName name="_xlnm.Print_Area" localSheetId="0">Свод!$A$1:$J$15</definedName>
    <definedName name="_xlnm.Print_Area" localSheetId="4">Ҳисобот!$A$1:$D$32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38" l="1"/>
  <c r="C15" i="38"/>
  <c r="D14" i="38"/>
  <c r="C14" i="38"/>
  <c r="D13" i="38"/>
  <c r="C13" i="38"/>
  <c r="E13" i="38" s="1"/>
  <c r="D12" i="38"/>
  <c r="C12" i="38"/>
  <c r="G7" i="38"/>
  <c r="E12" i="38"/>
  <c r="D11" i="38"/>
  <c r="C11" i="38"/>
  <c r="D9" i="38"/>
  <c r="C9" i="38"/>
  <c r="J9" i="38" s="1"/>
  <c r="C8" i="38"/>
  <c r="E8" i="38" s="1"/>
  <c r="I7" i="38"/>
  <c r="H7" i="38"/>
  <c r="F7" i="38"/>
  <c r="P13" i="36"/>
  <c r="O13" i="36"/>
  <c r="N13" i="36"/>
  <c r="M13" i="36"/>
  <c r="L13" i="36"/>
  <c r="K13" i="36"/>
  <c r="J13" i="36"/>
  <c r="I13" i="36"/>
  <c r="H13" i="36"/>
  <c r="G13" i="36"/>
  <c r="F13" i="36"/>
  <c r="E13" i="36"/>
  <c r="C7" i="36"/>
  <c r="D7" i="36" s="1"/>
  <c r="E7" i="36" s="1"/>
  <c r="F7" i="36" s="1"/>
  <c r="G7" i="36" s="1"/>
  <c r="H7" i="36" s="1"/>
  <c r="I7" i="36" s="1"/>
  <c r="J7" i="36" s="1"/>
  <c r="K7" i="36" s="1"/>
  <c r="L7" i="36" s="1"/>
  <c r="M7" i="36" s="1"/>
  <c r="N7" i="36" s="1"/>
  <c r="O7" i="36" s="1"/>
  <c r="P7" i="36" s="1"/>
  <c r="C9" i="35"/>
  <c r="D9" i="35" s="1"/>
  <c r="E9" i="35" s="1"/>
  <c r="F9" i="35" s="1"/>
  <c r="G9" i="35" s="1"/>
  <c r="H9" i="35" s="1"/>
  <c r="I9" i="35" s="1"/>
  <c r="J9" i="35" s="1"/>
  <c r="K9" i="35" s="1"/>
  <c r="L9" i="35" s="1"/>
  <c r="M9" i="35" s="1"/>
  <c r="N9" i="35" s="1"/>
  <c r="O9" i="35" s="1"/>
  <c r="P9" i="35" s="1"/>
  <c r="Q9" i="35" s="1"/>
  <c r="F8" i="34"/>
  <c r="C8" i="34"/>
  <c r="E14" i="38" l="1"/>
  <c r="E15" i="38"/>
  <c r="J8" i="38"/>
  <c r="E11" i="38"/>
  <c r="E9" i="38"/>
  <c r="C7" i="38"/>
  <c r="J7" i="38" s="1"/>
  <c r="D7" i="38"/>
  <c r="AN10" i="30"/>
  <c r="AO10" i="30"/>
  <c r="AL10" i="30"/>
  <c r="AK10" i="30"/>
  <c r="AJ10" i="30"/>
  <c r="AE10" i="30"/>
  <c r="AD10" i="30"/>
  <c r="AC10" i="30"/>
  <c r="AB9" i="30"/>
  <c r="AC9" i="30" s="1"/>
  <c r="AD9" i="30" s="1"/>
  <c r="AE9" i="30" s="1"/>
  <c r="AF9" i="30" s="1"/>
  <c r="AG9" i="30" s="1"/>
  <c r="AH9" i="30" s="1"/>
  <c r="AI9" i="30" s="1"/>
  <c r="AJ9" i="30" s="1"/>
  <c r="AK9" i="30" s="1"/>
  <c r="AL9" i="30" s="1"/>
  <c r="AM9" i="30" s="1"/>
  <c r="AN9" i="30" s="1"/>
  <c r="AO9" i="30" s="1"/>
  <c r="AP9" i="30" s="1"/>
  <c r="G9" i="30"/>
  <c r="H9" i="30" s="1"/>
  <c r="I9" i="30" s="1"/>
  <c r="J9" i="30" s="1"/>
  <c r="K9" i="30" s="1"/>
  <c r="L9" i="30" s="1"/>
  <c r="M9" i="30" s="1"/>
  <c r="N9" i="30" s="1"/>
  <c r="O9" i="30" s="1"/>
  <c r="P9" i="30" s="1"/>
  <c r="Q9" i="30" s="1"/>
  <c r="R9" i="30" s="1"/>
  <c r="S9" i="30" s="1"/>
  <c r="T9" i="30" s="1"/>
  <c r="U9" i="30" s="1"/>
  <c r="E26" i="28"/>
  <c r="E28" i="28" s="1"/>
  <c r="E29" i="28" s="1"/>
  <c r="E31" i="28" s="1"/>
  <c r="E20" i="28"/>
  <c r="E7" i="38" l="1"/>
</calcChain>
</file>

<file path=xl/sharedStrings.xml><?xml version="1.0" encoding="utf-8"?>
<sst xmlns="http://schemas.openxmlformats.org/spreadsheetml/2006/main" count="677" uniqueCount="313">
  <si>
    <t>СТИР</t>
  </si>
  <si>
    <t>Сатр коди</t>
  </si>
  <si>
    <t>010</t>
  </si>
  <si>
    <t>х</t>
  </si>
  <si>
    <t>Раҳбар</t>
  </si>
  <si>
    <t>Бош ҳисобчи</t>
  </si>
  <si>
    <t>Кўрсаткичлар</t>
  </si>
  <si>
    <t>ҲИСОБ-КИТОБИ</t>
  </si>
  <si>
    <t>020</t>
  </si>
  <si>
    <t>0201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</si>
  <si>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</si>
  <si>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</si>
  <si>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</si>
  <si>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</si>
  <si>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</si>
  <si>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</si>
  <si>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</si>
  <si>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</si>
  <si>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</si>
  <si>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</si>
  <si>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</si>
  <si>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</si>
  <si>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</si>
  <si>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Таклиф</t>
  </si>
  <si>
    <t>Т/р</t>
  </si>
  <si>
    <t>жумладан</t>
  </si>
  <si>
    <t>%</t>
  </si>
  <si>
    <t>Қўлда тўлдири-лади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</si>
  <si>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</si>
  <si>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</si>
  <si>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</si>
  <si>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</si>
  <si>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</si>
  <si>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</si>
  <si>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</si>
  <si>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</si>
  <si>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</si>
  <si>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</si>
  <si>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</si>
  <si>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</si>
  <si>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</si>
  <si>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</si>
  <si>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</si>
  <si>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</si>
  <si>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</si>
  <si>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</si>
  <si>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0301</t>
  </si>
  <si>
    <t>0302</t>
  </si>
  <si>
    <t>0303</t>
  </si>
  <si>
    <t>Амалда</t>
  </si>
  <si>
    <t>Жами</t>
  </si>
  <si>
    <t>Амалдаги</t>
  </si>
  <si>
    <t>Изох</t>
  </si>
  <si>
    <t>Варақ____</t>
  </si>
  <si>
    <t>СТИР ____________________</t>
  </si>
  <si>
    <t>Солиқ даври_________</t>
  </si>
  <si>
    <t>Солиқ тўловчи номи ___________________________________________________________________________</t>
  </si>
  <si>
    <t>Тақдим этилади ___________________________________________________________________________________</t>
  </si>
  <si>
    <t xml:space="preserve">Юридик шахсларнинг мол-мулкига солинадиган солиқ бўйича бўнак тўловларни </t>
  </si>
  <si>
    <t xml:space="preserve">ҳисоблаш бўйича </t>
  </si>
  <si>
    <t>МАЪЛУМОТНОМА</t>
  </si>
  <si>
    <t>(Айланмадан олинадиган солиқ тўловчи ҳисобланмайдиганлар учун)</t>
  </si>
  <si>
    <t>Сумма</t>
  </si>
  <si>
    <r>
      <t xml:space="preserve">Формула орқали  </t>
    </r>
    <r>
      <rPr>
        <i/>
        <sz val="10"/>
        <color rgb="FFC00000"/>
        <rFont val="Times New Roman"/>
        <family val="1"/>
        <charset val="204"/>
      </rPr>
      <t>автоматик шаклланади.</t>
    </r>
  </si>
  <si>
    <t>Солиқ базасининг умумий қиймати (020-сатр +050-сатр + 080-сатр+090-сатр+130-сатр)</t>
  </si>
  <si>
    <r>
      <t>Мазкур сатр маълумотнома и</t>
    </r>
    <r>
      <rPr>
        <i/>
        <sz val="10"/>
        <color rgb="FF002060"/>
        <rFont val="Times New Roman"/>
        <family val="1"/>
        <charset val="204"/>
      </rPr>
      <t xml:space="preserve">ловасининг 010-сатр 16-устундан </t>
    </r>
    <r>
      <rPr>
        <i/>
        <sz val="10"/>
        <color rgb="FFC00000"/>
        <rFont val="Times New Roman"/>
        <family val="1"/>
        <charset val="204"/>
      </rPr>
      <t>автоматик шаклланади</t>
    </r>
    <r>
      <rPr>
        <i/>
        <sz val="10"/>
        <color rgb="FF002060"/>
        <rFont val="Times New Roman"/>
        <family val="1"/>
        <charset val="204"/>
      </rPr>
      <t>.</t>
    </r>
  </si>
  <si>
    <t>Базавий ставка бўйича солиққа тортиладиган қиймат (маълумотномага 1-илованинг 010-сатр 16-устуни)</t>
  </si>
  <si>
    <t>Солиқ ставкаси, % да</t>
  </si>
  <si>
    <r>
      <t xml:space="preserve">Базавий ставка бўйича </t>
    </r>
    <r>
      <rPr>
        <b/>
        <i/>
        <sz val="10"/>
        <color rgb="FFC00000"/>
        <rFont val="Times New Roman"/>
        <family val="1"/>
        <charset val="204"/>
      </rPr>
      <t>автоматик шаклланади</t>
    </r>
    <r>
      <rPr>
        <b/>
        <i/>
        <sz val="10"/>
        <color rgb="FF002060"/>
        <rFont val="Times New Roman"/>
        <family val="1"/>
        <charset val="204"/>
      </rPr>
      <t>.</t>
    </r>
  </si>
  <si>
    <t>Солиқ суммаси (020-сатр х 030-сатр)</t>
  </si>
  <si>
    <r>
      <t xml:space="preserve">Маълумотнома иловасининг 020-сатр 16-устунда </t>
    </r>
    <r>
      <rPr>
        <b/>
        <i/>
        <sz val="10"/>
        <color rgb="FFC00000"/>
        <rFont val="Times New Roman"/>
        <family val="1"/>
        <charset val="204"/>
      </rPr>
      <t>автомат шакллантирилади.</t>
    </r>
  </si>
  <si>
    <t>Қурилиши тугалланмаган яшаш учун мўлжалланмаган объектларнинг тахмин қилинаётган ўртача йиллик қиймати (маълумотномага 1-илованинг 020-сатр 16-устуни)</t>
  </si>
  <si>
    <r>
      <t xml:space="preserve">Оширилган ставка бўйича </t>
    </r>
    <r>
      <rPr>
        <b/>
        <i/>
        <sz val="10"/>
        <color rgb="FFC00000"/>
        <rFont val="Times New Roman"/>
        <family val="1"/>
        <charset val="204"/>
      </rPr>
      <t>автоматик шаклланади</t>
    </r>
    <r>
      <rPr>
        <b/>
        <i/>
        <sz val="10"/>
        <color rgb="FF002060"/>
        <rFont val="Times New Roman"/>
        <family val="1"/>
        <charset val="204"/>
      </rPr>
      <t>.</t>
    </r>
  </si>
  <si>
    <t>Солиқ суммаси (050-сатр х 060-сатр)</t>
  </si>
  <si>
    <r>
      <t xml:space="preserve">Маълумотнома иловасининг 030-сатр 16-устунда </t>
    </r>
    <r>
      <rPr>
        <b/>
        <i/>
        <sz val="10"/>
        <color rgb="FFC00000"/>
        <rFont val="Times New Roman"/>
        <family val="1"/>
        <charset val="204"/>
      </rPr>
      <t>автомат шакллантирилади.</t>
    </r>
  </si>
  <si>
    <t>Консервация қилиниши тўғрисида Ўзбекистон Республикаси Вазирлар Маҳкамасининг қарори қабул қилинган кўчмас мулк ва тугалланмаган қурилиш объектларининг тахмин қилинаётган ўртача йиллик қолдиқ қиймати (маълумотномага 1-илованинг 030-сатр 16-устуни)</t>
  </si>
  <si>
    <r>
      <t xml:space="preserve">Маълумотнома иловасининг 040-сатр 16-устунда </t>
    </r>
    <r>
      <rPr>
        <b/>
        <i/>
        <sz val="10"/>
        <color rgb="FFC00000"/>
        <rFont val="Times New Roman"/>
        <family val="1"/>
        <charset val="204"/>
      </rPr>
      <t>автомат шакллантирилади.</t>
    </r>
  </si>
  <si>
    <t>Темир йўллар, магистрал қувурлар, алоқа ва электр узатиш линиялари, шунингдек мазкур объектларнинг ажралмас технологик қисми бўлган иншоотларнинг тахмин қилинаётган ўртача йиллик қолдиқ қиймати   (маълумотномага 1-илованинг 040-сатр 16-устуни)</t>
  </si>
  <si>
    <r>
      <t xml:space="preserve">Маълумотноманинг  080+090 йиғиндисидан  </t>
    </r>
    <r>
      <rPr>
        <b/>
        <i/>
        <sz val="10"/>
        <color rgb="FFC00000"/>
        <rFont val="Times New Roman"/>
        <family val="1"/>
        <charset val="204"/>
      </rPr>
      <t>автомат шакллантирилади.</t>
    </r>
  </si>
  <si>
    <t>Солиқ солинадиган база (080-сатр + 090-сатр)</t>
  </si>
  <si>
    <r>
      <t xml:space="preserve">Пасайтирилган ставка бўйича </t>
    </r>
    <r>
      <rPr>
        <b/>
        <i/>
        <sz val="10"/>
        <color rgb="FFC00000"/>
        <rFont val="Times New Roman"/>
        <family val="1"/>
        <charset val="204"/>
      </rPr>
      <t>автоматик шаклланади</t>
    </r>
    <r>
      <rPr>
        <b/>
        <i/>
        <sz val="10"/>
        <color rgb="FF002060"/>
        <rFont val="Times New Roman"/>
        <family val="1"/>
        <charset val="204"/>
      </rPr>
      <t>.</t>
    </r>
  </si>
  <si>
    <t>Солиқ суммаси (100-сатр х 110-сатр)</t>
  </si>
  <si>
    <r>
      <t xml:space="preserve">Маълумотнома иловасининг 050-сатр 16-устунда </t>
    </r>
    <r>
      <rPr>
        <b/>
        <i/>
        <sz val="10"/>
        <color rgb="FFC00000"/>
        <rFont val="Times New Roman"/>
        <family val="1"/>
        <charset val="204"/>
      </rPr>
      <t>автомат шакллантирилади.</t>
    </r>
  </si>
  <si>
    <t>Қурилиш ташкилотлари ёки иморатларни қурувчилар балансида кейинчалик сотиш учун кўрсатилган турар жой кўчмас мулк объектларининг (кўчмас мулк объекти фойдаланишга топширилгандан кейин олти ой ўтгач) ўртача йиллик қиймати (маълумотномага 1-илованинг 050-сатр 16-устуни)</t>
  </si>
  <si>
    <t>Солиқ суммаси (130-сатр х 140-сатр)</t>
  </si>
  <si>
    <r>
      <t>Мазкур сатр маълумотнома и</t>
    </r>
    <r>
      <rPr>
        <i/>
        <sz val="10"/>
        <color rgb="FF002060"/>
        <rFont val="Times New Roman"/>
        <family val="1"/>
        <charset val="204"/>
      </rPr>
      <t xml:space="preserve">ловасининг 010-сатр 19-устундан </t>
    </r>
    <r>
      <rPr>
        <i/>
        <sz val="10"/>
        <color rgb="FFC00000"/>
        <rFont val="Times New Roman"/>
        <family val="1"/>
        <charset val="204"/>
      </rPr>
      <t>автоматик шаклланади</t>
    </r>
    <r>
      <rPr>
        <i/>
        <sz val="10"/>
        <color rgb="FF002060"/>
        <rFont val="Times New Roman"/>
        <family val="1"/>
        <charset val="204"/>
      </rPr>
      <t>.</t>
    </r>
  </si>
  <si>
    <t>Имтиёз суммаси (маълумотномага 1-илованинг 010-сатр 19-устуни)</t>
  </si>
  <si>
    <t>160</t>
  </si>
  <si>
    <t>Юридик шахсларнинг мол-мулкига солинадиган солиқнинг умумий суммаси ((040-сатр + 070-сатр + 120-сатр + 150-сатр) - 160-сатр))</t>
  </si>
  <si>
    <t>170</t>
  </si>
  <si>
    <r>
      <t xml:space="preserve">Ҳисобланган солиқ суммаси тенг улушларда ойларга тақсимлананиб, </t>
    </r>
    <r>
      <rPr>
        <i/>
        <sz val="10"/>
        <color rgb="FFFF0000"/>
        <rFont val="Times New Roman"/>
        <family val="1"/>
        <charset val="204"/>
      </rPr>
      <t>автоматик шаклланади.</t>
    </r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</si>
  <si>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</si>
  <si>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</si>
  <si>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</si>
  <si>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</si>
  <si>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</si>
  <si>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</si>
  <si>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</si>
  <si>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</si>
  <si>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</si>
  <si>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</si>
  <si>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</si>
  <si>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</si>
  <si>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Изоҳ: Янги ташкил этилган юридик шахслар ҳамда юридик шахсларнинг мол-мулкига солинадиган солиқ бўйича мажбуриятлари солиқ даврида юзага келган солиқ тўловчилар маълумотномани солиқ мажбурияти юзага келган санадан эътиборан ўттиз кундан кечиктирмай тақдим этадилар.</t>
  </si>
  <si>
    <t>варақ</t>
  </si>
  <si>
    <t>02</t>
  </si>
  <si>
    <t>Юридик шахсларнинг мол-мулкига солинадиган солиқ бўйича бўнак тўловларни ҳисоблаш бўйича маълумотномага илова</t>
  </si>
  <si>
    <t xml:space="preserve">Бино-иншоот манзили </t>
  </si>
  <si>
    <t>Солиқ даврида</t>
  </si>
  <si>
    <t>Объект номи</t>
  </si>
  <si>
    <t>Бино ва иншоатлар умумий майдони
(кв.метр)</t>
  </si>
  <si>
    <t xml:space="preserve">Энг кам қиймат татбиқ этилмайдиган кўчмас мулк объектлари </t>
  </si>
  <si>
    <t>Энг кам қиймат татбиқ этиладиган  майдони
(кв.метр)</t>
  </si>
  <si>
    <t>Солиқ кодексига асосани кўчмас мулкнинг
 1 кв.метри учун 
белгиланган энг кам қиймати
(сўмда)</t>
  </si>
  <si>
    <t>Камайтирувчи коэффицент</t>
  </si>
  <si>
    <t>Кўчмас мулкнинг минимал қиймати
(сўмда)</t>
  </si>
  <si>
    <t>Тахмин қилинаётган солиқ базаси
(мол-мулкнинг ўртача йиллик қолдиқ қиймати (ўртача йиллик қиймати)</t>
  </si>
  <si>
    <t xml:space="preserve">Мустақил равишда баҳоланган 
(бозор) қиймати
</t>
  </si>
  <si>
    <t>Солиқ солинадиган база</t>
  </si>
  <si>
    <t>солиқ ставкаси</t>
  </si>
  <si>
    <t>солиқ суммаси</t>
  </si>
  <si>
    <t xml:space="preserve">Имтиёз </t>
  </si>
  <si>
    <t>Мулк ҳуқуқи пайдо бўлган сана</t>
  </si>
  <si>
    <t>Мулк ҳуқуқи бекор бўлган сана</t>
  </si>
  <si>
    <t>майдони (кв.метр)</t>
  </si>
  <si>
    <t>қиймати (сўмда)</t>
  </si>
  <si>
    <t>суммаси</t>
  </si>
  <si>
    <t>фойдаланиш асоси</t>
  </si>
  <si>
    <t>Бино-иншоотлар (020-050-сатрлардан ташқари) жами (0101 сатр+ ....+0110</t>
  </si>
  <si>
    <t>Х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</si>
  <si>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</si>
  <si>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</si>
  <si>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</si>
  <si>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</si>
  <si>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</si>
  <si>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</si>
  <si>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</si>
  <si>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</si>
  <si>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</si>
  <si>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</si>
  <si>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Қурилиши тугалланмаган яшаш учун мўлжалланмаган объектлар  (0201 сатр+0202 сатр+ ..)</t>
  </si>
  <si>
    <t>Консервация қилиниши тўғрисида Ўзбекистон Республикаси Вазирлар Маҳкамасининг қарори қабул қилинган кўчмас мулк ва тугалланмаган қурилиш объектлар (0301 сатр+0302 сатр+.....)</t>
  </si>
  <si>
    <t>Темир йўллар, магистрал қувурлар, алоқа ва электр узатиш линиялари, шунингдек мазкур объектларнинг ажралмас технологик қисми бўлган иншоотлар (0401 сатр+0402 сатр+.....)</t>
  </si>
  <si>
    <t>Қурилиш ташкилотлари ёки иморатларни қурувчилар балансида кейинчалик сотиш учун кўрсатилган турар жой кўчмас мулк объектлари (кўчмас мулк объекти фойдаланишга топширилгандан кейин олти ой ўтгач)  (0501 сатр+0502 сатр+.....)</t>
  </si>
  <si>
    <r>
      <t xml:space="preserve">Мазкур устунлар Кадастр агентилиги маълумотидан </t>
    </r>
    <r>
      <rPr>
        <i/>
        <sz val="14"/>
        <color rgb="FFC00000"/>
        <rFont val="Times New Roman"/>
        <family val="1"/>
        <charset val="204"/>
      </rPr>
      <t>автомат шакланади</t>
    </r>
    <r>
      <rPr>
        <i/>
        <sz val="14"/>
        <rFont val="Times New Roman"/>
        <family val="1"/>
        <charset val="204"/>
      </rPr>
      <t>,
айрим ҳоллар солиқ тўловчи томонидан тўлдирилади.</t>
    </r>
  </si>
  <si>
    <r>
      <t xml:space="preserve">Мазкур устун Кадастр агентилиги маълумотидан </t>
    </r>
    <r>
      <rPr>
        <i/>
        <sz val="8"/>
        <color rgb="FFC00000"/>
        <rFont val="Times New Roman"/>
        <family val="1"/>
        <charset val="204"/>
      </rPr>
      <t>автомат шакланади</t>
    </r>
  </si>
  <si>
    <t>Мазкур устун маълумотнома шаклининг 2 иловаси 4 устинидан автоматик шаклланади</t>
  </si>
  <si>
    <t>Мазкур устун маълумотнома шаклининг 2 иловаси 5 устинидан автоматик шаклланади</t>
  </si>
  <si>
    <t>Формула орқали шаклланади
(7-8)</t>
  </si>
  <si>
    <t>Мазкур устун ҳудуддан келиб чиққан ҳолода автомат шакланади</t>
  </si>
  <si>
    <t>Халқ депутатлари вилоят кенгашлари томонидан тасдиқланган камайтирувчи коэффициентларга асосаншаклланади.</t>
  </si>
  <si>
    <t>Мазкур устун формула орқали автомат шакланади
(10*(11*12))</t>
  </si>
  <si>
    <t>Объектларнинг қолдиқ қиймати бўйича қўлда тўлдирилади</t>
  </si>
  <si>
    <t>Бозор қиймати бўйича кадастр органлари маълумотларига асосан автомат шаклланади.</t>
  </si>
  <si>
    <r>
      <t xml:space="preserve">Мазкур устун формула орқали </t>
    </r>
    <r>
      <rPr>
        <i/>
        <sz val="10"/>
        <color rgb="FFC00000"/>
        <rFont val="Times New Roman"/>
        <family val="1"/>
        <charset val="204"/>
      </rPr>
      <t xml:space="preserve">автомат шакланади </t>
    </r>
    <r>
      <rPr>
        <i/>
        <sz val="8"/>
        <color rgb="FFC00000"/>
        <rFont val="Times New Roman"/>
        <family val="1"/>
        <charset val="204"/>
      </rPr>
      <t xml:space="preserve">
</t>
    </r>
  </si>
  <si>
    <r>
      <t xml:space="preserve">Мазкур устун белгиланган солиқ ставкаларга асосан </t>
    </r>
    <r>
      <rPr>
        <i/>
        <sz val="10"/>
        <color rgb="FFC00000"/>
        <rFont val="Times New Roman"/>
        <family val="1"/>
        <charset val="204"/>
      </rPr>
      <t>автомат шакланади</t>
    </r>
  </si>
  <si>
    <r>
      <t xml:space="preserve">Мазкур устун формула орқали </t>
    </r>
    <r>
      <rPr>
        <i/>
        <sz val="10"/>
        <color rgb="FFC00000"/>
        <rFont val="Times New Roman"/>
        <family val="1"/>
        <charset val="204"/>
      </rPr>
      <t>автомат шакланади</t>
    </r>
  </si>
  <si>
    <r>
      <t xml:space="preserve">E-Imtiyoz дастуридан </t>
    </r>
    <r>
      <rPr>
        <i/>
        <sz val="11"/>
        <color rgb="FFFF0000"/>
        <rFont val="Times New Roman"/>
        <family val="1"/>
        <charset val="204"/>
      </rPr>
      <t>автоматик равишда шаклланади.</t>
    </r>
  </si>
  <si>
    <r>
      <t xml:space="preserve">Мазкур устунлар Кадастр агентилиги маълумотидан </t>
    </r>
    <r>
      <rPr>
        <i/>
        <sz val="14"/>
        <color rgb="FFC00000"/>
        <rFont val="Times New Roman"/>
        <family val="1"/>
        <charset val="204"/>
      </rPr>
      <t>автомат шакланади</t>
    </r>
    <r>
      <rPr>
        <i/>
        <sz val="14"/>
        <rFont val="Times New Roman"/>
        <family val="1"/>
        <charset val="204"/>
      </rPr>
      <t xml:space="preserve">,
020-030-040-050-сатрлар "Алохида солиқ ставкалари қўлланиладиган кўчмас мулк объектлари </t>
    </r>
    <r>
      <rPr>
        <b/>
        <i/>
        <sz val="14"/>
        <rFont val="Times New Roman"/>
        <family val="1"/>
        <charset val="204"/>
      </rPr>
      <t>интерактив хизмати</t>
    </r>
    <r>
      <rPr>
        <i/>
        <sz val="14"/>
        <rFont val="Times New Roman"/>
        <family val="1"/>
        <charset val="204"/>
      </rPr>
      <t>" орқали юборилган мурожаат асосида   автоматик шаклланади.</t>
    </r>
  </si>
  <si>
    <t>14 устун "Алохида солиқ ставкалари қўлланиладиган кўчмас мулк объектлари интерактив хизмати" орқали юборилган мурожаат асосида   автоматик шаклланади.</t>
  </si>
  <si>
    <t>2-илова</t>
  </si>
  <si>
    <t>Энг кам қиймат тадбиқ этилмайдиган иншоотлар майдони ҳамда ушбу иншоотларнинг ўртача йиллик қолдиқ қиймати бўйича маълумот</t>
  </si>
  <si>
    <t>Кўчмас мулк объектининг кадастр коди</t>
  </si>
  <si>
    <t>Манзили</t>
  </si>
  <si>
    <t>минимал қиймат татбиқ этилмайдиган майдони (кв.метр)</t>
  </si>
  <si>
    <t>Кўчмас мулк бино иншоотининг ўртача йиллик қолдиқ қиймати</t>
  </si>
  <si>
    <t>Всего объекты (020 стр+020-стр+....+200-стр.)</t>
  </si>
  <si>
    <t>18:07:01:02:01:0734</t>
  </si>
  <si>
    <t xml:space="preserve"> (0201 стр+0202-стр+....+0210-стр.)</t>
  </si>
  <si>
    <t xml:space="preserve"> (0301 стр+0302-стр+....+0310-стр.)</t>
  </si>
  <si>
    <t xml:space="preserve"> (0401 стр+0402-стр+....+0410-стр.)</t>
  </si>
  <si>
    <t xml:space="preserve"> (0501 стр+0502-стр+....+0510-стр.)</t>
  </si>
  <si>
    <t xml:space="preserve"> (0601 стр+0602-стр+....+0610-стр.)</t>
  </si>
  <si>
    <t xml:space="preserve"> (0701 стр+0702-стр+....+0710-стр.)</t>
  </si>
  <si>
    <t>Изох* Ҳар бир бино ва иншоотнинг номи билан алоҳида алоҳида тўлдирилади</t>
  </si>
  <si>
    <r>
      <t xml:space="preserve">Солиқ тўловчилар томонидан </t>
    </r>
    <r>
      <rPr>
        <b/>
        <i/>
        <sz val="10"/>
        <color rgb="FFC00000"/>
        <rFont val="Arial"/>
        <family val="2"/>
        <charset val="204"/>
      </rPr>
      <t>мустақил</t>
    </r>
    <r>
      <rPr>
        <i/>
        <sz val="10"/>
        <color indexed="8"/>
        <rFont val="Arial"/>
        <family val="2"/>
        <charset val="204"/>
      </rPr>
      <t xml:space="preserve"> равишда тўлдирилади</t>
    </r>
  </si>
  <si>
    <r>
      <t xml:space="preserve">"Алохида солиқ ставкалари қўлланиладиган кўчмас мулк объектлари интерактив хизмати" орқали юборилган мурожаат асосида   </t>
    </r>
    <r>
      <rPr>
        <b/>
        <i/>
        <sz val="10"/>
        <color rgb="FFC00000"/>
        <rFont val="Arial"/>
        <family val="2"/>
        <charset val="204"/>
      </rPr>
      <t>автоматик</t>
    </r>
    <r>
      <rPr>
        <i/>
        <sz val="10"/>
        <color indexed="8"/>
        <rFont val="Arial"/>
        <family val="2"/>
        <charset val="204"/>
      </rPr>
      <t xml:space="preserve"> шаклланади.</t>
    </r>
  </si>
  <si>
    <t>Ҳисобланган солиқ суммаси тенг улушларда ойларга тақсимланади.</t>
  </si>
  <si>
    <r>
      <t xml:space="preserve">Маълумотлар Кадастр агентлиги маълумотлари ва солиқ тўловчи томонидан </t>
    </r>
    <r>
      <rPr>
        <u/>
        <sz val="11"/>
        <color rgb="FF0070C0"/>
        <rFont val="Times New Roman"/>
        <family val="1"/>
        <charset val="204"/>
      </rPr>
      <t>my3.soliq.uz</t>
    </r>
    <r>
      <rPr>
        <sz val="11"/>
        <color theme="1"/>
        <rFont val="Times New Roman"/>
        <family val="1"/>
        <charset val="204"/>
      </rPr>
      <t xml:space="preserve"> сайти орқали юборилган маълумотлар асосида шаклланади</t>
    </r>
  </si>
  <si>
    <t>январь ойи учун 20 февралгача</t>
  </si>
  <si>
    <t>февраль ойи учун 20 февралгача</t>
  </si>
  <si>
    <t>март ойи учун 20 мартгача</t>
  </si>
  <si>
    <t>апрель ойи учун 20 апрелгача</t>
  </si>
  <si>
    <t>май ойи учун 20 майгача</t>
  </si>
  <si>
    <t>июнь ойи учун 20 июнгача</t>
  </si>
  <si>
    <t>июль ойи учун 20 июлгача</t>
  </si>
  <si>
    <t>август ойи учун 20 августгача</t>
  </si>
  <si>
    <t>сентябрь ойи учун 20 сентабргача</t>
  </si>
  <si>
    <t>октябрь ойи учун 20 октабргача</t>
  </si>
  <si>
    <t>ноябрь ойи учун 20 ноябргача</t>
  </si>
  <si>
    <t>декабрь ойи учун 20 декабргача</t>
  </si>
  <si>
    <t>варақ 05</t>
  </si>
  <si>
    <t>Юридик шахсларнинг мол-мулкига солинадиган солиқ</t>
  </si>
  <si>
    <t>Солиқ базасининг умумий қиймати (020-сатр + 070-сатр + 080-сатр + 110-сатр+140-сатр)</t>
  </si>
  <si>
    <t>Бино-иншоотлар бўйича ўртача йиллик қолдиқ қиймати (Юридик шахсларнинг мол-мулкига солинадиган солиқ ҳисоб-китобига 1-илованинг 010-сатри 16-устуни)</t>
  </si>
  <si>
    <t>Солиқ базасини камайтириш (Юридик шахсларнинг мол-мулкига солинадиган солиқ ҳисоб-китобига 1-илованинг 010-сатри 19-устуни)</t>
  </si>
  <si>
    <t>Солиқ базаси (020-сатр - 30-сатр)</t>
  </si>
  <si>
    <t>Солиқ суммаси (040-сатр х 050-сатр)</t>
  </si>
  <si>
    <t>Темир йўллар, магистрал қувурлар, алоқа ва электр узатиш линиялари, шунингдек мазкур объектларнинг ажралмас технологик қисми бўлган иншоотларнинг ўртача йиллик қолдиқ қиймати (Юридик шахсларнинг мол-мулкига солинадиган солиқ ҳисоб-китобига 2-илованинг 030-сатри 16-устуни)</t>
  </si>
  <si>
    <t>Консервация қилиниши тўғрисида Ўзбекистон Республикаси Вазирлар Маҳкамасининг қарори қабул қилинган кўчмас мулк ва тугалланмаган қурилиш объектларининг ўртача йиллик қолдиқ (ўртача йиллик) қиймати (Юридик шахсларнинг мол-мулкига солинадиган солиқ ҳисоб-китобига 2-илованинг 040-сатри 16-устуни)</t>
  </si>
  <si>
    <t>Солиқ суммаси ((070-сатр+ 080 сатр) х 090-сатр)</t>
  </si>
  <si>
    <t xml:space="preserve">Норматив муддатда тугалланмаган қурилиш объектининг ўртача йиллик қиймати 
(Юридик шахсларнинг мол-мулкига солинадиган солиқ ҳисоб-китобига 4-илова) </t>
  </si>
  <si>
    <t>Солиқ суммаси (100 сатр х 110 сатр)</t>
  </si>
  <si>
    <t xml:space="preserve">Қурилиш ташкилотлари ёки иморатларни қурувчилар балансида кейинчалик сотиш учун кўрсатилган турар жой кўчмас мулк объектларининг (кўчмас мулк объекти фойдаланишга топширилгандан кейин олти ой ўтгач) ўртача йиллик қиймати 
( Юридик шахсларнинг мол-мулкига солинадиган солиқ ҳисоб-китобига 3-илованинг 050-сатри 16-устуни) </t>
  </si>
  <si>
    <t>Солиқ суммаси (140 сатр х 150 сатр)</t>
  </si>
  <si>
    <t>Бюджетга тўланадиган юридик шахсларнинг мол-мулкига солинадиган солиқнинг умумий суммаси (060-сатр+100-сатр+160-сатр)</t>
  </si>
  <si>
    <t>Солиқ даври учун жорий тўловлар бўйича юридик шахсларнинг мол-мулкига солинадиган солиқнинг ҳисобланган суммаси</t>
  </si>
  <si>
    <t>180</t>
  </si>
  <si>
    <t>Қўшимча тўлашга</t>
  </si>
  <si>
    <t>190</t>
  </si>
  <si>
    <t>Камайтиришга</t>
  </si>
  <si>
    <t>200</t>
  </si>
  <si>
    <t>Изоҳ: 
1. Ушбу ҳисоб-китоб солиқ органларига-Ўзбекистон Республикаси норезиденти бўлган юридик шахслар томонидан ҳам тақдим этилади.
2.Ҳисоб-китобни кўчмас мулк жойлашган солиқ органларига топширишда ҳисоб-китоб фақат ушбу ҳудудда жойлашган кўчмас мулкнинг бир қисмига тўлдирилади (070-сатрда кўрсатилган объектлар бундан мустасно), шу билан бирга кўчмас мулк рўйхатдан ўтказилганлиги тўғрисида гувоҳнома тақдим этилганда ҳисобга олинмайди. 070-сатрда кўрсатилган объектлар бўйича ҳисоб-китоб фақат солиқ ҳисобини олиб бориш жойидаги солиқ органларига берилади.
3. Кредит ташкилоти томонидан қарзни сўндириш ҳисобига сотиш мақсадида ундирилган мол-мулк (гаров мол-мулки) товар ҳисобланади, шу муносабат билан мол-мулк солиғи бўйича солиқ солиш объектида ҳисобга олинмаслиги керак, кредит ташкилоти томонидан ўз эҳтиёжлари учун фойдаланиладиган гаров мол-мулки бундан мустасно</t>
  </si>
  <si>
    <t>Юридик шахсларнинг мол-мулкига солинадиган солиқ ҳисоб-китобига 
 1-илова</t>
  </si>
  <si>
    <t>Бино иншоотлар бўйича мол-мулк  солиғи 
ҲИСОБ КИТОБИ</t>
  </si>
  <si>
    <t>Кўрсаткичлар*</t>
  </si>
  <si>
    <t>Объект номи**</t>
  </si>
  <si>
    <t>Сатр 
коди</t>
  </si>
  <si>
    <t>Бино ва иншоатлар умумий майдони
(кв.метр)***</t>
  </si>
  <si>
    <t xml:space="preserve">Энг кам қиймат татбиқ этилмайдиган бино-иншоотлар </t>
  </si>
  <si>
    <t xml:space="preserve">Энг кам қиймат татбиқ этиладиган майдони
(кв.метр)
</t>
  </si>
  <si>
    <t>Камайтирувчи коэффициент</t>
  </si>
  <si>
    <t>Кўчмас мулкнинг 
энг кам қиймати</t>
  </si>
  <si>
    <t>Солиқ базаси (мол-мулкнинг ўртача йиллик қолдиқ қиймати)</t>
  </si>
  <si>
    <t>Мустақил равишда баҳоланган 
(бозор) қиймати</t>
  </si>
  <si>
    <t>майдони
(кв.метр)</t>
  </si>
  <si>
    <t>қиймати
(сўмда)</t>
  </si>
  <si>
    <t>имтиёзга эга мулк қиймати</t>
  </si>
  <si>
    <t>Бино-иншоотлар жами (0101 сатр+ ....+01199)</t>
  </si>
  <si>
    <t>Юридик шахсларнинг мол-мулкига солинадиган солиқ ҳисоб-китобига 
 2-илова</t>
  </si>
  <si>
    <t>Энг кам қиймат тадбиқ этилмайдиган кўчмас мулк объектлари ҳамда ушбу кўчмас мулкларнинг ўртача йиллик қолдиқ қиймати (ўртача йиллик қиймати) бўйича 
МАЪЛУМОТ</t>
  </si>
  <si>
    <r>
      <t xml:space="preserve">минимал қиймат татбиқ этилмайдиган  майдони
</t>
    </r>
    <r>
      <rPr>
        <b/>
        <i/>
        <sz val="10"/>
        <color indexed="8"/>
        <rFont val="Arial"/>
        <family val="2"/>
        <charset val="204"/>
      </rPr>
      <t>(кв.метр)</t>
    </r>
  </si>
  <si>
    <t>Жами объектлар (020 сатр+020-сатр+....+200-сатр.)</t>
  </si>
  <si>
    <t xml:space="preserve"> (0401 стр+0402-стр+....+0210-стр.)</t>
  </si>
  <si>
    <t>варақ 06</t>
  </si>
  <si>
    <t xml:space="preserve">Юридик шахсларнинг мол-мулкига
 солинадиган солиқ ҳисоб-китобига
3-илова 
</t>
  </si>
  <si>
    <t xml:space="preserve"> солинадиган солиқ ҳисоб-китобига 3-илова </t>
  </si>
  <si>
    <t>Солиқ солинадиган объектларнинг ўртача йиллик қолдиқ қиймати (ўртача йиллик қиймати) 
ҲИСОБ-КИТОБИ</t>
  </si>
  <si>
    <t xml:space="preserve">Кўрсаткичлар </t>
  </si>
  <si>
    <t>Объектнинг 
кадастр рақами 
(коди)</t>
  </si>
  <si>
    <t>Охирги кун ҳолатига: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</si>
  <si>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</si>
  <si>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</si>
  <si>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</si>
  <si>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</si>
  <si>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</si>
  <si>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</si>
  <si>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</si>
  <si>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Августь</t>
  </si>
  <si>
    <t>Сентябрь</t>
  </si>
  <si>
    <t>Октябрь</t>
  </si>
  <si>
    <t>Ноябрь</t>
  </si>
  <si>
    <t>Декабрь</t>
  </si>
  <si>
    <t xml:space="preserve">Ўртача 
йиллик (қолдиқ)                  қиймат 4-уст +5-уст + 6-уст +7-уст +8-уст + 9-уст + 10-уст +11-уст + 12-уст +13-уст + 
14-уст+15-уст)/12
</t>
  </si>
  <si>
    <t>Солиқ базаси: (0103+сатр+050-сатр)</t>
  </si>
  <si>
    <r>
      <t xml:space="preserve">Бино иншоотлар бўйича жами қолдик (баланс) қиймати </t>
    </r>
    <r>
      <rPr>
        <sz val="10"/>
        <rFont val="Arial"/>
        <family val="2"/>
        <charset val="204"/>
      </rPr>
      <t>(0203-сатр+0206-сатр.......)</t>
    </r>
  </si>
  <si>
    <t>Бино-иншоотнинг бошланғич (тиклаш) қиймати</t>
  </si>
  <si>
    <t xml:space="preserve">Эскириш суммаси </t>
  </si>
  <si>
    <t>Қолдик (баланс) қиймати (0201-сатр –  0202-сатр)</t>
  </si>
  <si>
    <t>Қолдик (баланс) қиймати (0204-сатр –  0205-сатр)</t>
  </si>
  <si>
    <t>Қолдик (баланс) қиймати (0207-сатр –  0208-сатр)</t>
  </si>
  <si>
    <t>Қолдик (баланс) қиймати (0210-сатр –  0211-сатр)</t>
  </si>
  <si>
    <t>Қолдик (баланс) қиймати (0213-сатр –  0214-сатр)</t>
  </si>
  <si>
    <t>Қолдик (баланс) қиймати (0216-сатр –  0217-сатр)</t>
  </si>
  <si>
    <t>0220</t>
  </si>
  <si>
    <t>Қолдик (баланс) қиймати (0219-сатр –  0220-сатр)</t>
  </si>
  <si>
    <t>0221</t>
  </si>
  <si>
    <t>0222</t>
  </si>
  <si>
    <t>0223</t>
  </si>
  <si>
    <t>Қолдик (баланс) қиймати (0222-сатр –  0223-сатр)</t>
  </si>
  <si>
    <t>0224</t>
  </si>
  <si>
    <t>0225</t>
  </si>
  <si>
    <t>0226</t>
  </si>
  <si>
    <t>Қолдик (баланс) қиймати (0225-сатр –  0226-сатр)</t>
  </si>
  <si>
    <t>0227</t>
  </si>
  <si>
    <t>0228</t>
  </si>
  <si>
    <t>0229</t>
  </si>
  <si>
    <t>Қолдик (баланс) қиймати (0228-сатр –  0229-сатр)</t>
  </si>
  <si>
    <t>0230</t>
  </si>
  <si>
    <t>Темир йўллар, магистрал қувурлар, алоқа ва электр узатиш линиялари, шунингдек мазкур объектларнинг ажралмас технологик қисми бўлган иншоотлар</t>
  </si>
  <si>
    <t>Бошланғич (тиклаш) қиймати</t>
  </si>
  <si>
    <t xml:space="preserve">Эскириш суммаси  </t>
  </si>
  <si>
    <t>Қолдик (баланс) қиймати (010-сатр –  020-сатр)</t>
  </si>
  <si>
    <t xml:space="preserve">Консервация қилиниши тўғрисида Ўзбекистон Республикаси Вазирлар Маҳкамасининг қарори қабул қилинган кўчмас мулк ва тугалланмаган қурилиш объектларининг ўртача йиллик қиймати </t>
  </si>
  <si>
    <t>қурилиш ташкилотлари ёки иморатларни қурувчилар балансида кейинчалик сотиш учун кўрсатилган фойдаланишга топширилгандан кейин олти ой ўтган  турар жой кўчмас мулк объектларининг ўртача йиллик қиймати</t>
  </si>
  <si>
    <t>Ўзбекистон Республикаси норезидентлари кўчмас мулкининг  ўртача йиллик қиймати</t>
  </si>
  <si>
    <t>Изоҳ: Ҳисоб-китобни солиқ органига тақдим этишда ушбу илова фақатгина кўчмас мулк объекти (бинолар, иншоотлар, қурилиши тугалланмаган яшаш учун мўлжалланмаган объектлар ва бошқалар) ҳақиқатда жойлашган жойи бўйича тўлдирилади (030-сатрда кўрсатилган объектлар бундан мустасно). Шунингдек, ушбу кўчмас мулк солиқ тўловчи рўйхатга олинган жойда ҳисобга олинмайди. 030-сатрда кўрсатилган объектлар бўйича ҳисоб-китоб фақат солиқ ҳисобини олиб бориш жойидаги солиқ органларига берилади.</t>
  </si>
  <si>
    <t>(имзо)</t>
  </si>
  <si>
    <t>Юридик шахсларнинг мол-мулкига</t>
  </si>
  <si>
    <t xml:space="preserve"> солинадиган солиқ ҳисоб-китобига 4-илова </t>
  </si>
  <si>
    <t>Норматив муддатларда ишга туширилмаган,қурилиши тугалланмаган объектларнинг 
РЎЙХАТИ</t>
  </si>
  <si>
    <t>Қурилиши тугалланмаган 
объектнинг номи</t>
  </si>
  <si>
    <t>Объект қурилишига доир 
лойиҳа-смета ҳужжатларида 
белгиланган норматив 
муддат</t>
  </si>
  <si>
    <t>Объектни 
ишга 
тушириш 
муддати</t>
  </si>
  <si>
    <t>Норматив муддатларда ишга туширилмаган,  тугалланмаган қурилиш  қиймати (охирги кун ҳолатига )</t>
  </si>
  <si>
    <t>Изоҳ: Агар, лойиҳа-смета ҳужжатларида объектнинг қурилиш норматив муддати белгиланмаган бўлса, Ўзбекистон Республикаси Солиқ кодексида белгиланган муддат қўлланилади.
Ҳисоб-китобни кўчмас мулк жойлашган ердаги солиқ органига тақдим этишда ушбу илова фақатгина қурилиши тугалланмаган объектларнинг ҳақиқатда жойлашган ер бўйича тўлдирилади.</t>
  </si>
  <si>
    <r>
      <t xml:space="preserve">Маълумотлар Кадастр агентлиги маълумотлари ва солиқ тўловчи томонидан </t>
    </r>
    <r>
      <rPr>
        <u/>
        <sz val="10"/>
        <color rgb="FF0070C0"/>
        <rFont val="Times New Roman"/>
        <family val="1"/>
        <charset val="204"/>
      </rPr>
      <t>my3.soliq.uz</t>
    </r>
    <r>
      <rPr>
        <sz val="10"/>
        <color theme="1"/>
        <rFont val="Times New Roman"/>
        <family val="1"/>
        <charset val="204"/>
      </rPr>
      <t xml:space="preserve"> сайти орқали юборилган маълумотлар асосида шаклланади</t>
    </r>
  </si>
  <si>
    <r>
      <t>Юридик шахслардан олинадиган мол-мулк  солиғининг  ҳисобот шаклини</t>
    </r>
    <r>
      <rPr>
        <b/>
        <sz val="14"/>
        <color rgb="FFFF0000"/>
        <rFont val="Calibri"/>
        <family val="2"/>
        <charset val="204"/>
        <scheme val="minor"/>
      </rPr>
      <t xml:space="preserve"> </t>
    </r>
    <r>
      <rPr>
        <b/>
        <sz val="14"/>
        <color rgb="FFC00000"/>
        <rFont val="Calibri"/>
        <family val="2"/>
        <charset val="204"/>
        <scheme val="minor"/>
      </rPr>
      <t xml:space="preserve">автомат шакллантириш </t>
    </r>
    <r>
      <rPr>
        <b/>
        <sz val="14"/>
        <color rgb="FF002060"/>
        <rFont val="Calibri"/>
        <family val="2"/>
        <charset val="204"/>
        <scheme val="minor"/>
      </rPr>
      <t>юзасидан таҳлилий жадвал 
МАЪЛУМОТ</t>
    </r>
  </si>
  <si>
    <t>Қўшилган қиймат солиғи
ҳисоботи жадваллари</t>
  </si>
  <si>
    <t>АМАЛДА</t>
  </si>
  <si>
    <r>
      <t xml:space="preserve">Жами </t>
    </r>
    <r>
      <rPr>
        <sz val="11"/>
        <color rgb="FF0070C0"/>
        <rFont val="Calibri"/>
        <family val="2"/>
        <charset val="204"/>
        <scheme val="minor"/>
      </rPr>
      <t>катаклар</t>
    </r>
    <r>
      <rPr>
        <sz val="11"/>
        <rFont val="Calibri"/>
        <family val="2"/>
        <charset val="204"/>
        <scheme val="minor"/>
      </rPr>
      <t xml:space="preserve"> сони</t>
    </r>
  </si>
  <si>
    <t>Автомат шакл-ланади</t>
  </si>
  <si>
    <t>Формула орқали йиғинди ва бошқа иловадан келади</t>
  </si>
  <si>
    <t>Солиқ ставкаларни автомат қўйиш ҳисобига</t>
  </si>
  <si>
    <t>ЖАМИ</t>
  </si>
  <si>
    <t>Маълумотнома</t>
  </si>
  <si>
    <r>
      <rPr>
        <b/>
        <sz val="11"/>
        <color rgb="FF0070C0"/>
        <rFont val="Calibri"/>
        <family val="2"/>
        <charset val="204"/>
        <scheme val="minor"/>
      </rPr>
      <t>1-илова</t>
    </r>
    <r>
      <rPr>
        <sz val="11"/>
        <rFont val="Calibri"/>
        <family val="2"/>
        <charset val="204"/>
        <scheme val="minor"/>
      </rPr>
      <t xml:space="preserve">
</t>
    </r>
    <r>
      <rPr>
        <i/>
        <sz val="10"/>
        <color rgb="FFC00000"/>
        <rFont val="Calibri"/>
        <family val="2"/>
        <charset val="204"/>
        <scheme val="minor"/>
      </rPr>
      <t>(бўнак тўловларни ҳисоблаш бўйича маълумотномага илова)</t>
    </r>
  </si>
  <si>
    <t>Ҳисоб-китоб шакли</t>
  </si>
  <si>
    <r>
      <rPr>
        <b/>
        <sz val="11"/>
        <color rgb="FF0070C0"/>
        <rFont val="Calibri"/>
        <family val="2"/>
        <charset val="204"/>
        <scheme val="minor"/>
      </rPr>
      <t xml:space="preserve">1-илова                                                                     </t>
    </r>
    <r>
      <rPr>
        <i/>
        <sz val="10"/>
        <color rgb="FFC00000"/>
        <rFont val="Calibri"/>
        <family val="2"/>
        <charset val="204"/>
        <scheme val="minor"/>
      </rPr>
      <t>(Бино иншоотлар бўйича мол-мулк солиғи ҳисоб китоби)</t>
    </r>
  </si>
  <si>
    <r>
      <rPr>
        <b/>
        <sz val="11"/>
        <color rgb="FF0070C0"/>
        <rFont val="Calibri"/>
        <family val="2"/>
        <charset val="204"/>
        <scheme val="minor"/>
      </rPr>
      <t xml:space="preserve">2-илова                                                                     </t>
    </r>
    <r>
      <rPr>
        <i/>
        <sz val="11"/>
        <color rgb="FFC00000"/>
        <rFont val="Calibri"/>
        <family val="2"/>
        <charset val="204"/>
        <scheme val="minor"/>
      </rPr>
      <t>(</t>
    </r>
    <r>
      <rPr>
        <i/>
        <sz val="9"/>
        <color rgb="FFC00000"/>
        <rFont val="Calibri"/>
        <family val="2"/>
        <charset val="204"/>
        <scheme val="minor"/>
      </rPr>
      <t>Энг кам қиймат тадбиқ этилмайдиган кўчмас мулк объектлари</t>
    </r>
    <r>
      <rPr>
        <i/>
        <sz val="11"/>
        <color rgb="FFC00000"/>
        <rFont val="Calibri"/>
        <family val="2"/>
        <charset val="204"/>
        <scheme val="minor"/>
      </rPr>
      <t>)</t>
    </r>
  </si>
  <si>
    <r>
      <rPr>
        <b/>
        <sz val="11"/>
        <color rgb="FF0070C0"/>
        <rFont val="Calibri"/>
        <family val="2"/>
        <charset val="204"/>
        <scheme val="minor"/>
      </rPr>
      <t xml:space="preserve">3-илова                                                                     </t>
    </r>
    <r>
      <rPr>
        <i/>
        <sz val="11"/>
        <color rgb="FFC00000"/>
        <rFont val="Calibri"/>
        <family val="2"/>
        <charset val="204"/>
        <scheme val="minor"/>
      </rPr>
      <t>(</t>
    </r>
    <r>
      <rPr>
        <i/>
        <sz val="9"/>
        <color rgb="FFC00000"/>
        <rFont val="Calibri"/>
        <family val="2"/>
        <charset val="204"/>
        <scheme val="minor"/>
      </rPr>
      <t>Солиқ солинадиган объектларнинг ўртача йиллик қолдиқ қиймати ҳисоб-китоби</t>
    </r>
    <r>
      <rPr>
        <i/>
        <sz val="11"/>
        <color rgb="FFC00000"/>
        <rFont val="Calibri"/>
        <family val="2"/>
        <charset val="204"/>
        <scheme val="minor"/>
      </rPr>
      <t>)</t>
    </r>
  </si>
  <si>
    <r>
      <rPr>
        <b/>
        <sz val="11"/>
        <color rgb="FF0070C0"/>
        <rFont val="Calibri"/>
        <family val="2"/>
        <charset val="204"/>
        <scheme val="minor"/>
      </rPr>
      <t xml:space="preserve">3-илова                                                                     </t>
    </r>
    <r>
      <rPr>
        <i/>
        <sz val="10"/>
        <color rgb="FFC00000"/>
        <rFont val="Calibri"/>
        <family val="2"/>
        <charset val="204"/>
        <scheme val="minor"/>
      </rPr>
      <t>(Норматив муддатларда ишга туширилмаган,қурилиши тугалланмаган объектларнинг</t>
    </r>
    <r>
      <rPr>
        <i/>
        <sz val="11"/>
        <color rgb="FFC00000"/>
        <rFont val="Calibri"/>
        <family val="2"/>
        <charset val="204"/>
        <scheme val="minor"/>
      </rPr>
      <t>)</t>
    </r>
  </si>
  <si>
    <t>Кадастр агентлиги ва интерактив хизматлар орқали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</si>
</sst>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#,##0.0000_ ;[Red]\-#,##0.0000\ "/>
    <numFmt numFmtId="167" formatCode="#,##0_ ;[Red]\-#,##0\ "/>
    <numFmt numFmtId="168" formatCode="#,##0.00_ ;[Red]\-#,##0.00\ "/>
    <numFmt numFmtId="169" formatCode="#,##0.0_ ;[Red]\-#,##0.0\ "/>
  </numFmts>
  <fonts count="6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 Cyr"/>
      <charset val="204"/>
    </font>
    <font>
      <i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8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i/>
      <sz val="10"/>
      <color rgb="FFC00000"/>
      <name val="Calibri"/>
      <family val="2"/>
      <charset val="204"/>
      <scheme val="minor"/>
    </font>
    <font>
      <sz val="8"/>
      <name val="Arial"/>
      <family val="2"/>
    </font>
    <font>
      <b/>
      <sz val="10"/>
      <color indexed="8"/>
      <name val="Arial"/>
      <family val="2"/>
      <charset val="204"/>
    </font>
    <font>
      <b/>
      <i/>
      <sz val="10"/>
      <color rgb="FFC00000"/>
      <name val="Arial"/>
      <family val="2"/>
      <charset val="204"/>
    </font>
    <font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indexed="63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rgb="FFC0000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i/>
      <sz val="10"/>
      <color rgb="FF002060"/>
      <name val="Times New Roman"/>
      <family val="1"/>
      <charset val="204"/>
    </font>
    <font>
      <i/>
      <sz val="10"/>
      <color rgb="FF002060"/>
      <name val="Times New Roman"/>
      <family val="1"/>
      <charset val="204"/>
    </font>
    <font>
      <b/>
      <i/>
      <sz val="10"/>
      <color rgb="FFC00000"/>
      <name val="Times New Roman"/>
      <family val="1"/>
      <charset val="204"/>
    </font>
    <font>
      <i/>
      <sz val="10"/>
      <color rgb="FFFF0000"/>
      <name val="Times New Roman"/>
      <family val="1"/>
      <charset val="204"/>
    </font>
    <font>
      <b/>
      <sz val="18"/>
      <name val="Arial"/>
      <family val="2"/>
      <charset val="204"/>
    </font>
    <font>
      <i/>
      <sz val="14"/>
      <name val="Times New Roman"/>
      <family val="1"/>
      <charset val="204"/>
    </font>
    <font>
      <i/>
      <sz val="14"/>
      <color rgb="FFC00000"/>
      <name val="Times New Roman"/>
      <family val="1"/>
      <charset val="204"/>
    </font>
    <font>
      <b/>
      <i/>
      <sz val="10"/>
      <color indexed="8"/>
      <name val="Times New Roman"/>
      <family val="1"/>
      <charset val="204"/>
    </font>
    <font>
      <i/>
      <sz val="8"/>
      <color rgb="FFC00000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sz val="10"/>
      <color theme="1"/>
      <name val="Arial"/>
      <family val="2"/>
      <charset val="204"/>
    </font>
    <font>
      <b/>
      <sz val="16"/>
      <color indexed="8"/>
      <name val="Arial"/>
      <family val="2"/>
      <charset val="204"/>
    </font>
    <font>
      <i/>
      <sz val="10"/>
      <color indexed="8"/>
      <name val="Arial"/>
      <family val="2"/>
      <charset val="204"/>
    </font>
    <font>
      <b/>
      <sz val="10"/>
      <color indexed="63"/>
      <name val="Arial"/>
      <family val="2"/>
      <charset val="204"/>
    </font>
    <font>
      <u/>
      <sz val="11"/>
      <color rgb="FF0070C0"/>
      <name val="Times New Roman"/>
      <family val="1"/>
      <charset val="204"/>
    </font>
    <font>
      <b/>
      <i/>
      <sz val="10"/>
      <color indexed="8"/>
      <name val="Arial"/>
      <family val="2"/>
      <charset val="204"/>
    </font>
    <font>
      <u/>
      <sz val="10"/>
      <color rgb="FF0070C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rgb="FF00206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color rgb="FF0070C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i/>
      <sz val="10"/>
      <color rgb="FFC00000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i/>
      <sz val="9"/>
      <color rgb="FFC0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C8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6">
    <xf numFmtId="0" fontId="0" fillId="0" borderId="0"/>
    <xf numFmtId="0" fontId="5" fillId="0" borderId="0"/>
    <xf numFmtId="0" fontId="10" fillId="0" borderId="0"/>
    <xf numFmtId="43" fontId="10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0" fontId="1" fillId="0" borderId="0"/>
    <xf numFmtId="43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7" fillId="0" borderId="0"/>
  </cellStyleXfs>
  <cellXfs count="260">
    <xf numFmtId="0" fontId="0" fillId="0" borderId="0" xfId="0"/>
    <xf numFmtId="0" fontId="4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6" applyFont="1" applyFill="1" applyBorder="1" applyAlignment="1">
      <alignment horizontal="center" vertical="center"/>
    </xf>
    <xf numFmtId="0" fontId="1" fillId="0" borderId="0" xfId="7" applyFont="1"/>
    <xf numFmtId="0" fontId="1" fillId="0" borderId="0" xfId="7" applyFont="1" applyAlignment="1">
      <alignment horizontal="center" wrapText="1"/>
    </xf>
    <xf numFmtId="0" fontId="11" fillId="0" borderId="0" xfId="7" applyFont="1" applyAlignment="1">
      <alignment horizontal="center" wrapText="1"/>
    </xf>
    <xf numFmtId="0" fontId="1" fillId="0" borderId="0" xfId="7" applyFont="1" applyAlignment="1">
      <alignment horizontal="left" vertical="center"/>
    </xf>
    <xf numFmtId="0" fontId="1" fillId="0" borderId="0" xfId="7" applyFont="1" applyAlignment="1">
      <alignment horizontal="center" vertical="center"/>
    </xf>
    <xf numFmtId="0" fontId="1" fillId="0" borderId="0" xfId="7" applyFont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top" wrapText="1"/>
    </xf>
    <xf numFmtId="0" fontId="16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5" fillId="0" borderId="0" xfId="0" applyFont="1" applyAlignment="1">
      <alignment vertical="top" wrapText="1"/>
    </xf>
    <xf numFmtId="0" fontId="14" fillId="0" borderId="2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center" wrapText="1"/>
    </xf>
    <xf numFmtId="49" fontId="22" fillId="0" borderId="1" xfId="0" applyNumberFormat="1" applyFont="1" applyBorder="1" applyAlignment="1">
      <alignment horizontal="center" vertical="center"/>
    </xf>
    <xf numFmtId="165" fontId="22" fillId="6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4" fontId="22" fillId="6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2" fillId="0" borderId="0" xfId="0" applyFont="1"/>
    <xf numFmtId="0" fontId="2" fillId="0" borderId="0" xfId="9" applyFont="1"/>
    <xf numFmtId="0" fontId="3" fillId="0" borderId="0" xfId="9" applyFont="1"/>
    <xf numFmtId="0" fontId="2" fillId="0" borderId="0" xfId="9" applyFont="1" applyAlignment="1">
      <alignment horizontal="center"/>
    </xf>
    <xf numFmtId="0" fontId="13" fillId="0" borderId="0" xfId="8" applyFont="1" applyAlignment="1">
      <alignment wrapText="1" shrinkToFit="1"/>
    </xf>
    <xf numFmtId="49" fontId="4" fillId="0" borderId="1" xfId="9" applyNumberFormat="1" applyFont="1" applyBorder="1" applyAlignment="1">
      <alignment horizontal="center"/>
    </xf>
    <xf numFmtId="49" fontId="4" fillId="0" borderId="0" xfId="9" applyNumberFormat="1" applyFont="1" applyAlignment="1">
      <alignment horizontal="center"/>
    </xf>
    <xf numFmtId="0" fontId="2" fillId="0" borderId="0" xfId="8" applyFont="1"/>
    <xf numFmtId="0" fontId="3" fillId="0" borderId="0" xfId="8" applyFont="1"/>
    <xf numFmtId="0" fontId="2" fillId="0" borderId="0" xfId="8" applyFont="1" applyAlignment="1">
      <alignment horizontal="center"/>
    </xf>
    <xf numFmtId="0" fontId="2" fillId="0" borderId="1" xfId="8" applyFont="1" applyBorder="1" applyAlignment="1">
      <alignment horizontal="center" vertical="center" wrapText="1"/>
    </xf>
    <xf numFmtId="0" fontId="3" fillId="0" borderId="1" xfId="8" applyFont="1" applyBorder="1" applyAlignment="1">
      <alignment horizontal="center" vertical="center" wrapText="1"/>
    </xf>
    <xf numFmtId="0" fontId="2" fillId="0" borderId="12" xfId="8" applyFont="1" applyBorder="1" applyAlignment="1">
      <alignment horizontal="center" vertical="center" wrapText="1"/>
    </xf>
    <xf numFmtId="0" fontId="2" fillId="0" borderId="1" xfId="9" applyFont="1" applyBorder="1" applyAlignment="1">
      <alignment horizontal="center" vertical="center" wrapText="1"/>
    </xf>
    <xf numFmtId="0" fontId="3" fillId="0" borderId="1" xfId="9" applyFont="1" applyBorder="1" applyAlignment="1">
      <alignment horizontal="center" vertical="center" wrapText="1"/>
    </xf>
    <xf numFmtId="49" fontId="3" fillId="0" borderId="1" xfId="9" applyNumberFormat="1" applyFont="1" applyBorder="1" applyAlignment="1">
      <alignment horizontal="center" vertical="center" wrapText="1"/>
    </xf>
    <xf numFmtId="0" fontId="3" fillId="6" borderId="1" xfId="8" applyFont="1" applyFill="1" applyBorder="1" applyAlignment="1">
      <alignment horizontal="center" vertical="center" wrapText="1"/>
    </xf>
    <xf numFmtId="0" fontId="3" fillId="6" borderId="5" xfId="8" applyFont="1" applyFill="1" applyBorder="1" applyAlignment="1">
      <alignment horizontal="center" vertical="center" wrapText="1"/>
    </xf>
    <xf numFmtId="0" fontId="2" fillId="0" borderId="5" xfId="8" applyFont="1" applyBorder="1" applyAlignment="1">
      <alignment horizontal="center" vertical="center" wrapText="1"/>
    </xf>
    <xf numFmtId="3" fontId="3" fillId="6" borderId="1" xfId="8" applyNumberFormat="1" applyFont="1" applyFill="1" applyBorder="1" applyAlignment="1">
      <alignment horizontal="center" vertical="center" wrapText="1"/>
    </xf>
    <xf numFmtId="168" fontId="2" fillId="0" borderId="1" xfId="9" applyNumberFormat="1" applyFont="1" applyBorder="1" applyAlignment="1">
      <alignment horizontal="center" vertical="center" wrapText="1"/>
    </xf>
    <xf numFmtId="169" fontId="2" fillId="0" borderId="1" xfId="9" applyNumberFormat="1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165" fontId="2" fillId="0" borderId="1" xfId="9" applyNumberFormat="1" applyFont="1" applyBorder="1" applyAlignment="1">
      <alignment horizontal="center" vertical="center" wrapText="1"/>
    </xf>
    <xf numFmtId="168" fontId="2" fillId="6" borderId="1" xfId="9" applyNumberFormat="1" applyFont="1" applyFill="1" applyBorder="1" applyAlignment="1">
      <alignment horizontal="center" vertical="center" wrapText="1"/>
    </xf>
    <xf numFmtId="168" fontId="2" fillId="6" borderId="1" xfId="9" applyNumberFormat="1" applyFont="1" applyFill="1" applyBorder="1" applyAlignment="1">
      <alignment horizontal="right" vertical="center" wrapText="1"/>
    </xf>
    <xf numFmtId="2" fontId="2" fillId="0" borderId="0" xfId="8" applyNumberFormat="1" applyFont="1" applyAlignment="1">
      <alignment vertical="center" wrapText="1"/>
    </xf>
    <xf numFmtId="2" fontId="3" fillId="0" borderId="0" xfId="8" applyNumberFormat="1" applyFont="1" applyAlignment="1">
      <alignment vertical="center" wrapText="1"/>
    </xf>
    <xf numFmtId="2" fontId="2" fillId="0" borderId="0" xfId="9" applyNumberFormat="1" applyFont="1" applyAlignment="1">
      <alignment horizontal="center" vertical="center" wrapText="1"/>
    </xf>
    <xf numFmtId="2" fontId="2" fillId="0" borderId="0" xfId="9" applyNumberFormat="1" applyFont="1" applyAlignment="1">
      <alignment vertical="center" wrapText="1"/>
    </xf>
    <xf numFmtId="2" fontId="30" fillId="0" borderId="1" xfId="8" applyNumberFormat="1" applyFont="1" applyBorder="1" applyAlignment="1">
      <alignment horizontal="center" vertical="center" wrapText="1"/>
    </xf>
    <xf numFmtId="2" fontId="18" fillId="0" borderId="1" xfId="8" applyNumberFormat="1" applyFont="1" applyBorder="1" applyAlignment="1">
      <alignment horizontal="center" vertical="center" wrapText="1"/>
    </xf>
    <xf numFmtId="0" fontId="14" fillId="0" borderId="0" xfId="8" applyFont="1"/>
    <xf numFmtId="0" fontId="4" fillId="0" borderId="0" xfId="8" applyFont="1"/>
    <xf numFmtId="0" fontId="18" fillId="0" borderId="0" xfId="8" applyFont="1" applyAlignment="1">
      <alignment horizontal="right"/>
    </xf>
    <xf numFmtId="0" fontId="13" fillId="0" borderId="1" xfId="8" applyFont="1" applyBorder="1" applyAlignment="1">
      <alignment horizontal="center" vertical="center" wrapText="1"/>
    </xf>
    <xf numFmtId="168" fontId="3" fillId="4" borderId="1" xfId="7" applyNumberFormat="1" applyFont="1" applyFill="1" applyBorder="1" applyAlignment="1">
      <alignment horizontal="center" vertical="center" wrapText="1"/>
    </xf>
    <xf numFmtId="166" fontId="3" fillId="4" borderId="1" xfId="7" applyNumberFormat="1" applyFont="1" applyFill="1" applyBorder="1" applyAlignment="1">
      <alignment horizontal="right" vertical="center" wrapText="1"/>
    </xf>
    <xf numFmtId="168" fontId="3" fillId="4" borderId="1" xfId="7" applyNumberFormat="1" applyFont="1" applyFill="1" applyBorder="1" applyAlignment="1">
      <alignment horizontal="right" vertical="center" wrapText="1"/>
    </xf>
    <xf numFmtId="0" fontId="13" fillId="0" borderId="0" xfId="8" applyFont="1"/>
    <xf numFmtId="0" fontId="37" fillId="0" borderId="1" xfId="8" applyFont="1" applyBorder="1" applyAlignment="1">
      <alignment horizontal="center" vertical="center" wrapText="1"/>
    </xf>
    <xf numFmtId="0" fontId="37" fillId="0" borderId="1" xfId="8" applyFont="1" applyBorder="1" applyAlignment="1">
      <alignment horizontal="center" vertical="center"/>
    </xf>
    <xf numFmtId="0" fontId="9" fillId="0" borderId="0" xfId="0" applyFont="1"/>
    <xf numFmtId="0" fontId="2" fillId="0" borderId="0" xfId="0" applyFont="1"/>
    <xf numFmtId="0" fontId="16" fillId="0" borderId="16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4" fillId="0" borderId="0" xfId="0" applyFont="1" applyAlignment="1">
      <alignment horizontal="right" vertical="center"/>
    </xf>
    <xf numFmtId="0" fontId="13" fillId="0" borderId="10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8" fontId="4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4" fillId="0" borderId="11" xfId="0" applyFont="1" applyBorder="1"/>
    <xf numFmtId="0" fontId="4" fillId="0" borderId="0" xfId="0" applyFont="1" applyAlignment="1">
      <alignment horizontal="left" vertical="center"/>
    </xf>
    <xf numFmtId="0" fontId="4" fillId="0" borderId="0" xfId="15" applyFont="1"/>
    <xf numFmtId="0" fontId="4" fillId="0" borderId="11" xfId="15" applyFont="1" applyBorder="1"/>
    <xf numFmtId="0" fontId="2" fillId="0" borderId="0" xfId="8" applyFont="1" applyAlignment="1">
      <alignment wrapText="1" shrinkToFit="1"/>
    </xf>
    <xf numFmtId="0" fontId="3" fillId="0" borderId="0" xfId="8" applyFont="1" applyAlignment="1">
      <alignment vertical="center" wrapText="1"/>
    </xf>
    <xf numFmtId="49" fontId="2" fillId="0" borderId="1" xfId="9" applyNumberFormat="1" applyFont="1" applyBorder="1" applyAlignment="1">
      <alignment horizontal="center" vertical="center" wrapText="1"/>
    </xf>
    <xf numFmtId="166" fontId="2" fillId="6" borderId="1" xfId="9" applyNumberFormat="1" applyFont="1" applyFill="1" applyBorder="1" applyAlignment="1">
      <alignment horizontal="right" vertical="center" wrapText="1"/>
    </xf>
    <xf numFmtId="0" fontId="2" fillId="6" borderId="1" xfId="8" applyFont="1" applyFill="1" applyBorder="1" applyAlignment="1">
      <alignment horizontal="left" vertical="center" wrapText="1"/>
    </xf>
    <xf numFmtId="14" fontId="2" fillId="6" borderId="1" xfId="8" applyNumberFormat="1" applyFont="1" applyFill="1" applyBorder="1" applyAlignment="1">
      <alignment horizontal="center" vertical="center" wrapText="1"/>
    </xf>
    <xf numFmtId="169" fontId="8" fillId="6" borderId="1" xfId="9" applyNumberFormat="1" applyFont="1" applyFill="1" applyBorder="1" applyAlignment="1">
      <alignment horizontal="center" vertical="center" wrapText="1"/>
    </xf>
    <xf numFmtId="169" fontId="3" fillId="4" borderId="1" xfId="7" applyNumberFormat="1" applyFont="1" applyFill="1" applyBorder="1" applyAlignment="1">
      <alignment horizontal="right" vertical="center" wrapText="1"/>
    </xf>
    <xf numFmtId="0" fontId="3" fillId="0" borderId="0" xfId="0" applyFont="1"/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5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2" fillId="0" borderId="2" xfId="0" applyFont="1" applyBorder="1"/>
    <xf numFmtId="0" fontId="2" fillId="0" borderId="0" xfId="0" applyFont="1" applyAlignment="1">
      <alignment vertical="top"/>
    </xf>
    <xf numFmtId="0" fontId="35" fillId="0" borderId="0" xfId="0" applyFont="1"/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2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16" fillId="0" borderId="7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169" fontId="3" fillId="4" borderId="12" xfId="7" applyNumberFormat="1" applyFont="1" applyFill="1" applyBorder="1" applyAlignment="1">
      <alignment horizontal="right" vertical="center" wrapText="1"/>
    </xf>
    <xf numFmtId="169" fontId="3" fillId="4" borderId="13" xfId="7" applyNumberFormat="1" applyFont="1" applyFill="1" applyBorder="1" applyAlignment="1">
      <alignment horizontal="right" vertical="center" wrapText="1"/>
    </xf>
    <xf numFmtId="0" fontId="3" fillId="0" borderId="4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167" fontId="52" fillId="5" borderId="15" xfId="7" applyNumberFormat="1" applyFont="1" applyFill="1" applyBorder="1" applyAlignment="1">
      <alignment horizontal="center" vertical="center" wrapText="1"/>
    </xf>
    <xf numFmtId="167" fontId="53" fillId="0" borderId="15" xfId="7" applyNumberFormat="1" applyFont="1" applyBorder="1" applyAlignment="1">
      <alignment horizontal="center" vertical="center" wrapText="1"/>
    </xf>
    <xf numFmtId="167" fontId="54" fillId="0" borderId="15" xfId="7" applyNumberFormat="1" applyFont="1" applyBorder="1" applyAlignment="1">
      <alignment horizontal="center" vertical="center" wrapText="1"/>
    </xf>
    <xf numFmtId="167" fontId="55" fillId="0" borderId="15" xfId="7" applyNumberFormat="1" applyFont="1" applyBorder="1" applyAlignment="1">
      <alignment horizontal="center" vertical="center" wrapText="1"/>
    </xf>
    <xf numFmtId="167" fontId="52" fillId="0" borderId="15" xfId="7" applyNumberFormat="1" applyFont="1" applyBorder="1" applyAlignment="1">
      <alignment horizontal="center" vertical="center" wrapText="1"/>
    </xf>
    <xf numFmtId="0" fontId="43" fillId="0" borderId="0" xfId="7" applyFont="1" applyAlignment="1">
      <alignment horizontal="left" vertical="center"/>
    </xf>
    <xf numFmtId="0" fontId="47" fillId="0" borderId="15" xfId="7" applyFont="1" applyBorder="1" applyAlignment="1">
      <alignment horizontal="center" vertical="center"/>
    </xf>
    <xf numFmtId="0" fontId="53" fillId="0" borderId="15" xfId="7" applyFont="1" applyBorder="1" applyAlignment="1">
      <alignment vertical="center" wrapText="1"/>
    </xf>
    <xf numFmtId="167" fontId="47" fillId="5" borderId="15" xfId="3" applyNumberFormat="1" applyFont="1" applyFill="1" applyBorder="1" applyAlignment="1">
      <alignment horizontal="center" vertical="center" wrapText="1"/>
    </xf>
    <xf numFmtId="167" fontId="49" fillId="0" borderId="15" xfId="3" applyNumberFormat="1" applyFont="1" applyFill="1" applyBorder="1" applyAlignment="1">
      <alignment horizontal="center" vertical="center" wrapText="1"/>
    </xf>
    <xf numFmtId="167" fontId="11" fillId="0" borderId="15" xfId="3" applyNumberFormat="1" applyFont="1" applyFill="1" applyBorder="1" applyAlignment="1">
      <alignment horizontal="center" vertical="center" wrapText="1"/>
    </xf>
    <xf numFmtId="167" fontId="56" fillId="0" borderId="15" xfId="3" applyNumberFormat="1" applyFont="1" applyBorder="1" applyAlignment="1">
      <alignment horizontal="center" vertical="center" wrapText="1"/>
    </xf>
    <xf numFmtId="167" fontId="50" fillId="0" borderId="15" xfId="3" applyNumberFormat="1" applyFont="1" applyFill="1" applyBorder="1" applyAlignment="1">
      <alignment horizontal="center" vertical="center" wrapText="1"/>
    </xf>
    <xf numFmtId="167" fontId="47" fillId="0" borderId="15" xfId="3" applyNumberFormat="1" applyFont="1" applyBorder="1" applyAlignment="1">
      <alignment horizontal="center" vertical="center" wrapText="1"/>
    </xf>
    <xf numFmtId="167" fontId="11" fillId="0" borderId="15" xfId="3" applyNumberFormat="1" applyFont="1" applyBorder="1" applyAlignment="1">
      <alignment horizontal="center" vertical="center" wrapText="1"/>
    </xf>
    <xf numFmtId="0" fontId="47" fillId="0" borderId="15" xfId="7" applyFont="1" applyBorder="1" applyAlignment="1">
      <alignment vertical="center" wrapText="1"/>
    </xf>
    <xf numFmtId="167" fontId="47" fillId="0" borderId="15" xfId="3" applyNumberFormat="1" applyFont="1" applyFill="1" applyBorder="1" applyAlignment="1">
      <alignment horizontal="center" vertical="center" wrapText="1"/>
    </xf>
    <xf numFmtId="167" fontId="42" fillId="0" borderId="15" xfId="3" applyNumberFormat="1" applyFont="1" applyFill="1" applyBorder="1" applyAlignment="1">
      <alignment horizontal="center" vertical="center" wrapText="1"/>
    </xf>
    <xf numFmtId="0" fontId="57" fillId="0" borderId="0" xfId="7" applyFont="1" applyAlignment="1">
      <alignment horizontal="center" wrapText="1"/>
    </xf>
    <xf numFmtId="0" fontId="58" fillId="0" borderId="0" xfId="7" applyFont="1" applyAlignment="1">
      <alignment horizontal="center" wrapText="1"/>
    </xf>
    <xf numFmtId="0" fontId="50" fillId="0" borderId="17" xfId="7" applyFont="1" applyBorder="1" applyAlignment="1">
      <alignment horizontal="center" vertical="center" wrapText="1"/>
    </xf>
    <xf numFmtId="0" fontId="50" fillId="0" borderId="18" xfId="7" applyFont="1" applyBorder="1" applyAlignment="1">
      <alignment horizontal="center" vertical="center" wrapText="1"/>
    </xf>
    <xf numFmtId="0" fontId="50" fillId="0" borderId="19" xfId="7" applyFont="1" applyBorder="1" applyAlignment="1">
      <alignment horizontal="center" vertical="center" wrapText="1"/>
    </xf>
    <xf numFmtId="0" fontId="51" fillId="0" borderId="15" xfId="7" applyFont="1" applyBorder="1" applyAlignment="1">
      <alignment horizontal="center" vertical="center" wrapText="1"/>
    </xf>
    <xf numFmtId="0" fontId="11" fillId="0" borderId="15" xfId="7" applyFont="1" applyBorder="1" applyAlignment="1">
      <alignment horizontal="center" vertical="center" wrapText="1"/>
    </xf>
    <xf numFmtId="0" fontId="52" fillId="0" borderId="15" xfId="7" applyFont="1" applyBorder="1" applyAlignment="1">
      <alignment horizontal="center" vertical="center"/>
    </xf>
    <xf numFmtId="0" fontId="44" fillId="0" borderId="0" xfId="7" applyFont="1" applyAlignment="1">
      <alignment horizontal="center" vertical="center" wrapText="1"/>
    </xf>
    <xf numFmtId="0" fontId="47" fillId="0" borderId="15" xfId="7" applyFont="1" applyBorder="1" applyAlignment="1">
      <alignment horizontal="center" vertical="center" wrapText="1"/>
    </xf>
    <xf numFmtId="0" fontId="48" fillId="5" borderId="15" xfId="7" applyFont="1" applyFill="1" applyBorder="1" applyAlignment="1">
      <alignment horizontal="center" vertical="center" wrapText="1"/>
    </xf>
    <xf numFmtId="0" fontId="47" fillId="5" borderId="15" xfId="7" applyFont="1" applyFill="1" applyBorder="1" applyAlignment="1">
      <alignment horizontal="center" vertical="center" wrapText="1"/>
    </xf>
    <xf numFmtId="0" fontId="49" fillId="0" borderId="15" xfId="7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8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" fillId="0" borderId="0" xfId="8" applyFont="1" applyAlignment="1">
      <alignment horizontal="center" vertical="center" wrapText="1"/>
    </xf>
    <xf numFmtId="0" fontId="2" fillId="0" borderId="1" xfId="8" applyFont="1" applyBorder="1" applyAlignment="1">
      <alignment horizontal="center" vertical="center" wrapText="1"/>
    </xf>
    <xf numFmtId="0" fontId="2" fillId="0" borderId="10" xfId="8" applyFont="1" applyBorder="1" applyAlignment="1">
      <alignment horizontal="center" vertical="center" wrapText="1"/>
    </xf>
    <xf numFmtId="0" fontId="2" fillId="0" borderId="9" xfId="8" applyFont="1" applyBorder="1" applyAlignment="1">
      <alignment horizontal="center" vertical="center" wrapText="1"/>
    </xf>
    <xf numFmtId="0" fontId="2" fillId="0" borderId="7" xfId="8" applyFont="1" applyBorder="1" applyAlignment="1">
      <alignment horizontal="center" vertical="center" wrapText="1"/>
    </xf>
    <xf numFmtId="0" fontId="2" fillId="0" borderId="6" xfId="8" applyFont="1" applyBorder="1" applyAlignment="1">
      <alignment horizontal="center" vertical="center" wrapText="1"/>
    </xf>
    <xf numFmtId="0" fontId="3" fillId="0" borderId="1" xfId="8" applyFont="1" applyBorder="1" applyAlignment="1">
      <alignment horizontal="center" vertical="center" wrapText="1"/>
    </xf>
    <xf numFmtId="0" fontId="2" fillId="0" borderId="12" xfId="8" applyFont="1" applyBorder="1" applyAlignment="1">
      <alignment horizontal="center" vertical="center" wrapText="1"/>
    </xf>
    <xf numFmtId="0" fontId="2" fillId="0" borderId="14" xfId="8" applyFont="1" applyBorder="1" applyAlignment="1">
      <alignment horizontal="center" vertical="center" wrapText="1"/>
    </xf>
    <xf numFmtId="0" fontId="2" fillId="0" borderId="13" xfId="8" applyFont="1" applyBorder="1" applyAlignment="1">
      <alignment horizontal="center" vertical="center" wrapText="1"/>
    </xf>
    <xf numFmtId="0" fontId="2" fillId="6" borderId="3" xfId="8" applyFont="1" applyFill="1" applyBorder="1" applyAlignment="1">
      <alignment horizontal="left" vertical="center" wrapText="1"/>
    </xf>
    <xf numFmtId="0" fontId="2" fillId="6" borderId="4" xfId="8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2" fontId="27" fillId="2" borderId="1" xfId="8" applyNumberFormat="1" applyFont="1" applyFill="1" applyBorder="1" applyAlignment="1">
      <alignment horizontal="center" vertical="center" wrapText="1"/>
    </xf>
    <xf numFmtId="2" fontId="27" fillId="2" borderId="0" xfId="8" applyNumberFormat="1" applyFont="1" applyFill="1" applyAlignment="1">
      <alignment horizontal="center" vertical="center" wrapText="1"/>
    </xf>
    <xf numFmtId="2" fontId="28" fillId="0" borderId="1" xfId="8" applyNumberFormat="1" applyFont="1" applyBorder="1" applyAlignment="1">
      <alignment horizontal="center" vertical="center" wrapText="1"/>
    </xf>
    <xf numFmtId="2" fontId="32" fillId="0" borderId="3" xfId="8" applyNumberFormat="1" applyFont="1" applyBorder="1" applyAlignment="1">
      <alignment horizontal="center" vertical="center" wrapText="1"/>
    </xf>
    <xf numFmtId="2" fontId="32" fillId="0" borderId="5" xfId="8" applyNumberFormat="1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13" fillId="0" borderId="0" xfId="8" applyFont="1" applyAlignment="1">
      <alignment horizontal="center" vertical="center" wrapText="1"/>
    </xf>
    <xf numFmtId="0" fontId="13" fillId="0" borderId="1" xfId="8" applyFont="1" applyBorder="1" applyAlignment="1">
      <alignment horizontal="center" vertical="center" wrapText="1"/>
    </xf>
    <xf numFmtId="0" fontId="13" fillId="0" borderId="12" xfId="8" applyFont="1" applyBorder="1" applyAlignment="1">
      <alignment horizontal="center" vertical="center" wrapText="1"/>
    </xf>
    <xf numFmtId="0" fontId="13" fillId="0" borderId="14" xfId="8" applyFont="1" applyBorder="1" applyAlignment="1">
      <alignment horizontal="center" vertical="center" wrapText="1"/>
    </xf>
    <xf numFmtId="0" fontId="13" fillId="0" borderId="13" xfId="8" applyFont="1" applyBorder="1" applyAlignment="1">
      <alignment horizontal="center" vertical="center" wrapText="1"/>
    </xf>
    <xf numFmtId="168" fontId="3" fillId="4" borderId="12" xfId="7" applyNumberFormat="1" applyFont="1" applyFill="1" applyBorder="1" applyAlignment="1">
      <alignment horizontal="center" vertical="center" wrapText="1"/>
    </xf>
    <xf numFmtId="168" fontId="3" fillId="4" borderId="13" xfId="7" applyNumberFormat="1" applyFont="1" applyFill="1" applyBorder="1" applyAlignment="1">
      <alignment horizontal="center" vertical="center" wrapText="1"/>
    </xf>
    <xf numFmtId="49" fontId="3" fillId="4" borderId="12" xfId="7" applyNumberFormat="1" applyFont="1" applyFill="1" applyBorder="1" applyAlignment="1">
      <alignment horizontal="center" vertical="center" wrapText="1"/>
    </xf>
    <xf numFmtId="49" fontId="3" fillId="4" borderId="13" xfId="7" applyNumberFormat="1" applyFont="1" applyFill="1" applyBorder="1" applyAlignment="1">
      <alignment horizontal="center" vertical="center" wrapText="1"/>
    </xf>
    <xf numFmtId="166" fontId="3" fillId="4" borderId="12" xfId="7" applyNumberFormat="1" applyFont="1" applyFill="1" applyBorder="1" applyAlignment="1">
      <alignment horizontal="right" vertical="center" wrapText="1"/>
    </xf>
    <xf numFmtId="166" fontId="3" fillId="4" borderId="13" xfId="7" applyNumberFormat="1" applyFont="1" applyFill="1" applyBorder="1" applyAlignment="1">
      <alignment horizontal="right" vertical="center" wrapText="1"/>
    </xf>
    <xf numFmtId="168" fontId="3" fillId="4" borderId="12" xfId="7" applyNumberFormat="1" applyFont="1" applyFill="1" applyBorder="1" applyAlignment="1">
      <alignment horizontal="right" vertical="center" wrapText="1"/>
    </xf>
    <xf numFmtId="168" fontId="3" fillId="4" borderId="13" xfId="7" applyNumberFormat="1" applyFont="1" applyFill="1" applyBorder="1" applyAlignment="1">
      <alignment horizontal="right" vertical="center" wrapText="1"/>
    </xf>
    <xf numFmtId="0" fontId="36" fillId="2" borderId="0" xfId="8" applyFont="1" applyFill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4" fillId="0" borderId="0" xfId="8" applyFont="1" applyAlignment="1">
      <alignment horizontal="left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2" fillId="0" borderId="0" xfId="9" applyFont="1" applyAlignment="1">
      <alignment horizontal="center" vertical="center" wrapText="1"/>
    </xf>
    <xf numFmtId="0" fontId="3" fillId="0" borderId="2" xfId="8" applyFont="1" applyBorder="1" applyAlignment="1">
      <alignment horizontal="center" vertical="center" wrapText="1"/>
    </xf>
    <xf numFmtId="0" fontId="3" fillId="0" borderId="10" xfId="8" applyFont="1" applyBorder="1" applyAlignment="1">
      <alignment horizontal="center" vertical="center" wrapText="1"/>
    </xf>
    <xf numFmtId="0" fontId="3" fillId="0" borderId="9" xfId="8" applyFont="1" applyBorder="1" applyAlignment="1">
      <alignment horizontal="center" vertical="center" wrapText="1"/>
    </xf>
    <xf numFmtId="0" fontId="3" fillId="0" borderId="7" xfId="8" applyFont="1" applyBorder="1" applyAlignment="1">
      <alignment horizontal="center" vertical="center" wrapText="1"/>
    </xf>
    <xf numFmtId="0" fontId="3" fillId="0" borderId="6" xfId="8" applyFont="1" applyBorder="1" applyAlignment="1">
      <alignment horizontal="center" vertical="center" wrapText="1"/>
    </xf>
    <xf numFmtId="0" fontId="3" fillId="0" borderId="12" xfId="8" applyFont="1" applyBorder="1" applyAlignment="1">
      <alignment horizontal="center" vertical="center" wrapText="1"/>
    </xf>
    <xf numFmtId="0" fontId="3" fillId="0" borderId="14" xfId="8" applyFont="1" applyBorder="1" applyAlignment="1">
      <alignment horizontal="center" vertical="center" wrapText="1"/>
    </xf>
    <xf numFmtId="0" fontId="3" fillId="0" borderId="13" xfId="8" applyFont="1" applyBorder="1" applyAlignment="1">
      <alignment horizontal="center" vertical="center" wrapText="1"/>
    </xf>
    <xf numFmtId="168" fontId="2" fillId="6" borderId="3" xfId="9" applyNumberFormat="1" applyFont="1" applyFill="1" applyBorder="1" applyAlignment="1">
      <alignment horizontal="left" vertical="center" wrapText="1"/>
    </xf>
    <xf numFmtId="168" fontId="2" fillId="6" borderId="4" xfId="9" applyNumberFormat="1" applyFont="1" applyFill="1" applyBorder="1" applyAlignment="1">
      <alignment horizontal="left" vertical="center" wrapText="1"/>
    </xf>
    <xf numFmtId="168" fontId="2" fillId="6" borderId="5" xfId="9" applyNumberFormat="1" applyFont="1" applyFill="1" applyBorder="1" applyAlignment="1">
      <alignment horizontal="left" vertical="center" wrapText="1"/>
    </xf>
    <xf numFmtId="0" fontId="37" fillId="0" borderId="0" xfId="8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0" fillId="0" borderId="10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6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2 2 2" xfId="7" xr:uid="{589BFA4A-50F5-481B-A1A6-F02E74C6575B}"/>
    <cellStyle name="Обычный 2 2 3" xfId="12" xr:uid="{BDD2EA2E-10CF-4324-AF82-57F7F0202B81}"/>
    <cellStyle name="Обычный 3" xfId="4" xr:uid="{00000000-0005-0000-0000-000003000000}"/>
    <cellStyle name="Обычный 6" xfId="9" xr:uid="{4B4ACCF9-25B5-4332-8AD3-57FD7145F620}"/>
    <cellStyle name="Обычный 6 2" xfId="8" xr:uid="{699A1438-1CBE-42D2-AAFF-349681742C30}"/>
    <cellStyle name="Обычный_10007ru" xfId="6" xr:uid="{5A511C26-5E86-4CC1-95F9-5A589B24B2A5}"/>
    <cellStyle name="Обычный_ru" xfId="15" xr:uid="{DAD7A6CD-02DB-4BC3-A8EB-4C642756ABD4}"/>
    <cellStyle name="Финансовый 2" xfId="3" xr:uid="{00000000-0005-0000-0000-000006000000}"/>
    <cellStyle name="Финансовый 2 2" xfId="13" xr:uid="{8AEAAEB1-DBB4-4389-90F6-E8BF4A329331}"/>
    <cellStyle name="Финансовый 2 3" xfId="10" xr:uid="{96E9C282-79C5-4498-B830-EC4167EACCCA}"/>
    <cellStyle name="Финансовый 3" xfId="5" xr:uid="{00000000-0005-0000-0000-000007000000}"/>
    <cellStyle name="Финансовый 3 2" xfId="14" xr:uid="{77F691A0-B501-40A6-9367-B041703358C0}"/>
    <cellStyle name="Финансовый 4" xfId="11" xr:uid="{C4BC13B1-3852-4D69-8BC6-AD5E58F80592}"/>
  </cellStyles>
  <dxfs count="0"/>
  <tableStyles count="0" defaultTableStyle="TableStyleMedium2" defaultPivotStyle="PivotStyleLight16"/>
  <colors>
    <mruColors>
      <color rgb="FFCCFFFF"/>
      <color rgb="FFFFFF99"/>
      <color rgb="FFFCD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4F0E-DBDE-4098-A3AC-D2FAF37BC4EB}">
  <sheetPr>
    <tabColor theme="5" tint="0.79998168889431442"/>
    <pageSetUpPr fitToPage="1"/>
  </sheetPr>
  <dimension ref="A1:J15"/>
  <sheetViews>
    <sheetView tabSelected="1" view="pageBreakPreview" zoomScale="85" zoomScaleNormal="85" zoomScaleSheetLayoutView="85" workbookViewId="0">
      <selection activeCell="C9" sqref="C9"/>
    </sheetView>
  </sheetViews>
  <sheetFormatPr defaultColWidth="9.140625" defaultRowHeight="15" outlineLevelCol="1" x14ac:dyDescent="0.25"/>
  <cols>
    <col min="1" max="1" width="5" style="5" customWidth="1"/>
    <col min="2" max="2" width="38.5703125" style="5" customWidth="1"/>
    <col min="3" max="3" width="9.7109375" style="6" customWidth="1"/>
    <col min="4" max="4" width="8.42578125" style="6" customWidth="1"/>
    <col min="5" max="5" width="8.28515625" style="7" customWidth="1"/>
    <col min="6" max="6" width="15.140625" style="149" customWidth="1" outlineLevel="1"/>
    <col min="7" max="7" width="14.28515625" style="149" customWidth="1" outlineLevel="1"/>
    <col min="8" max="8" width="12.85546875" style="150" customWidth="1"/>
    <col min="9" max="9" width="8.42578125" style="6" customWidth="1"/>
    <col min="10" max="10" width="7.7109375" style="7" customWidth="1" collapsed="1"/>
    <col min="11" max="16384" width="9.140625" style="5"/>
  </cols>
  <sheetData>
    <row r="1" spans="1:10" ht="63" customHeight="1" x14ac:dyDescent="0.25">
      <c r="A1" s="157" t="s">
        <v>297</v>
      </c>
      <c r="B1" s="157"/>
      <c r="C1" s="157"/>
      <c r="D1" s="157"/>
      <c r="E1" s="157"/>
      <c r="F1" s="157"/>
      <c r="G1" s="157"/>
      <c r="H1" s="157"/>
      <c r="I1" s="157"/>
      <c r="J1" s="157"/>
    </row>
    <row r="2" spans="1:10" s="10" customFormat="1" ht="18" customHeight="1" x14ac:dyDescent="0.25">
      <c r="A2" s="158" t="s">
        <v>24</v>
      </c>
      <c r="B2" s="158" t="s">
        <v>298</v>
      </c>
      <c r="C2" s="159" t="s">
        <v>299</v>
      </c>
      <c r="D2" s="159"/>
      <c r="E2" s="159"/>
      <c r="F2" s="159"/>
      <c r="G2" s="159"/>
      <c r="H2" s="159"/>
      <c r="I2" s="159"/>
      <c r="J2" s="159"/>
    </row>
    <row r="3" spans="1:10" s="10" customFormat="1" ht="21" customHeight="1" x14ac:dyDescent="0.25">
      <c r="A3" s="158"/>
      <c r="B3" s="158"/>
      <c r="C3" s="160" t="s">
        <v>300</v>
      </c>
      <c r="D3" s="158" t="s">
        <v>25</v>
      </c>
      <c r="E3" s="158"/>
      <c r="F3" s="158"/>
      <c r="G3" s="158"/>
      <c r="H3" s="158"/>
      <c r="I3" s="158"/>
      <c r="J3" s="158"/>
    </row>
    <row r="4" spans="1:10" s="9" customFormat="1" ht="21" customHeight="1" x14ac:dyDescent="0.25">
      <c r="A4" s="158"/>
      <c r="B4" s="158"/>
      <c r="C4" s="160"/>
      <c r="D4" s="161" t="s">
        <v>301</v>
      </c>
      <c r="E4" s="155" t="s">
        <v>26</v>
      </c>
      <c r="F4" s="151" t="s">
        <v>312</v>
      </c>
      <c r="G4" s="151" t="s">
        <v>303</v>
      </c>
      <c r="H4" s="151" t="s">
        <v>302</v>
      </c>
      <c r="I4" s="154" t="s">
        <v>27</v>
      </c>
      <c r="J4" s="155" t="s">
        <v>26</v>
      </c>
    </row>
    <row r="5" spans="1:10" s="9" customFormat="1" ht="17.25" customHeight="1" x14ac:dyDescent="0.25">
      <c r="A5" s="158"/>
      <c r="B5" s="158"/>
      <c r="C5" s="160"/>
      <c r="D5" s="161"/>
      <c r="E5" s="155"/>
      <c r="F5" s="152"/>
      <c r="G5" s="152"/>
      <c r="H5" s="152"/>
      <c r="I5" s="154"/>
      <c r="J5" s="155"/>
    </row>
    <row r="6" spans="1:10" s="9" customFormat="1" ht="46.5" customHeight="1" x14ac:dyDescent="0.25">
      <c r="A6" s="158"/>
      <c r="B6" s="158"/>
      <c r="C6" s="160"/>
      <c r="D6" s="161"/>
      <c r="E6" s="155"/>
      <c r="F6" s="153"/>
      <c r="G6" s="153"/>
      <c r="H6" s="153"/>
      <c r="I6" s="154"/>
      <c r="J6" s="155"/>
    </row>
    <row r="7" spans="1:10" s="136" customFormat="1" ht="32.25" customHeight="1" x14ac:dyDescent="0.25">
      <c r="A7" s="156" t="s">
        <v>304</v>
      </c>
      <c r="B7" s="156"/>
      <c r="C7" s="131">
        <f>+C8+C9+C11+C12+C13+C14+C15</f>
        <v>127</v>
      </c>
      <c r="D7" s="132">
        <f>+D8+D9+D11+D12+D13+D14+D15</f>
        <v>127</v>
      </c>
      <c r="E7" s="133">
        <f t="shared" ref="E7:E8" si="0">+D7/C7*100</f>
        <v>100</v>
      </c>
      <c r="F7" s="134">
        <f t="shared" ref="F7:I7" si="1">+F8+F9+F11+F12+F13+F14+F15</f>
        <v>7</v>
      </c>
      <c r="G7" s="134">
        <f t="shared" si="1"/>
        <v>10</v>
      </c>
      <c r="H7" s="134">
        <f t="shared" si="1"/>
        <v>125</v>
      </c>
      <c r="I7" s="135">
        <f t="shared" si="1"/>
        <v>0</v>
      </c>
      <c r="J7" s="133">
        <f>+I7/C7*100</f>
        <v>0</v>
      </c>
    </row>
    <row r="8" spans="1:10" s="8" customFormat="1" ht="35.25" customHeight="1" x14ac:dyDescent="0.25">
      <c r="A8" s="137">
        <v>1</v>
      </c>
      <c r="B8" s="138" t="s">
        <v>305</v>
      </c>
      <c r="C8" s="139">
        <f>+D8</f>
        <v>18</v>
      </c>
      <c r="D8" s="140">
        <v>18</v>
      </c>
      <c r="E8" s="141">
        <f t="shared" si="0"/>
        <v>100</v>
      </c>
      <c r="F8" s="142">
        <v>0</v>
      </c>
      <c r="G8" s="142">
        <v>4</v>
      </c>
      <c r="H8" s="143">
        <v>29</v>
      </c>
      <c r="I8" s="144">
        <v>0</v>
      </c>
      <c r="J8" s="145">
        <f>+I8/C8*100</f>
        <v>0</v>
      </c>
    </row>
    <row r="9" spans="1:10" s="8" customFormat="1" ht="45.75" customHeight="1" x14ac:dyDescent="0.25">
      <c r="A9" s="137">
        <v>2</v>
      </c>
      <c r="B9" s="146" t="s">
        <v>306</v>
      </c>
      <c r="C9" s="139">
        <f>+F9+G9+H9+I9</f>
        <v>30</v>
      </c>
      <c r="D9" s="140">
        <f>+F9+G9+H9</f>
        <v>30</v>
      </c>
      <c r="E9" s="141">
        <f>+D9/C9*100</f>
        <v>100</v>
      </c>
      <c r="F9" s="147">
        <v>4</v>
      </c>
      <c r="G9" s="147">
        <v>1</v>
      </c>
      <c r="H9" s="147">
        <v>25</v>
      </c>
      <c r="I9" s="147">
        <v>0</v>
      </c>
      <c r="J9" s="148">
        <f>+I9/C9*100</f>
        <v>0</v>
      </c>
    </row>
    <row r="10" spans="1:10" s="8" customFormat="1" ht="6.75" customHeight="1" x14ac:dyDescent="0.25">
      <c r="A10" s="137"/>
      <c r="B10" s="146"/>
      <c r="C10" s="139"/>
      <c r="D10" s="148"/>
      <c r="E10" s="148"/>
      <c r="F10" s="148"/>
      <c r="G10" s="148"/>
      <c r="H10" s="148"/>
      <c r="I10" s="148"/>
      <c r="J10" s="148"/>
    </row>
    <row r="11" spans="1:10" s="8" customFormat="1" ht="33.75" customHeight="1" x14ac:dyDescent="0.25">
      <c r="A11" s="137">
        <v>4</v>
      </c>
      <c r="B11" s="138" t="s">
        <v>307</v>
      </c>
      <c r="C11" s="139">
        <f>+F11+G11+H11+I11</f>
        <v>24</v>
      </c>
      <c r="D11" s="140">
        <f>+F11+G11+H11</f>
        <v>24</v>
      </c>
      <c r="E11" s="141">
        <f t="shared" ref="E11:E15" si="2">+D11/C11*100</f>
        <v>100</v>
      </c>
      <c r="F11" s="142">
        <v>0</v>
      </c>
      <c r="G11" s="142">
        <v>4</v>
      </c>
      <c r="H11" s="143">
        <v>20</v>
      </c>
      <c r="I11" s="144">
        <v>0</v>
      </c>
      <c r="J11" s="145">
        <v>0</v>
      </c>
    </row>
    <row r="12" spans="1:10" s="8" customFormat="1" ht="45.75" customHeight="1" x14ac:dyDescent="0.25">
      <c r="A12" s="137">
        <v>5</v>
      </c>
      <c r="B12" s="146" t="s">
        <v>308</v>
      </c>
      <c r="C12" s="139">
        <f t="shared" ref="C12:C15" si="3">+F12+G12+H12+I12</f>
        <v>28</v>
      </c>
      <c r="D12" s="140">
        <f t="shared" ref="D12:D15" si="4">+F12+G12+H12</f>
        <v>28</v>
      </c>
      <c r="E12" s="141">
        <f t="shared" si="2"/>
        <v>100</v>
      </c>
      <c r="F12" s="142">
        <v>3</v>
      </c>
      <c r="G12" s="142">
        <v>1</v>
      </c>
      <c r="H12" s="143">
        <v>24</v>
      </c>
      <c r="I12" s="144">
        <v>0</v>
      </c>
      <c r="J12" s="145">
        <v>0</v>
      </c>
    </row>
    <row r="13" spans="1:10" s="8" customFormat="1" ht="48" customHeight="1" x14ac:dyDescent="0.25">
      <c r="A13" s="137">
        <v>6</v>
      </c>
      <c r="B13" s="146" t="s">
        <v>309</v>
      </c>
      <c r="C13" s="139">
        <f t="shared" si="3"/>
        <v>2</v>
      </c>
      <c r="D13" s="140">
        <f t="shared" si="4"/>
        <v>2</v>
      </c>
      <c r="E13" s="141">
        <f t="shared" si="2"/>
        <v>100</v>
      </c>
      <c r="F13" s="142">
        <v>0</v>
      </c>
      <c r="G13" s="142">
        <v>0</v>
      </c>
      <c r="H13" s="143">
        <v>2</v>
      </c>
      <c r="I13" s="144">
        <v>0</v>
      </c>
      <c r="J13" s="145">
        <v>0</v>
      </c>
    </row>
    <row r="14" spans="1:10" s="8" customFormat="1" ht="45.75" customHeight="1" x14ac:dyDescent="0.25">
      <c r="A14" s="137">
        <v>7</v>
      </c>
      <c r="B14" s="146" t="s">
        <v>310</v>
      </c>
      <c r="C14" s="139">
        <f t="shared" si="3"/>
        <v>13</v>
      </c>
      <c r="D14" s="140">
        <f t="shared" si="4"/>
        <v>13</v>
      </c>
      <c r="E14" s="141">
        <f t="shared" si="2"/>
        <v>100</v>
      </c>
      <c r="F14" s="142">
        <v>0</v>
      </c>
      <c r="G14" s="142">
        <v>0</v>
      </c>
      <c r="H14" s="143">
        <v>13</v>
      </c>
      <c r="I14" s="144">
        <v>0</v>
      </c>
      <c r="J14" s="145">
        <v>0</v>
      </c>
    </row>
    <row r="15" spans="1:10" s="8" customFormat="1" ht="58.5" customHeight="1" x14ac:dyDescent="0.25">
      <c r="A15" s="137">
        <v>8</v>
      </c>
      <c r="B15" s="146" t="s">
        <v>311</v>
      </c>
      <c r="C15" s="139">
        <f t="shared" si="3"/>
        <v>12</v>
      </c>
      <c r="D15" s="140">
        <f t="shared" si="4"/>
        <v>12</v>
      </c>
      <c r="E15" s="141">
        <f t="shared" si="2"/>
        <v>100</v>
      </c>
      <c r="F15" s="142">
        <v>0</v>
      </c>
      <c r="G15" s="142">
        <v>0</v>
      </c>
      <c r="H15" s="143">
        <v>12</v>
      </c>
      <c r="I15" s="144">
        <v>0</v>
      </c>
      <c r="J15" s="145">
        <v>0</v>
      </c>
    </row>
  </sheetData>
  <mergeCells count="14">
    <mergeCell ref="H4:H6"/>
    <mergeCell ref="I4:I6"/>
    <mergeCell ref="J4:J6"/>
    <mergeCell ref="A7:B7"/>
    <mergeCell ref="A1:J1"/>
    <mergeCell ref="A2:A6"/>
    <mergeCell ref="B2:B6"/>
    <mergeCell ref="C2:J2"/>
    <mergeCell ref="C3:C6"/>
    <mergeCell ref="D3:J3"/>
    <mergeCell ref="D4:D6"/>
    <mergeCell ref="E4:E6"/>
    <mergeCell ref="F4:F6"/>
    <mergeCell ref="G4:G6"/>
  </mergeCells>
  <printOptions horizontalCentered="1"/>
  <pageMargins left="0" right="0" top="0.59055118110236227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09DB-8B8E-4618-9BF8-37C83F4B6CB1}">
  <sheetPr>
    <tabColor theme="4" tint="0.79998168889431442"/>
    <pageSetUpPr fitToPage="1"/>
  </sheetPr>
  <dimension ref="B1:G48"/>
  <sheetViews>
    <sheetView view="pageBreakPreview" zoomScale="70" zoomScaleNormal="70" zoomScaleSheetLayoutView="70" workbookViewId="0">
      <selection activeCell="C23" sqref="C23"/>
    </sheetView>
  </sheetViews>
  <sheetFormatPr defaultRowHeight="15" x14ac:dyDescent="0.25"/>
  <cols>
    <col min="1" max="1" width="9.140625" style="14"/>
    <col min="2" max="2" width="59.140625" style="29" hidden="1" customWidth="1"/>
    <col min="3" max="3" width="101.5703125" style="14" customWidth="1"/>
    <col min="4" max="4" width="13.42578125" style="14" customWidth="1"/>
    <col min="5" max="5" width="13.28515625" style="14" customWidth="1"/>
    <col min="6" max="16384" width="9.140625" style="14"/>
  </cols>
  <sheetData>
    <row r="1" spans="2:7" ht="20.25" customHeight="1" x14ac:dyDescent="0.25">
      <c r="B1" s="13"/>
      <c r="C1" s="15"/>
      <c r="D1" s="15"/>
      <c r="E1" s="15" t="s">
        <v>53</v>
      </c>
    </row>
    <row r="2" spans="2:7" ht="20.25" customHeight="1" x14ac:dyDescent="0.25">
      <c r="B2" s="13"/>
      <c r="C2" s="16" t="s">
        <v>54</v>
      </c>
      <c r="D2" s="162" t="s">
        <v>55</v>
      </c>
      <c r="E2" s="162"/>
    </row>
    <row r="3" spans="2:7" ht="10.5" customHeight="1" x14ac:dyDescent="0.25">
      <c r="B3" s="13"/>
      <c r="C3" s="15"/>
      <c r="D3" s="15"/>
      <c r="E3" s="15"/>
    </row>
    <row r="4" spans="2:7" ht="20.25" customHeight="1" x14ac:dyDescent="0.25">
      <c r="B4" s="13"/>
      <c r="C4" s="163" t="s">
        <v>56</v>
      </c>
      <c r="D4" s="163"/>
      <c r="E4" s="163"/>
    </row>
    <row r="5" spans="2:7" ht="8.25" customHeight="1" x14ac:dyDescent="0.25">
      <c r="B5" s="13"/>
      <c r="C5" s="15"/>
      <c r="D5" s="15"/>
      <c r="E5" s="15"/>
    </row>
    <row r="6" spans="2:7" ht="20.25" customHeight="1" x14ac:dyDescent="0.25">
      <c r="B6" s="13"/>
      <c r="C6" s="163" t="s">
        <v>57</v>
      </c>
      <c r="D6" s="163"/>
      <c r="E6" s="163"/>
    </row>
    <row r="7" spans="2:7" ht="20.25" customHeight="1" x14ac:dyDescent="0.25">
      <c r="B7" s="13"/>
      <c r="C7" s="15"/>
      <c r="D7" s="15"/>
      <c r="E7" s="15"/>
    </row>
    <row r="8" spans="2:7" ht="18.75" customHeight="1" x14ac:dyDescent="0.25">
      <c r="B8" s="13"/>
      <c r="C8" s="162" t="s">
        <v>58</v>
      </c>
      <c r="D8" s="162"/>
      <c r="E8" s="162"/>
    </row>
    <row r="9" spans="2:7" ht="18.75" customHeight="1" x14ac:dyDescent="0.25">
      <c r="B9" s="13"/>
      <c r="C9" s="162" t="s">
        <v>59</v>
      </c>
      <c r="D9" s="162"/>
      <c r="E9" s="162"/>
    </row>
    <row r="10" spans="2:7" ht="18.75" customHeight="1" x14ac:dyDescent="0.25">
      <c r="B10" s="13"/>
      <c r="C10" s="15"/>
      <c r="D10" s="15"/>
      <c r="E10" s="15"/>
    </row>
    <row r="11" spans="2:7" ht="18.75" customHeight="1" x14ac:dyDescent="0.25">
      <c r="B11" s="13"/>
      <c r="C11" s="162" t="s">
        <v>60</v>
      </c>
      <c r="D11" s="162"/>
      <c r="E11" s="162"/>
    </row>
    <row r="12" spans="2:7" ht="18.75" hidden="1" customHeight="1" x14ac:dyDescent="0.25">
      <c r="B12" s="13"/>
      <c r="C12" s="17"/>
      <c r="D12" s="17"/>
      <c r="E12" s="17"/>
    </row>
    <row r="13" spans="2:7" ht="18.75" hidden="1" customHeight="1" x14ac:dyDescent="0.25">
      <c r="B13" s="13"/>
      <c r="C13" s="17"/>
      <c r="D13" s="17"/>
      <c r="E13" s="17"/>
    </row>
    <row r="14" spans="2:7" ht="33" customHeight="1" x14ac:dyDescent="0.25">
      <c r="B14" s="18" t="s">
        <v>51</v>
      </c>
      <c r="C14" s="164" t="s">
        <v>61</v>
      </c>
      <c r="D14" s="164"/>
      <c r="E14" s="164"/>
    </row>
    <row r="15" spans="2:7" ht="21" customHeight="1" x14ac:dyDescent="0.25">
      <c r="B15" s="13"/>
      <c r="C15" s="165" t="s">
        <v>6</v>
      </c>
      <c r="D15" s="166" t="s">
        <v>1</v>
      </c>
      <c r="E15" s="166" t="s">
        <v>62</v>
      </c>
      <c r="F15" s="171" t="s">
        <v>52</v>
      </c>
      <c r="G15" s="172"/>
    </row>
    <row r="16" spans="2:7" ht="21" customHeight="1" x14ac:dyDescent="0.25">
      <c r="B16" s="13"/>
      <c r="C16" s="165"/>
      <c r="D16" s="166"/>
      <c r="E16" s="166"/>
      <c r="F16" s="171"/>
      <c r="G16" s="172"/>
    </row>
    <row r="17" spans="2:7" s="23" customFormat="1" ht="30.75" customHeight="1" x14ac:dyDescent="0.25">
      <c r="B17" s="19" t="s">
        <v>63</v>
      </c>
      <c r="C17" s="20" t="s">
        <v>64</v>
      </c>
      <c r="D17" s="21" t="s">
        <v>2</v>
      </c>
      <c r="E17" s="22">
        <v>0</v>
      </c>
      <c r="F17" s="173" t="s">
        <v>178</v>
      </c>
      <c r="G17" s="174"/>
    </row>
    <row r="18" spans="2:7" s="23" customFormat="1" ht="26.25" x14ac:dyDescent="0.25">
      <c r="B18" s="24" t="s">
        <v>65</v>
      </c>
      <c r="C18" s="20" t="s">
        <v>66</v>
      </c>
      <c r="D18" s="21" t="s">
        <v>8</v>
      </c>
      <c r="E18" s="22">
        <v>0</v>
      </c>
      <c r="F18" s="173"/>
      <c r="G18" s="174"/>
    </row>
    <row r="19" spans="2:7" s="23" customFormat="1" x14ac:dyDescent="0.25">
      <c r="B19" s="24"/>
      <c r="C19" s="20" t="s">
        <v>67</v>
      </c>
      <c r="D19" s="21" t="s">
        <v>10</v>
      </c>
      <c r="E19" s="25">
        <v>0</v>
      </c>
      <c r="F19" s="173"/>
      <c r="G19" s="174"/>
    </row>
    <row r="20" spans="2:7" s="23" customFormat="1" x14ac:dyDescent="0.25">
      <c r="B20" s="24" t="s">
        <v>68</v>
      </c>
      <c r="C20" s="20" t="s">
        <v>69</v>
      </c>
      <c r="D20" s="21" t="s">
        <v>11</v>
      </c>
      <c r="E20" s="26">
        <f>+E18*E19%</f>
        <v>0</v>
      </c>
      <c r="F20" s="173"/>
      <c r="G20" s="174"/>
    </row>
    <row r="21" spans="2:7" s="23" customFormat="1" ht="39" customHeight="1" x14ac:dyDescent="0.25">
      <c r="B21" s="27" t="s">
        <v>70</v>
      </c>
      <c r="C21" s="20" t="s">
        <v>71</v>
      </c>
      <c r="D21" s="21" t="s">
        <v>12</v>
      </c>
      <c r="E21" s="26">
        <v>0</v>
      </c>
      <c r="F21" s="173"/>
      <c r="G21" s="174"/>
    </row>
    <row r="22" spans="2:7" s="23" customFormat="1" x14ac:dyDescent="0.25">
      <c r="B22" s="24"/>
      <c r="C22" s="20" t="s">
        <v>67</v>
      </c>
      <c r="D22" s="21" t="s">
        <v>13</v>
      </c>
      <c r="E22" s="25">
        <v>0</v>
      </c>
      <c r="F22" s="173"/>
      <c r="G22" s="174"/>
    </row>
    <row r="23" spans="2:7" s="23" customFormat="1" x14ac:dyDescent="0.25">
      <c r="B23" s="24" t="s">
        <v>72</v>
      </c>
      <c r="C23" s="20" t="s">
        <v>73</v>
      </c>
      <c r="D23" s="21" t="s">
        <v>14</v>
      </c>
      <c r="E23" s="25">
        <v>0</v>
      </c>
      <c r="F23" s="173"/>
      <c r="G23" s="174"/>
    </row>
    <row r="24" spans="2:7" s="23" customFormat="1" ht="51.75" customHeight="1" x14ac:dyDescent="0.25">
      <c r="B24" s="27" t="s">
        <v>74</v>
      </c>
      <c r="C24" s="20" t="s">
        <v>75</v>
      </c>
      <c r="D24" s="21" t="s">
        <v>15</v>
      </c>
      <c r="E24" s="26">
        <v>0</v>
      </c>
      <c r="F24" s="173"/>
      <c r="G24" s="174"/>
    </row>
    <row r="25" spans="2:7" ht="38.25" x14ac:dyDescent="0.25">
      <c r="B25" s="27" t="s">
        <v>76</v>
      </c>
      <c r="C25" s="20" t="s">
        <v>77</v>
      </c>
      <c r="D25" s="21" t="s">
        <v>16</v>
      </c>
      <c r="E25" s="26">
        <v>0</v>
      </c>
      <c r="F25" s="173"/>
      <c r="G25" s="174"/>
    </row>
    <row r="26" spans="2:7" ht="27" x14ac:dyDescent="0.25">
      <c r="B26" s="27" t="s">
        <v>78</v>
      </c>
      <c r="C26" s="20" t="s">
        <v>79</v>
      </c>
      <c r="D26" s="21" t="s">
        <v>17</v>
      </c>
      <c r="E26" s="25">
        <f>+E24+E25</f>
        <v>0</v>
      </c>
      <c r="F26" s="173"/>
      <c r="G26" s="174"/>
    </row>
    <row r="27" spans="2:7" x14ac:dyDescent="0.25">
      <c r="B27" s="24"/>
      <c r="C27" s="20" t="s">
        <v>67</v>
      </c>
      <c r="D27" s="21" t="s">
        <v>18</v>
      </c>
      <c r="E27" s="25">
        <v>0</v>
      </c>
      <c r="F27" s="173"/>
      <c r="G27" s="174"/>
    </row>
    <row r="28" spans="2:7" x14ac:dyDescent="0.25">
      <c r="B28" s="24" t="s">
        <v>80</v>
      </c>
      <c r="C28" s="20" t="s">
        <v>81</v>
      </c>
      <c r="D28" s="21" t="s">
        <v>19</v>
      </c>
      <c r="E28" s="25">
        <f>+E26*E27</f>
        <v>0</v>
      </c>
      <c r="F28" s="173"/>
      <c r="G28" s="174"/>
    </row>
    <row r="29" spans="2:7" ht="38.25" x14ac:dyDescent="0.25">
      <c r="B29" s="27" t="s">
        <v>82</v>
      </c>
      <c r="C29" s="20" t="s">
        <v>83</v>
      </c>
      <c r="D29" s="21" t="s">
        <v>20</v>
      </c>
      <c r="E29" s="25">
        <f>+E27*E28</f>
        <v>0</v>
      </c>
      <c r="F29" s="173"/>
      <c r="G29" s="174"/>
    </row>
    <row r="30" spans="2:7" ht="26.25" customHeight="1" x14ac:dyDescent="0.25">
      <c r="B30" s="19"/>
      <c r="C30" s="20" t="s">
        <v>67</v>
      </c>
      <c r="D30" s="21" t="s">
        <v>21</v>
      </c>
      <c r="E30" s="25">
        <v>0</v>
      </c>
      <c r="F30" s="173"/>
      <c r="G30" s="174"/>
    </row>
    <row r="31" spans="2:7" ht="26.25" customHeight="1" x14ac:dyDescent="0.25">
      <c r="B31" s="24" t="s">
        <v>68</v>
      </c>
      <c r="C31" s="20" t="s">
        <v>84</v>
      </c>
      <c r="D31" s="21" t="s">
        <v>22</v>
      </c>
      <c r="E31" s="25">
        <f>+E29*E30</f>
        <v>0</v>
      </c>
      <c r="F31" s="173"/>
      <c r="G31" s="174"/>
    </row>
    <row r="32" spans="2:7" ht="26.25" x14ac:dyDescent="0.25">
      <c r="B32" s="24" t="s">
        <v>85</v>
      </c>
      <c r="C32" s="20" t="s">
        <v>86</v>
      </c>
      <c r="D32" s="21" t="s">
        <v>87</v>
      </c>
      <c r="E32" s="25">
        <v>0</v>
      </c>
      <c r="F32" s="173"/>
      <c r="G32" s="174"/>
    </row>
    <row r="33" spans="2:7" ht="50.25" customHeight="1" x14ac:dyDescent="0.25">
      <c r="B33" s="19"/>
      <c r="C33" s="20" t="s">
        <v>88</v>
      </c>
      <c r="D33" s="21" t="s">
        <v>89</v>
      </c>
      <c r="E33" s="28">
        <v>0</v>
      </c>
      <c r="F33" s="173"/>
      <c r="G33" s="174"/>
    </row>
    <row r="34" spans="2:7" ht="20.25" customHeight="1" x14ac:dyDescent="0.25">
      <c r="B34" s="167" t="s">
        <v>90</v>
      </c>
      <c r="C34" s="20" t="s">
        <v>179</v>
      </c>
      <c r="D34" s="21" t="s">
        <v>91</v>
      </c>
      <c r="E34" s="25">
        <v>0</v>
      </c>
      <c r="F34" s="173" t="s">
        <v>177</v>
      </c>
      <c r="G34" s="174"/>
    </row>
    <row r="35" spans="2:7" x14ac:dyDescent="0.25">
      <c r="B35" s="168"/>
      <c r="C35" s="20" t="s">
        <v>180</v>
      </c>
      <c r="D35" s="21" t="s">
        <v>92</v>
      </c>
      <c r="E35" s="25">
        <v>0</v>
      </c>
      <c r="F35" s="173"/>
      <c r="G35" s="174"/>
    </row>
    <row r="36" spans="2:7" ht="23.25" customHeight="1" x14ac:dyDescent="0.25">
      <c r="B36" s="169"/>
      <c r="C36" s="20" t="s">
        <v>181</v>
      </c>
      <c r="D36" s="21" t="s">
        <v>93</v>
      </c>
      <c r="E36" s="25">
        <v>0</v>
      </c>
      <c r="F36" s="173"/>
      <c r="G36" s="174"/>
    </row>
    <row r="37" spans="2:7" ht="20.25" customHeight="1" x14ac:dyDescent="0.25">
      <c r="B37" s="167" t="s">
        <v>90</v>
      </c>
      <c r="C37" s="20" t="s">
        <v>182</v>
      </c>
      <c r="D37" s="21" t="s">
        <v>94</v>
      </c>
      <c r="E37" s="25">
        <v>0</v>
      </c>
      <c r="F37" s="173"/>
      <c r="G37" s="174"/>
    </row>
    <row r="38" spans="2:7" ht="20.25" customHeight="1" x14ac:dyDescent="0.25">
      <c r="B38" s="168"/>
      <c r="C38" s="20" t="s">
        <v>183</v>
      </c>
      <c r="D38" s="21" t="s">
        <v>95</v>
      </c>
      <c r="E38" s="25">
        <v>0</v>
      </c>
      <c r="F38" s="173"/>
      <c r="G38" s="174"/>
    </row>
    <row r="39" spans="2:7" x14ac:dyDescent="0.25">
      <c r="B39" s="169"/>
      <c r="C39" s="20" t="s">
        <v>184</v>
      </c>
      <c r="D39" s="21" t="s">
        <v>96</v>
      </c>
      <c r="E39" s="25">
        <v>0</v>
      </c>
      <c r="F39" s="173"/>
      <c r="G39" s="174"/>
    </row>
    <row r="40" spans="2:7" ht="20.25" customHeight="1" x14ac:dyDescent="0.25">
      <c r="B40" s="167" t="s">
        <v>90</v>
      </c>
      <c r="C40" s="20" t="s">
        <v>185</v>
      </c>
      <c r="D40" s="21" t="s">
        <v>97</v>
      </c>
      <c r="E40" s="25">
        <v>0</v>
      </c>
      <c r="F40" s="173"/>
      <c r="G40" s="174"/>
    </row>
    <row r="41" spans="2:7" x14ac:dyDescent="0.25">
      <c r="B41" s="168"/>
      <c r="C41" s="20" t="s">
        <v>186</v>
      </c>
      <c r="D41" s="21" t="s">
        <v>98</v>
      </c>
      <c r="E41" s="25">
        <v>0</v>
      </c>
      <c r="F41" s="173"/>
      <c r="G41" s="174"/>
    </row>
    <row r="42" spans="2:7" x14ac:dyDescent="0.25">
      <c r="B42" s="169"/>
      <c r="C42" s="20" t="s">
        <v>187</v>
      </c>
      <c r="D42" s="21" t="s">
        <v>99</v>
      </c>
      <c r="E42" s="25">
        <v>0</v>
      </c>
      <c r="F42" s="173"/>
      <c r="G42" s="174"/>
    </row>
    <row r="43" spans="2:7" ht="22.5" customHeight="1" x14ac:dyDescent="0.25">
      <c r="B43" s="167" t="s">
        <v>90</v>
      </c>
      <c r="C43" s="20" t="s">
        <v>188</v>
      </c>
      <c r="D43" s="21" t="s">
        <v>100</v>
      </c>
      <c r="E43" s="25">
        <v>0</v>
      </c>
      <c r="F43" s="173"/>
      <c r="G43" s="174"/>
    </row>
    <row r="44" spans="2:7" x14ac:dyDescent="0.25">
      <c r="B44" s="168"/>
      <c r="C44" s="20" t="s">
        <v>189</v>
      </c>
      <c r="D44" s="21" t="s">
        <v>101</v>
      </c>
      <c r="E44" s="25">
        <v>0</v>
      </c>
      <c r="F44" s="173"/>
      <c r="G44" s="174"/>
    </row>
    <row r="45" spans="2:7" x14ac:dyDescent="0.25">
      <c r="B45" s="169"/>
      <c r="C45" s="20" t="s">
        <v>190</v>
      </c>
      <c r="D45" s="21" t="s">
        <v>102</v>
      </c>
      <c r="E45" s="25">
        <v>0</v>
      </c>
      <c r="F45" s="173"/>
      <c r="G45" s="174"/>
    </row>
    <row r="46" spans="2:7" ht="4.5" customHeight="1" x14ac:dyDescent="0.25">
      <c r="D46" s="30"/>
      <c r="E46" s="30"/>
    </row>
    <row r="47" spans="2:7" ht="6.75" customHeight="1" x14ac:dyDescent="0.25">
      <c r="D47" s="30"/>
      <c r="E47" s="30"/>
    </row>
    <row r="48" spans="2:7" ht="50.25" customHeight="1" x14ac:dyDescent="0.25">
      <c r="C48" s="170" t="s">
        <v>103</v>
      </c>
      <c r="D48" s="170"/>
      <c r="E48" s="170"/>
    </row>
  </sheetData>
  <mergeCells count="18">
    <mergeCell ref="B37:B39"/>
    <mergeCell ref="B40:B42"/>
    <mergeCell ref="B43:B45"/>
    <mergeCell ref="C48:E48"/>
    <mergeCell ref="F15:G16"/>
    <mergeCell ref="F17:G33"/>
    <mergeCell ref="F34:G45"/>
    <mergeCell ref="B34:B36"/>
    <mergeCell ref="C11:E11"/>
    <mergeCell ref="C14:E14"/>
    <mergeCell ref="C15:C16"/>
    <mergeCell ref="D15:D16"/>
    <mergeCell ref="E15:E16"/>
    <mergeCell ref="D2:E2"/>
    <mergeCell ref="C4:E4"/>
    <mergeCell ref="C6:E6"/>
    <mergeCell ref="C8:E8"/>
    <mergeCell ref="C9:E9"/>
  </mergeCells>
  <printOptions horizontalCentered="1" verticalCentered="1"/>
  <pageMargins left="0.15748031496062992" right="0.15748031496062992" top="0.35433070866141736" bottom="0.15748031496062992" header="0.19685039370078741" footer="0.15748031496062992"/>
  <pageSetup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7682-BCAE-4C66-8B17-940CD0FCE096}">
  <sheetPr>
    <tabColor theme="5" tint="0.79998168889431442"/>
    <pageSetUpPr fitToPage="1"/>
  </sheetPr>
  <dimension ref="B1:AR24"/>
  <sheetViews>
    <sheetView view="pageBreakPreview" zoomScale="70" zoomScaleNormal="70" zoomScaleSheetLayoutView="70" workbookViewId="0">
      <selection activeCell="AR1" sqref="AR1"/>
    </sheetView>
  </sheetViews>
  <sheetFormatPr defaultColWidth="9.140625" defaultRowHeight="12.75" x14ac:dyDescent="0.2"/>
  <cols>
    <col min="1" max="1" width="2.5703125" style="31" customWidth="1"/>
    <col min="2" max="2" width="24.42578125" style="31" customWidth="1"/>
    <col min="3" max="3" width="21.85546875" style="31" customWidth="1"/>
    <col min="4" max="4" width="13" style="31" customWidth="1"/>
    <col min="5" max="5" width="11.7109375" style="31" customWidth="1"/>
    <col min="6" max="6" width="13" style="31" customWidth="1"/>
    <col min="7" max="7" width="8.28515625" style="32" customWidth="1"/>
    <col min="8" max="8" width="11.7109375" style="31" customWidth="1"/>
    <col min="9" max="9" width="11.140625" style="31" customWidth="1"/>
    <col min="10" max="10" width="8.7109375" style="31" customWidth="1"/>
    <col min="11" max="11" width="11.5703125" style="31" customWidth="1"/>
    <col min="12" max="12" width="13.5703125" style="31" customWidth="1"/>
    <col min="13" max="13" width="14.85546875" style="31" customWidth="1"/>
    <col min="14" max="14" width="10.85546875" style="31" customWidth="1"/>
    <col min="15" max="15" width="13.7109375" style="33" customWidth="1"/>
    <col min="16" max="16" width="11.5703125" style="31" customWidth="1"/>
    <col min="17" max="17" width="12.42578125" style="31" customWidth="1"/>
    <col min="18" max="18" width="9.42578125" style="31" customWidth="1"/>
    <col min="19" max="19" width="9.5703125" style="31" customWidth="1"/>
    <col min="20" max="20" width="9.42578125" style="31" customWidth="1"/>
    <col min="21" max="21" width="11.5703125" style="31" customWidth="1"/>
    <col min="22" max="22" width="0" style="31" hidden="1" customWidth="1"/>
    <col min="23" max="23" width="34.7109375" style="31" hidden="1" customWidth="1"/>
    <col min="24" max="24" width="20.5703125" style="31" hidden="1" customWidth="1"/>
    <col min="25" max="25" width="13.28515625" style="31" hidden="1" customWidth="1"/>
    <col min="26" max="26" width="15.85546875" style="31" hidden="1" customWidth="1"/>
    <col min="27" max="28" width="0" style="31" hidden="1" customWidth="1"/>
    <col min="29" max="35" width="14.42578125" style="31" hidden="1" customWidth="1"/>
    <col min="36" max="36" width="16.85546875" style="31" hidden="1" customWidth="1"/>
    <col min="37" max="42" width="14.42578125" style="31" hidden="1" customWidth="1"/>
    <col min="43" max="43" width="2.42578125" style="31" customWidth="1"/>
    <col min="44" max="44" width="17.28515625" style="31" customWidth="1"/>
    <col min="45" max="16384" width="9.140625" style="31"/>
  </cols>
  <sheetData>
    <row r="1" spans="2:44" ht="12.75" customHeight="1" x14ac:dyDescent="0.2"/>
    <row r="2" spans="2:44" ht="12.75" customHeight="1" x14ac:dyDescent="0.2">
      <c r="S2" s="34"/>
      <c r="T2" s="34" t="s">
        <v>104</v>
      </c>
      <c r="U2" s="35" t="s">
        <v>105</v>
      </c>
      <c r="AB2" s="32"/>
      <c r="AN2" s="34"/>
      <c r="AO2" s="34" t="s">
        <v>104</v>
      </c>
      <c r="AP2" s="35" t="s">
        <v>105</v>
      </c>
    </row>
    <row r="3" spans="2:44" x14ac:dyDescent="0.2">
      <c r="S3" s="34"/>
      <c r="T3" s="34"/>
      <c r="U3" s="36"/>
      <c r="AB3" s="32"/>
      <c r="AN3" s="34"/>
      <c r="AO3" s="34"/>
      <c r="AP3" s="36"/>
    </row>
    <row r="4" spans="2:44" ht="12.75" customHeight="1" x14ac:dyDescent="0.2">
      <c r="B4" s="175" t="s">
        <v>106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W4" s="175" t="s">
        <v>106</v>
      </c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</row>
    <row r="5" spans="2:44" x14ac:dyDescent="0.2">
      <c r="B5" s="37"/>
      <c r="C5" s="37"/>
      <c r="D5" s="37"/>
      <c r="E5" s="37"/>
      <c r="F5" s="37"/>
      <c r="G5" s="38"/>
      <c r="H5" s="37"/>
      <c r="I5" s="37"/>
      <c r="J5" s="37"/>
      <c r="K5" s="37"/>
      <c r="L5" s="37"/>
      <c r="M5" s="37"/>
      <c r="N5" s="37"/>
      <c r="O5" s="39"/>
      <c r="P5" s="37"/>
      <c r="Q5" s="37"/>
      <c r="R5" s="37"/>
      <c r="S5" s="37"/>
      <c r="T5" s="37"/>
      <c r="W5" s="37"/>
      <c r="X5" s="37"/>
      <c r="Y5" s="37"/>
      <c r="Z5" s="37"/>
      <c r="AA5" s="37"/>
      <c r="AB5" s="38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2:44" ht="24" customHeight="1" x14ac:dyDescent="0.2">
      <c r="B6" s="176" t="s">
        <v>6</v>
      </c>
      <c r="C6" s="176" t="s">
        <v>107</v>
      </c>
      <c r="D6" s="177" t="s">
        <v>108</v>
      </c>
      <c r="E6" s="178"/>
      <c r="F6" s="176" t="s">
        <v>109</v>
      </c>
      <c r="G6" s="181" t="s">
        <v>1</v>
      </c>
      <c r="H6" s="182" t="s">
        <v>110</v>
      </c>
      <c r="I6" s="177" t="s">
        <v>111</v>
      </c>
      <c r="J6" s="178"/>
      <c r="K6" s="182" t="s">
        <v>112</v>
      </c>
      <c r="L6" s="182" t="s">
        <v>113</v>
      </c>
      <c r="M6" s="182" t="s">
        <v>114</v>
      </c>
      <c r="N6" s="182" t="s">
        <v>115</v>
      </c>
      <c r="O6" s="182" t="s">
        <v>116</v>
      </c>
      <c r="P6" s="182" t="s">
        <v>117</v>
      </c>
      <c r="Q6" s="182" t="s">
        <v>118</v>
      </c>
      <c r="R6" s="182" t="s">
        <v>119</v>
      </c>
      <c r="S6" s="182" t="s">
        <v>120</v>
      </c>
      <c r="T6" s="176" t="s">
        <v>121</v>
      </c>
      <c r="U6" s="176"/>
      <c r="W6" s="176" t="s">
        <v>6</v>
      </c>
      <c r="X6" s="176" t="s">
        <v>107</v>
      </c>
      <c r="Y6" s="177" t="s">
        <v>108</v>
      </c>
      <c r="Z6" s="178"/>
      <c r="AA6" s="176" t="s">
        <v>109</v>
      </c>
      <c r="AB6" s="181" t="s">
        <v>1</v>
      </c>
      <c r="AC6" s="182" t="s">
        <v>110</v>
      </c>
      <c r="AD6" s="177" t="s">
        <v>111</v>
      </c>
      <c r="AE6" s="178"/>
      <c r="AF6" s="182" t="s">
        <v>112</v>
      </c>
      <c r="AG6" s="182" t="s">
        <v>113</v>
      </c>
      <c r="AH6" s="182" t="s">
        <v>114</v>
      </c>
      <c r="AI6" s="182" t="s">
        <v>115</v>
      </c>
      <c r="AJ6" s="182" t="s">
        <v>116</v>
      </c>
      <c r="AK6" s="182" t="s">
        <v>117</v>
      </c>
      <c r="AL6" s="182" t="s">
        <v>118</v>
      </c>
      <c r="AM6" s="182" t="s">
        <v>119</v>
      </c>
      <c r="AN6" s="182" t="s">
        <v>120</v>
      </c>
      <c r="AO6" s="176" t="s">
        <v>121</v>
      </c>
      <c r="AP6" s="176"/>
      <c r="AQ6" s="171" t="s">
        <v>52</v>
      </c>
      <c r="AR6" s="172"/>
    </row>
    <row r="7" spans="2:44" ht="39.75" customHeight="1" x14ac:dyDescent="0.2">
      <c r="B7" s="176"/>
      <c r="C7" s="176"/>
      <c r="D7" s="179"/>
      <c r="E7" s="180"/>
      <c r="F7" s="176"/>
      <c r="G7" s="181"/>
      <c r="H7" s="183"/>
      <c r="I7" s="179"/>
      <c r="J7" s="180"/>
      <c r="K7" s="183"/>
      <c r="L7" s="183"/>
      <c r="M7" s="183"/>
      <c r="N7" s="183"/>
      <c r="O7" s="183"/>
      <c r="P7" s="183"/>
      <c r="Q7" s="183"/>
      <c r="R7" s="183"/>
      <c r="S7" s="183"/>
      <c r="T7" s="176"/>
      <c r="U7" s="176"/>
      <c r="W7" s="176"/>
      <c r="X7" s="176"/>
      <c r="Y7" s="179"/>
      <c r="Z7" s="180"/>
      <c r="AA7" s="176"/>
      <c r="AB7" s="181"/>
      <c r="AC7" s="183"/>
      <c r="AD7" s="179"/>
      <c r="AE7" s="180"/>
      <c r="AF7" s="183"/>
      <c r="AG7" s="183"/>
      <c r="AH7" s="183"/>
      <c r="AI7" s="183"/>
      <c r="AJ7" s="183"/>
      <c r="AK7" s="183"/>
      <c r="AL7" s="183"/>
      <c r="AM7" s="183"/>
      <c r="AN7" s="183"/>
      <c r="AO7" s="176"/>
      <c r="AP7" s="176"/>
      <c r="AQ7" s="171"/>
      <c r="AR7" s="172"/>
    </row>
    <row r="8" spans="2:44" ht="93.75" customHeight="1" x14ac:dyDescent="0.2">
      <c r="B8" s="176"/>
      <c r="C8" s="176"/>
      <c r="D8" s="40" t="s">
        <v>122</v>
      </c>
      <c r="E8" s="40" t="s">
        <v>123</v>
      </c>
      <c r="F8" s="176"/>
      <c r="G8" s="181"/>
      <c r="H8" s="184"/>
      <c r="I8" s="42" t="s">
        <v>124</v>
      </c>
      <c r="J8" s="42" t="s">
        <v>125</v>
      </c>
      <c r="K8" s="184"/>
      <c r="L8" s="184"/>
      <c r="M8" s="184"/>
      <c r="N8" s="184"/>
      <c r="O8" s="184"/>
      <c r="P8" s="184"/>
      <c r="Q8" s="184"/>
      <c r="R8" s="184"/>
      <c r="S8" s="184"/>
      <c r="T8" s="40" t="s">
        <v>126</v>
      </c>
      <c r="U8" s="40" t="s">
        <v>127</v>
      </c>
      <c r="W8" s="176"/>
      <c r="X8" s="176"/>
      <c r="Y8" s="40" t="s">
        <v>122</v>
      </c>
      <c r="Z8" s="40" t="s">
        <v>123</v>
      </c>
      <c r="AA8" s="176"/>
      <c r="AB8" s="181"/>
      <c r="AC8" s="184"/>
      <c r="AD8" s="42" t="s">
        <v>124</v>
      </c>
      <c r="AE8" s="42" t="s">
        <v>125</v>
      </c>
      <c r="AF8" s="184"/>
      <c r="AG8" s="184"/>
      <c r="AH8" s="184"/>
      <c r="AI8" s="184"/>
      <c r="AJ8" s="184"/>
      <c r="AK8" s="184"/>
      <c r="AL8" s="184"/>
      <c r="AM8" s="184"/>
      <c r="AN8" s="184"/>
      <c r="AO8" s="40" t="s">
        <v>126</v>
      </c>
      <c r="AP8" s="40" t="s">
        <v>127</v>
      </c>
      <c r="AQ8" s="171"/>
      <c r="AR8" s="172"/>
    </row>
    <row r="9" spans="2:44" ht="15" customHeight="1" x14ac:dyDescent="0.2">
      <c r="B9" s="43">
        <v>1</v>
      </c>
      <c r="C9" s="43">
        <v>2</v>
      </c>
      <c r="D9" s="43">
        <v>3</v>
      </c>
      <c r="E9" s="43">
        <v>4</v>
      </c>
      <c r="F9" s="43">
        <v>5</v>
      </c>
      <c r="G9" s="44">
        <f>+F9+1</f>
        <v>6</v>
      </c>
      <c r="H9" s="43">
        <f t="shared" ref="H9:U9" si="0">+G9+1</f>
        <v>7</v>
      </c>
      <c r="I9" s="43">
        <f t="shared" si="0"/>
        <v>8</v>
      </c>
      <c r="J9" s="43">
        <f t="shared" si="0"/>
        <v>9</v>
      </c>
      <c r="K9" s="43">
        <f t="shared" si="0"/>
        <v>10</v>
      </c>
      <c r="L9" s="43">
        <f t="shared" si="0"/>
        <v>11</v>
      </c>
      <c r="M9" s="43">
        <f t="shared" si="0"/>
        <v>12</v>
      </c>
      <c r="N9" s="43">
        <f t="shared" si="0"/>
        <v>13</v>
      </c>
      <c r="O9" s="43">
        <f t="shared" si="0"/>
        <v>14</v>
      </c>
      <c r="P9" s="43">
        <f t="shared" si="0"/>
        <v>15</v>
      </c>
      <c r="Q9" s="43">
        <f t="shared" si="0"/>
        <v>16</v>
      </c>
      <c r="R9" s="43">
        <f t="shared" si="0"/>
        <v>17</v>
      </c>
      <c r="S9" s="43">
        <f t="shared" si="0"/>
        <v>18</v>
      </c>
      <c r="T9" s="43">
        <f t="shared" si="0"/>
        <v>19</v>
      </c>
      <c r="U9" s="43">
        <f t="shared" si="0"/>
        <v>20</v>
      </c>
      <c r="W9" s="43">
        <v>1</v>
      </c>
      <c r="X9" s="43">
        <v>2</v>
      </c>
      <c r="Y9" s="43">
        <v>3</v>
      </c>
      <c r="Z9" s="43">
        <v>4</v>
      </c>
      <c r="AA9" s="43">
        <v>5</v>
      </c>
      <c r="AB9" s="44">
        <f>+AA9+1</f>
        <v>6</v>
      </c>
      <c r="AC9" s="43">
        <f t="shared" ref="AC9:AP9" si="1">+AB9+1</f>
        <v>7</v>
      </c>
      <c r="AD9" s="43">
        <f t="shared" si="1"/>
        <v>8</v>
      </c>
      <c r="AE9" s="43">
        <f t="shared" si="1"/>
        <v>9</v>
      </c>
      <c r="AF9" s="43">
        <f t="shared" si="1"/>
        <v>10</v>
      </c>
      <c r="AG9" s="43">
        <f t="shared" si="1"/>
        <v>11</v>
      </c>
      <c r="AH9" s="43">
        <f t="shared" si="1"/>
        <v>12</v>
      </c>
      <c r="AI9" s="43">
        <f t="shared" si="1"/>
        <v>13</v>
      </c>
      <c r="AJ9" s="43">
        <f t="shared" si="1"/>
        <v>14</v>
      </c>
      <c r="AK9" s="43">
        <f t="shared" si="1"/>
        <v>15</v>
      </c>
      <c r="AL9" s="43">
        <f t="shared" si="1"/>
        <v>16</v>
      </c>
      <c r="AM9" s="43">
        <f t="shared" si="1"/>
        <v>17</v>
      </c>
      <c r="AN9" s="43">
        <f t="shared" si="1"/>
        <v>18</v>
      </c>
      <c r="AO9" s="43">
        <f t="shared" si="1"/>
        <v>19</v>
      </c>
      <c r="AP9" s="43">
        <f t="shared" si="1"/>
        <v>20</v>
      </c>
      <c r="AQ9" s="74"/>
      <c r="AR9" s="75"/>
    </row>
    <row r="10" spans="2:44" ht="31.5" customHeight="1" x14ac:dyDescent="0.2">
      <c r="B10" s="185" t="s">
        <v>128</v>
      </c>
      <c r="C10" s="186"/>
      <c r="D10" s="186"/>
      <c r="E10" s="186"/>
      <c r="F10" s="186"/>
      <c r="G10" s="45" t="s">
        <v>2</v>
      </c>
      <c r="H10" s="46">
        <v>0</v>
      </c>
      <c r="I10" s="46">
        <v>0</v>
      </c>
      <c r="J10" s="46">
        <v>0</v>
      </c>
      <c r="K10" s="47">
        <v>0</v>
      </c>
      <c r="L10" s="48" t="s">
        <v>3</v>
      </c>
      <c r="M10" s="48" t="s">
        <v>3</v>
      </c>
      <c r="N10" s="48" t="s">
        <v>3</v>
      </c>
      <c r="O10" s="49">
        <v>0</v>
      </c>
      <c r="P10" s="49">
        <v>0</v>
      </c>
      <c r="Q10" s="49">
        <v>0</v>
      </c>
      <c r="R10" s="50" t="s">
        <v>3</v>
      </c>
      <c r="S10" s="49">
        <v>0</v>
      </c>
      <c r="T10" s="49">
        <v>0</v>
      </c>
      <c r="U10" s="51" t="s">
        <v>129</v>
      </c>
      <c r="W10" s="185" t="s">
        <v>128</v>
      </c>
      <c r="X10" s="186"/>
      <c r="Y10" s="186"/>
      <c r="Z10" s="186"/>
      <c r="AA10" s="186"/>
      <c r="AB10" s="45" t="s">
        <v>2</v>
      </c>
      <c r="AC10" s="46" t="e">
        <f>+SUM(#REF!)</f>
        <v>#REF!</v>
      </c>
      <c r="AD10" s="46" t="e">
        <f>+SUM(#REF!)</f>
        <v>#REF!</v>
      </c>
      <c r="AE10" s="46" t="e">
        <f>+SUM(#REF!)</f>
        <v>#REF!</v>
      </c>
      <c r="AF10" s="47">
        <v>0</v>
      </c>
      <c r="AG10" s="48" t="s">
        <v>3</v>
      </c>
      <c r="AH10" s="48" t="s">
        <v>3</v>
      </c>
      <c r="AI10" s="48" t="s">
        <v>3</v>
      </c>
      <c r="AJ10" s="49" t="e">
        <f>+SUM(#REF!)</f>
        <v>#REF!</v>
      </c>
      <c r="AK10" s="49" t="e">
        <f>+SUM(#REF!)</f>
        <v>#REF!</v>
      </c>
      <c r="AL10" s="49" t="e">
        <f>+SUM(#REF!)</f>
        <v>#REF!</v>
      </c>
      <c r="AM10" s="50" t="s">
        <v>3</v>
      </c>
      <c r="AN10" s="49" t="e">
        <f>+SUM(#REF!)</f>
        <v>#REF!</v>
      </c>
      <c r="AO10" s="49" t="e">
        <f>+SUM(#REF!)</f>
        <v>#REF!</v>
      </c>
      <c r="AP10" s="51" t="s">
        <v>129</v>
      </c>
      <c r="AQ10" s="173" t="s">
        <v>178</v>
      </c>
      <c r="AR10" s="174"/>
    </row>
    <row r="11" spans="2:44" ht="31.5" customHeight="1" x14ac:dyDescent="0.2">
      <c r="B11" s="187" t="s">
        <v>140</v>
      </c>
      <c r="C11" s="187"/>
      <c r="D11" s="187"/>
      <c r="E11" s="187"/>
      <c r="F11" s="187"/>
      <c r="G11" s="45" t="s">
        <v>8</v>
      </c>
      <c r="H11" s="53" t="s">
        <v>3</v>
      </c>
      <c r="I11" s="53" t="s">
        <v>3</v>
      </c>
      <c r="J11" s="53" t="s">
        <v>3</v>
      </c>
      <c r="K11" s="53" t="s">
        <v>3</v>
      </c>
      <c r="L11" s="53" t="s">
        <v>3</v>
      </c>
      <c r="M11" s="53" t="s">
        <v>3</v>
      </c>
      <c r="N11" s="53" t="s">
        <v>3</v>
      </c>
      <c r="O11" s="54"/>
      <c r="P11" s="50" t="s">
        <v>3</v>
      </c>
      <c r="Q11" s="52"/>
      <c r="R11" s="50" t="s">
        <v>3</v>
      </c>
      <c r="S11" s="52"/>
      <c r="T11" s="53" t="s">
        <v>3</v>
      </c>
      <c r="U11" s="53" t="s">
        <v>3</v>
      </c>
      <c r="W11" s="187" t="s">
        <v>140</v>
      </c>
      <c r="X11" s="187"/>
      <c r="Y11" s="187"/>
      <c r="Z11" s="187"/>
      <c r="AA11" s="187"/>
      <c r="AB11" s="45" t="s">
        <v>8</v>
      </c>
      <c r="AC11" s="53" t="s">
        <v>3</v>
      </c>
      <c r="AD11" s="53" t="s">
        <v>3</v>
      </c>
      <c r="AE11" s="53" t="s">
        <v>3</v>
      </c>
      <c r="AF11" s="53" t="s">
        <v>3</v>
      </c>
      <c r="AG11" s="53" t="s">
        <v>3</v>
      </c>
      <c r="AH11" s="53" t="s">
        <v>3</v>
      </c>
      <c r="AI11" s="53" t="s">
        <v>3</v>
      </c>
      <c r="AJ11" s="55"/>
      <c r="AK11" s="50" t="s">
        <v>3</v>
      </c>
      <c r="AL11" s="52"/>
      <c r="AM11" s="50" t="s">
        <v>3</v>
      </c>
      <c r="AN11" s="52"/>
      <c r="AO11" s="53" t="s">
        <v>3</v>
      </c>
      <c r="AP11" s="53" t="s">
        <v>3</v>
      </c>
      <c r="AQ11" s="173"/>
      <c r="AR11" s="174"/>
    </row>
    <row r="12" spans="2:44" ht="30.6" customHeight="1" x14ac:dyDescent="0.2">
      <c r="B12" s="193" t="s">
        <v>141</v>
      </c>
      <c r="C12" s="194"/>
      <c r="D12" s="194"/>
      <c r="E12" s="194"/>
      <c r="F12" s="195"/>
      <c r="G12" s="45" t="s">
        <v>10</v>
      </c>
      <c r="H12" s="53" t="s">
        <v>3</v>
      </c>
      <c r="I12" s="53" t="s">
        <v>3</v>
      </c>
      <c r="J12" s="53" t="s">
        <v>3</v>
      </c>
      <c r="K12" s="53" t="s">
        <v>3</v>
      </c>
      <c r="L12" s="53" t="s">
        <v>3</v>
      </c>
      <c r="M12" s="53" t="s">
        <v>3</v>
      </c>
      <c r="N12" s="53" t="s">
        <v>3</v>
      </c>
      <c r="O12" s="54"/>
      <c r="P12" s="50" t="s">
        <v>3</v>
      </c>
      <c r="Q12" s="52"/>
      <c r="R12" s="50" t="s">
        <v>3</v>
      </c>
      <c r="S12" s="52"/>
      <c r="T12" s="53" t="s">
        <v>3</v>
      </c>
      <c r="U12" s="53" t="s">
        <v>3</v>
      </c>
      <c r="W12" s="193" t="s">
        <v>141</v>
      </c>
      <c r="X12" s="194"/>
      <c r="Y12" s="194"/>
      <c r="Z12" s="194"/>
      <c r="AA12" s="195"/>
      <c r="AB12" s="45" t="s">
        <v>10</v>
      </c>
      <c r="AC12" s="53" t="s">
        <v>3</v>
      </c>
      <c r="AD12" s="53" t="s">
        <v>3</v>
      </c>
      <c r="AE12" s="53" t="s">
        <v>3</v>
      </c>
      <c r="AF12" s="53" t="s">
        <v>3</v>
      </c>
      <c r="AG12" s="53" t="s">
        <v>3</v>
      </c>
      <c r="AH12" s="53" t="s">
        <v>3</v>
      </c>
      <c r="AI12" s="53" t="s">
        <v>3</v>
      </c>
      <c r="AJ12" s="55"/>
      <c r="AK12" s="50" t="s">
        <v>3</v>
      </c>
      <c r="AL12" s="52"/>
      <c r="AM12" s="50" t="s">
        <v>3</v>
      </c>
      <c r="AN12" s="52"/>
      <c r="AO12" s="53" t="s">
        <v>3</v>
      </c>
      <c r="AP12" s="53" t="s">
        <v>3</v>
      </c>
      <c r="AQ12" s="173"/>
      <c r="AR12" s="174"/>
    </row>
    <row r="13" spans="2:44" ht="35.25" customHeight="1" x14ac:dyDescent="0.2">
      <c r="B13" s="193" t="s">
        <v>142</v>
      </c>
      <c r="C13" s="194"/>
      <c r="D13" s="194"/>
      <c r="E13" s="194"/>
      <c r="F13" s="195"/>
      <c r="G13" s="45" t="s">
        <v>11</v>
      </c>
      <c r="H13" s="53" t="s">
        <v>3</v>
      </c>
      <c r="I13" s="53" t="s">
        <v>3</v>
      </c>
      <c r="J13" s="53" t="s">
        <v>3</v>
      </c>
      <c r="K13" s="53" t="s">
        <v>3</v>
      </c>
      <c r="L13" s="53" t="s">
        <v>3</v>
      </c>
      <c r="M13" s="53" t="s">
        <v>3</v>
      </c>
      <c r="N13" s="53" t="s">
        <v>3</v>
      </c>
      <c r="O13" s="54"/>
      <c r="P13" s="50" t="s">
        <v>3</v>
      </c>
      <c r="Q13" s="52"/>
      <c r="R13" s="53" t="s">
        <v>3</v>
      </c>
      <c r="S13" s="52"/>
      <c r="T13" s="53" t="s">
        <v>3</v>
      </c>
      <c r="U13" s="53" t="s">
        <v>3</v>
      </c>
      <c r="W13" s="193" t="s">
        <v>142</v>
      </c>
      <c r="X13" s="194"/>
      <c r="Y13" s="194"/>
      <c r="Z13" s="194"/>
      <c r="AA13" s="195"/>
      <c r="AB13" s="45" t="s">
        <v>11</v>
      </c>
      <c r="AC13" s="53" t="s">
        <v>3</v>
      </c>
      <c r="AD13" s="53" t="s">
        <v>3</v>
      </c>
      <c r="AE13" s="53" t="s">
        <v>3</v>
      </c>
      <c r="AF13" s="53" t="s">
        <v>3</v>
      </c>
      <c r="AG13" s="53" t="s">
        <v>3</v>
      </c>
      <c r="AH13" s="53" t="s">
        <v>3</v>
      </c>
      <c r="AI13" s="53" t="s">
        <v>3</v>
      </c>
      <c r="AJ13" s="55"/>
      <c r="AK13" s="50" t="s">
        <v>3</v>
      </c>
      <c r="AL13" s="52"/>
      <c r="AM13" s="53" t="s">
        <v>3</v>
      </c>
      <c r="AN13" s="52"/>
      <c r="AO13" s="53" t="s">
        <v>3</v>
      </c>
      <c r="AP13" s="53" t="s">
        <v>3</v>
      </c>
      <c r="AQ13" s="173"/>
      <c r="AR13" s="174"/>
    </row>
    <row r="14" spans="2:44" ht="45" customHeight="1" x14ac:dyDescent="0.2">
      <c r="B14" s="193" t="s">
        <v>143</v>
      </c>
      <c r="C14" s="194"/>
      <c r="D14" s="194"/>
      <c r="E14" s="194"/>
      <c r="F14" s="195"/>
      <c r="G14" s="45" t="s">
        <v>12</v>
      </c>
      <c r="H14" s="53" t="s">
        <v>3</v>
      </c>
      <c r="I14" s="53" t="s">
        <v>3</v>
      </c>
      <c r="J14" s="53" t="s">
        <v>3</v>
      </c>
      <c r="K14" s="53" t="s">
        <v>3</v>
      </c>
      <c r="L14" s="53" t="s">
        <v>3</v>
      </c>
      <c r="M14" s="53" t="s">
        <v>3</v>
      </c>
      <c r="N14" s="53" t="s">
        <v>3</v>
      </c>
      <c r="O14" s="54"/>
      <c r="P14" s="50" t="s">
        <v>3</v>
      </c>
      <c r="Q14" s="52"/>
      <c r="R14" s="53" t="s">
        <v>3</v>
      </c>
      <c r="S14" s="52"/>
      <c r="T14" s="53" t="s">
        <v>3</v>
      </c>
      <c r="U14" s="53" t="s">
        <v>3</v>
      </c>
      <c r="W14" s="193" t="s">
        <v>143</v>
      </c>
      <c r="X14" s="194"/>
      <c r="Y14" s="194"/>
      <c r="Z14" s="194"/>
      <c r="AA14" s="195"/>
      <c r="AB14" s="45" t="s">
        <v>12</v>
      </c>
      <c r="AC14" s="53" t="s">
        <v>3</v>
      </c>
      <c r="AD14" s="53" t="s">
        <v>3</v>
      </c>
      <c r="AE14" s="53" t="s">
        <v>3</v>
      </c>
      <c r="AF14" s="53" t="s">
        <v>3</v>
      </c>
      <c r="AG14" s="53" t="s">
        <v>3</v>
      </c>
      <c r="AH14" s="53" t="s">
        <v>3</v>
      </c>
      <c r="AI14" s="53" t="s">
        <v>3</v>
      </c>
      <c r="AJ14" s="55"/>
      <c r="AK14" s="50" t="s">
        <v>3</v>
      </c>
      <c r="AL14" s="52"/>
      <c r="AM14" s="53" t="s">
        <v>3</v>
      </c>
      <c r="AN14" s="52"/>
      <c r="AO14" s="53" t="s">
        <v>3</v>
      </c>
      <c r="AP14" s="53" t="s">
        <v>3</v>
      </c>
      <c r="AQ14" s="173"/>
      <c r="AR14" s="174"/>
    </row>
    <row r="15" spans="2:44" ht="15" customHeight="1" x14ac:dyDescent="0.2">
      <c r="B15" s="56"/>
      <c r="C15" s="56"/>
      <c r="D15" s="56"/>
      <c r="E15" s="56"/>
      <c r="F15" s="56"/>
      <c r="G15" s="57"/>
      <c r="H15" s="56"/>
      <c r="I15" s="56"/>
      <c r="J15" s="56"/>
      <c r="K15" s="56"/>
      <c r="L15" s="56"/>
      <c r="M15" s="56"/>
      <c r="N15" s="56"/>
      <c r="O15" s="58"/>
      <c r="P15" s="59"/>
      <c r="Q15" s="59"/>
      <c r="R15" s="59"/>
      <c r="S15" s="59"/>
      <c r="T15" s="59"/>
      <c r="W15" s="56"/>
      <c r="X15" s="56"/>
      <c r="Y15" s="56"/>
      <c r="Z15" s="56"/>
      <c r="AA15" s="56"/>
      <c r="AB15" s="57"/>
      <c r="AC15" s="56"/>
      <c r="AD15" s="56"/>
      <c r="AE15" s="56"/>
      <c r="AF15" s="56"/>
      <c r="AG15" s="56"/>
      <c r="AH15" s="56"/>
      <c r="AI15" s="56"/>
      <c r="AJ15" s="59"/>
      <c r="AK15" s="59"/>
      <c r="AL15" s="59"/>
      <c r="AM15" s="59"/>
      <c r="AN15" s="59"/>
      <c r="AO15" s="59"/>
      <c r="AQ15" s="74"/>
      <c r="AR15" s="75"/>
    </row>
    <row r="16" spans="2:44" ht="37.5" hidden="1" customHeight="1" x14ac:dyDescent="0.2">
      <c r="B16" s="188" t="s">
        <v>49</v>
      </c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W16" s="189" t="s">
        <v>23</v>
      </c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74"/>
      <c r="AR16" s="75"/>
    </row>
    <row r="17" spans="2:44" ht="12.75" hidden="1" customHeight="1" x14ac:dyDescent="0.2">
      <c r="B17" s="56"/>
      <c r="C17" s="56"/>
      <c r="D17" s="56"/>
      <c r="E17" s="56"/>
      <c r="F17" s="56"/>
      <c r="G17" s="57"/>
      <c r="H17" s="56"/>
      <c r="I17" s="56"/>
      <c r="J17" s="56"/>
      <c r="K17" s="56"/>
      <c r="L17" s="56"/>
      <c r="M17" s="56"/>
      <c r="N17" s="56"/>
      <c r="O17" s="58"/>
      <c r="P17" s="59"/>
      <c r="Q17" s="59"/>
      <c r="R17" s="59"/>
      <c r="S17" s="59"/>
      <c r="T17" s="59"/>
      <c r="W17" s="56"/>
      <c r="X17" s="56"/>
      <c r="Y17" s="56"/>
      <c r="Z17" s="56"/>
      <c r="AA17" s="56"/>
      <c r="AB17" s="57"/>
      <c r="AC17" s="56"/>
      <c r="AD17" s="56"/>
      <c r="AE17" s="56"/>
      <c r="AF17" s="56"/>
      <c r="AG17" s="56"/>
      <c r="AH17" s="56"/>
      <c r="AI17" s="56"/>
      <c r="AJ17" s="59"/>
      <c r="AK17" s="59"/>
      <c r="AL17" s="59"/>
      <c r="AM17" s="59"/>
      <c r="AN17" s="59"/>
      <c r="AO17" s="59"/>
      <c r="AQ17" s="74"/>
      <c r="AR17" s="75"/>
    </row>
    <row r="18" spans="2:44" ht="178.5" hidden="1" customHeight="1" x14ac:dyDescent="0.2">
      <c r="B18" s="190" t="s">
        <v>144</v>
      </c>
      <c r="C18" s="190"/>
      <c r="D18" s="190"/>
      <c r="E18" s="190"/>
      <c r="F18" s="190"/>
      <c r="G18" s="60" t="s">
        <v>3</v>
      </c>
      <c r="H18" s="61" t="s">
        <v>145</v>
      </c>
      <c r="I18" s="61" t="s">
        <v>146</v>
      </c>
      <c r="J18" s="61" t="s">
        <v>147</v>
      </c>
      <c r="K18" s="61" t="s">
        <v>148</v>
      </c>
      <c r="L18" s="61" t="s">
        <v>149</v>
      </c>
      <c r="M18" s="61" t="s">
        <v>150</v>
      </c>
      <c r="N18" s="61" t="s">
        <v>151</v>
      </c>
      <c r="O18" s="61" t="s">
        <v>152</v>
      </c>
      <c r="P18" s="61" t="s">
        <v>153</v>
      </c>
      <c r="Q18" s="61" t="s">
        <v>154</v>
      </c>
      <c r="R18" s="61" t="s">
        <v>155</v>
      </c>
      <c r="S18" s="61" t="s">
        <v>156</v>
      </c>
      <c r="T18" s="191" t="s">
        <v>157</v>
      </c>
      <c r="U18" s="192"/>
      <c r="W18" s="190" t="s">
        <v>158</v>
      </c>
      <c r="X18" s="190"/>
      <c r="Y18" s="190"/>
      <c r="Z18" s="190"/>
      <c r="AA18" s="190"/>
      <c r="AB18" s="60" t="s">
        <v>3</v>
      </c>
      <c r="AC18" s="61" t="s">
        <v>145</v>
      </c>
      <c r="AD18" s="61" t="s">
        <v>146</v>
      </c>
      <c r="AE18" s="61" t="s">
        <v>147</v>
      </c>
      <c r="AF18" s="61" t="s">
        <v>148</v>
      </c>
      <c r="AG18" s="61" t="s">
        <v>149</v>
      </c>
      <c r="AH18" s="61" t="s">
        <v>150</v>
      </c>
      <c r="AI18" s="61" t="s">
        <v>151</v>
      </c>
      <c r="AJ18" s="61" t="s">
        <v>159</v>
      </c>
      <c r="AK18" s="61" t="s">
        <v>153</v>
      </c>
      <c r="AL18" s="61" t="s">
        <v>154</v>
      </c>
      <c r="AM18" s="61" t="s">
        <v>155</v>
      </c>
      <c r="AN18" s="61" t="s">
        <v>156</v>
      </c>
      <c r="AO18" s="191" t="s">
        <v>157</v>
      </c>
      <c r="AP18" s="192"/>
      <c r="AQ18" s="74"/>
      <c r="AR18" s="75"/>
    </row>
    <row r="19" spans="2:44" ht="12.75" customHeight="1" x14ac:dyDescent="0.2">
      <c r="B19" s="56"/>
      <c r="C19" s="56"/>
      <c r="D19" s="56"/>
      <c r="E19" s="56"/>
      <c r="F19" s="56"/>
      <c r="G19" s="57"/>
      <c r="H19" s="56"/>
      <c r="I19" s="56"/>
      <c r="J19" s="56"/>
      <c r="K19" s="56"/>
      <c r="L19" s="56"/>
      <c r="M19" s="56"/>
      <c r="N19" s="56"/>
      <c r="AQ19" s="74"/>
      <c r="AR19" s="75"/>
    </row>
    <row r="20" spans="2:44" ht="12.75" customHeight="1" x14ac:dyDescent="0.2">
      <c r="AQ20" s="74"/>
      <c r="AR20" s="75"/>
    </row>
    <row r="21" spans="2:44" ht="12.75" customHeight="1" x14ac:dyDescent="0.2">
      <c r="AQ21" s="74"/>
      <c r="AR21" s="75"/>
    </row>
    <row r="22" spans="2:44" ht="12.75" customHeight="1" x14ac:dyDescent="0.2">
      <c r="AQ22" s="74"/>
      <c r="AR22" s="75"/>
    </row>
    <row r="23" spans="2:44" ht="12.75" customHeight="1" x14ac:dyDescent="0.2">
      <c r="AQ23" s="74"/>
      <c r="AR23" s="75"/>
    </row>
    <row r="24" spans="2:44" ht="12.75" customHeight="1" x14ac:dyDescent="0.2">
      <c r="AQ24" s="74"/>
      <c r="AR24" s="75"/>
    </row>
  </sheetData>
  <mergeCells count="54">
    <mergeCell ref="AQ6:AR8"/>
    <mergeCell ref="AQ10:AR14"/>
    <mergeCell ref="B16:U16"/>
    <mergeCell ref="W16:AP16"/>
    <mergeCell ref="B18:F18"/>
    <mergeCell ref="T18:U18"/>
    <mergeCell ref="W18:AA18"/>
    <mergeCell ref="AO18:AP18"/>
    <mergeCell ref="B12:F12"/>
    <mergeCell ref="W12:AA12"/>
    <mergeCell ref="B13:F13"/>
    <mergeCell ref="W13:AA13"/>
    <mergeCell ref="B14:F14"/>
    <mergeCell ref="W14:AA14"/>
    <mergeCell ref="AN6:AN8"/>
    <mergeCell ref="AO6:AP7"/>
    <mergeCell ref="AM6:AM8"/>
    <mergeCell ref="B10:F10"/>
    <mergeCell ref="W10:AA10"/>
    <mergeCell ref="B11:F11"/>
    <mergeCell ref="W11:AA11"/>
    <mergeCell ref="AH6:AH8"/>
    <mergeCell ref="AA6:AA8"/>
    <mergeCell ref="AB6:AB8"/>
    <mergeCell ref="AC6:AC8"/>
    <mergeCell ref="AD6:AE7"/>
    <mergeCell ref="AF6:AF8"/>
    <mergeCell ref="AG6:AG8"/>
    <mergeCell ref="R6:R8"/>
    <mergeCell ref="S6:S8"/>
    <mergeCell ref="T6:U7"/>
    <mergeCell ref="W6:W8"/>
    <mergeCell ref="Q6:Q8"/>
    <mergeCell ref="AI6:AI8"/>
    <mergeCell ref="AJ6:AJ8"/>
    <mergeCell ref="AK6:AK8"/>
    <mergeCell ref="AL6:AL8"/>
    <mergeCell ref="X6:X8"/>
    <mergeCell ref="B4:U4"/>
    <mergeCell ref="W4:AP4"/>
    <mergeCell ref="B6:B8"/>
    <mergeCell ref="C6:C8"/>
    <mergeCell ref="D6:E7"/>
    <mergeCell ref="F6:F8"/>
    <mergeCell ref="G6:G8"/>
    <mergeCell ref="H6:H8"/>
    <mergeCell ref="I6:J7"/>
    <mergeCell ref="K6:K8"/>
    <mergeCell ref="Y6:Z7"/>
    <mergeCell ref="L6:L8"/>
    <mergeCell ref="M6:M8"/>
    <mergeCell ref="N6:N8"/>
    <mergeCell ref="O6:O8"/>
    <mergeCell ref="P6:P8"/>
  </mergeCells>
  <printOptions horizontalCentered="1"/>
  <pageMargins left="0.19685039370078741" right="0.19685039370078741" top="0.39370078740157483" bottom="0.27559055118110237" header="0.31496062992125984" footer="0.15748031496062992"/>
  <pageSetup paperSize="9"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57CC-DB6A-4DFF-B1D4-546C59060057}">
  <sheetPr>
    <tabColor theme="5" tint="0.79998168889431442"/>
    <pageSetUpPr fitToPage="1"/>
  </sheetPr>
  <dimension ref="A1:N27"/>
  <sheetViews>
    <sheetView view="pageBreakPreview" zoomScale="85" zoomScaleNormal="100" zoomScaleSheetLayoutView="85" workbookViewId="0">
      <selection activeCell="M1" sqref="M1"/>
    </sheetView>
  </sheetViews>
  <sheetFormatPr defaultColWidth="9.140625" defaultRowHeight="12.75" x14ac:dyDescent="0.2"/>
  <cols>
    <col min="1" max="1" width="44.28515625" style="63" customWidth="1"/>
    <col min="2" max="2" width="15.85546875" style="63" customWidth="1"/>
    <col min="3" max="3" width="22.5703125" style="63" customWidth="1"/>
    <col min="4" max="4" width="20.5703125" style="63" customWidth="1"/>
    <col min="5" max="5" width="23.140625" style="63" customWidth="1"/>
    <col min="6" max="6" width="1.5703125" style="63" customWidth="1"/>
    <col min="7" max="7" width="44" style="63" hidden="1" customWidth="1"/>
    <col min="8" max="8" width="13.140625" style="63" hidden="1" customWidth="1"/>
    <col min="9" max="9" width="24.28515625" style="63" hidden="1" customWidth="1"/>
    <col min="10" max="10" width="19.7109375" style="63" hidden="1" customWidth="1"/>
    <col min="11" max="11" width="18.140625" style="63" hidden="1" customWidth="1"/>
    <col min="12" max="12" width="0" style="63" hidden="1" customWidth="1"/>
    <col min="13" max="16384" width="9.140625" style="63"/>
  </cols>
  <sheetData>
    <row r="1" spans="1:14" ht="12.75" customHeight="1" x14ac:dyDescent="0.2">
      <c r="A1" s="62"/>
      <c r="E1" s="64" t="s">
        <v>160</v>
      </c>
      <c r="G1" s="62"/>
      <c r="K1" s="64" t="s">
        <v>160</v>
      </c>
    </row>
    <row r="2" spans="1:14" ht="4.1500000000000004" customHeight="1" x14ac:dyDescent="0.2"/>
    <row r="3" spans="1:14" ht="31.15" customHeight="1" x14ac:dyDescent="0.2">
      <c r="A3" s="196" t="s">
        <v>161</v>
      </c>
      <c r="B3" s="196"/>
      <c r="C3" s="196"/>
      <c r="D3" s="196"/>
      <c r="E3" s="196"/>
      <c r="G3" s="196" t="s">
        <v>161</v>
      </c>
      <c r="H3" s="196"/>
      <c r="I3" s="196"/>
      <c r="J3" s="196"/>
      <c r="K3" s="196"/>
    </row>
    <row r="4" spans="1:14" ht="4.1500000000000004" customHeight="1" x14ac:dyDescent="0.2"/>
    <row r="5" spans="1:14" ht="13.15" customHeight="1" x14ac:dyDescent="0.2">
      <c r="A5" s="197" t="s">
        <v>162</v>
      </c>
      <c r="B5" s="198" t="s">
        <v>1</v>
      </c>
      <c r="C5" s="197" t="s">
        <v>163</v>
      </c>
      <c r="D5" s="198" t="s">
        <v>164</v>
      </c>
      <c r="E5" s="198" t="s">
        <v>165</v>
      </c>
      <c r="G5" s="197" t="s">
        <v>162</v>
      </c>
      <c r="H5" s="198" t="s">
        <v>1</v>
      </c>
      <c r="I5" s="197" t="s">
        <v>163</v>
      </c>
      <c r="J5" s="198" t="s">
        <v>164</v>
      </c>
      <c r="K5" s="198" t="s">
        <v>165</v>
      </c>
      <c r="M5" s="210" t="s">
        <v>52</v>
      </c>
      <c r="N5" s="211"/>
    </row>
    <row r="6" spans="1:14" x14ac:dyDescent="0.2">
      <c r="A6" s="197"/>
      <c r="B6" s="199"/>
      <c r="C6" s="197"/>
      <c r="D6" s="199"/>
      <c r="E6" s="199"/>
      <c r="G6" s="197"/>
      <c r="H6" s="199"/>
      <c r="I6" s="197"/>
      <c r="J6" s="199"/>
      <c r="K6" s="199"/>
      <c r="M6" s="171"/>
      <c r="N6" s="212"/>
    </row>
    <row r="7" spans="1:14" ht="84" customHeight="1" x14ac:dyDescent="0.2">
      <c r="A7" s="197"/>
      <c r="B7" s="200"/>
      <c r="C7" s="197"/>
      <c r="D7" s="200"/>
      <c r="E7" s="200"/>
      <c r="G7" s="197"/>
      <c r="H7" s="200"/>
      <c r="I7" s="197"/>
      <c r="J7" s="200"/>
      <c r="K7" s="200"/>
      <c r="M7" s="213"/>
      <c r="N7" s="214"/>
    </row>
    <row r="8" spans="1:14" ht="15" x14ac:dyDescent="0.2">
      <c r="A8" s="65">
        <v>1</v>
      </c>
      <c r="B8" s="65">
        <v>2</v>
      </c>
      <c r="C8" s="65">
        <v>3</v>
      </c>
      <c r="D8" s="65">
        <v>4</v>
      </c>
      <c r="E8" s="65">
        <v>5</v>
      </c>
      <c r="G8" s="65">
        <v>1</v>
      </c>
      <c r="H8" s="65">
        <v>2</v>
      </c>
      <c r="I8" s="65">
        <v>3</v>
      </c>
      <c r="J8" s="65">
        <v>4</v>
      </c>
      <c r="K8" s="65">
        <v>5</v>
      </c>
      <c r="M8" s="77"/>
      <c r="N8" s="77"/>
    </row>
    <row r="9" spans="1:14" ht="23.45" customHeight="1" x14ac:dyDescent="0.2">
      <c r="A9" s="66" t="s">
        <v>166</v>
      </c>
      <c r="B9" s="66" t="s">
        <v>2</v>
      </c>
      <c r="C9" s="66" t="s">
        <v>3</v>
      </c>
      <c r="D9" s="67">
        <v>0</v>
      </c>
      <c r="E9" s="68">
        <v>0</v>
      </c>
      <c r="G9" s="66" t="s">
        <v>166</v>
      </c>
      <c r="H9" s="66" t="s">
        <v>2</v>
      </c>
      <c r="I9" s="66" t="s">
        <v>3</v>
      </c>
      <c r="J9" s="67">
        <v>0</v>
      </c>
      <c r="K9" s="68">
        <v>0</v>
      </c>
      <c r="M9" s="215" t="s">
        <v>178</v>
      </c>
      <c r="N9" s="216"/>
    </row>
    <row r="10" spans="1:14" s="69" customFormat="1" ht="15" customHeight="1" x14ac:dyDescent="0.2">
      <c r="A10" s="66"/>
      <c r="B10" s="203" t="s">
        <v>8</v>
      </c>
      <c r="C10" s="201" t="s">
        <v>3</v>
      </c>
      <c r="D10" s="205">
        <v>0</v>
      </c>
      <c r="E10" s="207">
        <v>0</v>
      </c>
      <c r="G10" s="66" t="s">
        <v>167</v>
      </c>
      <c r="H10" s="203" t="s">
        <v>8</v>
      </c>
      <c r="I10" s="201" t="s">
        <v>3</v>
      </c>
      <c r="J10" s="205">
        <v>0</v>
      </c>
      <c r="K10" s="207">
        <v>0</v>
      </c>
      <c r="M10" s="173"/>
      <c r="N10" s="217"/>
    </row>
    <row r="11" spans="1:14" s="69" customFormat="1" ht="12.75" customHeight="1" x14ac:dyDescent="0.2">
      <c r="A11" s="66" t="s">
        <v>168</v>
      </c>
      <c r="B11" s="204"/>
      <c r="C11" s="202"/>
      <c r="D11" s="206"/>
      <c r="E11" s="208"/>
      <c r="G11" s="66" t="s">
        <v>168</v>
      </c>
      <c r="H11" s="204"/>
      <c r="I11" s="202"/>
      <c r="J11" s="206"/>
      <c r="K11" s="208"/>
      <c r="M11" s="173"/>
      <c r="N11" s="217"/>
    </row>
    <row r="12" spans="1:14" ht="12.75" customHeight="1" x14ac:dyDescent="0.2">
      <c r="A12" s="66"/>
      <c r="B12" s="203" t="s">
        <v>10</v>
      </c>
      <c r="C12" s="201" t="s">
        <v>3</v>
      </c>
      <c r="D12" s="205">
        <v>0</v>
      </c>
      <c r="E12" s="207">
        <v>0</v>
      </c>
      <c r="G12" s="66"/>
      <c r="H12" s="203" t="s">
        <v>10</v>
      </c>
      <c r="I12" s="201" t="s">
        <v>3</v>
      </c>
      <c r="J12" s="205">
        <v>0</v>
      </c>
      <c r="K12" s="207">
        <v>0</v>
      </c>
      <c r="M12" s="173"/>
      <c r="N12" s="217"/>
    </row>
    <row r="13" spans="1:14" ht="12.75" customHeight="1" x14ac:dyDescent="0.2">
      <c r="A13" s="66" t="s">
        <v>169</v>
      </c>
      <c r="B13" s="204"/>
      <c r="C13" s="202"/>
      <c r="D13" s="206"/>
      <c r="E13" s="208"/>
      <c r="G13" s="66" t="s">
        <v>169</v>
      </c>
      <c r="H13" s="204"/>
      <c r="I13" s="202"/>
      <c r="J13" s="206"/>
      <c r="K13" s="208"/>
      <c r="M13" s="173"/>
      <c r="N13" s="217"/>
    </row>
    <row r="14" spans="1:14" ht="15" customHeight="1" x14ac:dyDescent="0.2">
      <c r="A14" s="66"/>
      <c r="B14" s="203" t="s">
        <v>11</v>
      </c>
      <c r="C14" s="201" t="s">
        <v>3</v>
      </c>
      <c r="D14" s="205">
        <v>295.22000000000003</v>
      </c>
      <c r="E14" s="207">
        <v>0</v>
      </c>
      <c r="G14" s="66" t="s">
        <v>167</v>
      </c>
      <c r="H14" s="203" t="s">
        <v>11</v>
      </c>
      <c r="I14" s="201" t="s">
        <v>3</v>
      </c>
      <c r="J14" s="205">
        <v>0</v>
      </c>
      <c r="K14" s="207">
        <v>0</v>
      </c>
      <c r="M14" s="173"/>
      <c r="N14" s="217"/>
    </row>
    <row r="15" spans="1:14" x14ac:dyDescent="0.2">
      <c r="A15" s="66" t="s">
        <v>170</v>
      </c>
      <c r="B15" s="204"/>
      <c r="C15" s="202"/>
      <c r="D15" s="206"/>
      <c r="E15" s="208"/>
      <c r="G15" s="66" t="s">
        <v>170</v>
      </c>
      <c r="H15" s="204"/>
      <c r="I15" s="202"/>
      <c r="J15" s="206"/>
      <c r="K15" s="208"/>
      <c r="M15" s="173"/>
      <c r="N15" s="217"/>
    </row>
    <row r="16" spans="1:14" ht="15" customHeight="1" x14ac:dyDescent="0.2">
      <c r="A16" s="66"/>
      <c r="B16" s="203" t="s">
        <v>12</v>
      </c>
      <c r="C16" s="201" t="s">
        <v>3</v>
      </c>
      <c r="D16" s="205">
        <v>0</v>
      </c>
      <c r="E16" s="207">
        <v>0</v>
      </c>
      <c r="G16" s="66"/>
      <c r="H16" s="203" t="s">
        <v>12</v>
      </c>
      <c r="I16" s="201" t="s">
        <v>3</v>
      </c>
      <c r="J16" s="205">
        <v>0</v>
      </c>
      <c r="K16" s="207">
        <v>0</v>
      </c>
      <c r="M16" s="173"/>
      <c r="N16" s="217"/>
    </row>
    <row r="17" spans="1:14" x14ac:dyDescent="0.2">
      <c r="A17" s="66" t="s">
        <v>171</v>
      </c>
      <c r="B17" s="204"/>
      <c r="C17" s="202"/>
      <c r="D17" s="206"/>
      <c r="E17" s="208"/>
      <c r="G17" s="66" t="s">
        <v>171</v>
      </c>
      <c r="H17" s="204"/>
      <c r="I17" s="202"/>
      <c r="J17" s="206"/>
      <c r="K17" s="208"/>
      <c r="M17" s="173"/>
      <c r="N17" s="217"/>
    </row>
    <row r="18" spans="1:14" ht="15" customHeight="1" x14ac:dyDescent="0.2">
      <c r="A18" s="66"/>
      <c r="B18" s="203" t="s">
        <v>13</v>
      </c>
      <c r="C18" s="201" t="s">
        <v>3</v>
      </c>
      <c r="D18" s="205">
        <v>0</v>
      </c>
      <c r="E18" s="207">
        <v>0</v>
      </c>
      <c r="G18" s="66"/>
      <c r="H18" s="203" t="s">
        <v>13</v>
      </c>
      <c r="I18" s="201" t="s">
        <v>3</v>
      </c>
      <c r="J18" s="205">
        <v>0</v>
      </c>
      <c r="K18" s="207">
        <v>0</v>
      </c>
      <c r="M18" s="173"/>
      <c r="N18" s="217"/>
    </row>
    <row r="19" spans="1:14" x14ac:dyDescent="0.2">
      <c r="A19" s="66" t="s">
        <v>172</v>
      </c>
      <c r="B19" s="204"/>
      <c r="C19" s="202"/>
      <c r="D19" s="206"/>
      <c r="E19" s="208"/>
      <c r="G19" s="66" t="s">
        <v>172</v>
      </c>
      <c r="H19" s="204"/>
      <c r="I19" s="202"/>
      <c r="J19" s="206"/>
      <c r="K19" s="208"/>
      <c r="M19" s="173"/>
      <c r="N19" s="217"/>
    </row>
    <row r="20" spans="1:14" ht="15" customHeight="1" x14ac:dyDescent="0.2">
      <c r="A20" s="66"/>
      <c r="B20" s="203" t="s">
        <v>14</v>
      </c>
      <c r="C20" s="201" t="s">
        <v>3</v>
      </c>
      <c r="D20" s="205">
        <v>0</v>
      </c>
      <c r="E20" s="207">
        <v>0</v>
      </c>
      <c r="G20" s="66"/>
      <c r="H20" s="203" t="s">
        <v>14</v>
      </c>
      <c r="I20" s="201" t="s">
        <v>3</v>
      </c>
      <c r="J20" s="205">
        <v>0</v>
      </c>
      <c r="K20" s="207">
        <v>0</v>
      </c>
      <c r="M20" s="173"/>
      <c r="N20" s="217"/>
    </row>
    <row r="21" spans="1:14" x14ac:dyDescent="0.2">
      <c r="A21" s="66" t="s">
        <v>173</v>
      </c>
      <c r="B21" s="204"/>
      <c r="C21" s="202"/>
      <c r="D21" s="206"/>
      <c r="E21" s="208"/>
      <c r="G21" s="66" t="s">
        <v>173</v>
      </c>
      <c r="H21" s="204"/>
      <c r="I21" s="202"/>
      <c r="J21" s="206"/>
      <c r="K21" s="208"/>
      <c r="M21" s="218"/>
      <c r="N21" s="219"/>
    </row>
    <row r="23" spans="1:14" x14ac:dyDescent="0.2">
      <c r="A23" s="220" t="s">
        <v>174</v>
      </c>
      <c r="B23" s="220"/>
      <c r="C23" s="220"/>
      <c r="D23" s="220"/>
      <c r="E23" s="220"/>
      <c r="G23" s="220" t="s">
        <v>174</v>
      </c>
      <c r="H23" s="220"/>
      <c r="I23" s="220"/>
      <c r="J23" s="220"/>
      <c r="K23" s="220"/>
    </row>
    <row r="25" spans="1:14" ht="20.25" hidden="1" x14ac:dyDescent="0.3">
      <c r="A25" s="209" t="s">
        <v>49</v>
      </c>
      <c r="B25" s="209"/>
      <c r="C25" s="209"/>
      <c r="D25" s="209"/>
      <c r="E25" s="209"/>
      <c r="G25" s="209" t="s">
        <v>23</v>
      </c>
      <c r="H25" s="209"/>
      <c r="I25" s="209"/>
      <c r="J25" s="209"/>
      <c r="K25" s="209"/>
    </row>
    <row r="26" spans="1:14" hidden="1" x14ac:dyDescent="0.2"/>
    <row r="27" spans="1:14" ht="177.75" hidden="1" customHeight="1" x14ac:dyDescent="0.2">
      <c r="A27" s="70" t="s">
        <v>175</v>
      </c>
      <c r="B27" s="71" t="s">
        <v>3</v>
      </c>
      <c r="C27" s="70" t="s">
        <v>175</v>
      </c>
      <c r="D27" s="70" t="s">
        <v>175</v>
      </c>
      <c r="E27" s="70" t="s">
        <v>175</v>
      </c>
      <c r="G27" s="70" t="s">
        <v>176</v>
      </c>
      <c r="H27" s="71" t="s">
        <v>3</v>
      </c>
      <c r="I27" s="70" t="s">
        <v>176</v>
      </c>
      <c r="J27" s="70" t="s">
        <v>176</v>
      </c>
      <c r="K27" s="70" t="s">
        <v>176</v>
      </c>
    </row>
  </sheetData>
  <mergeCells count="66">
    <mergeCell ref="M5:N7"/>
    <mergeCell ref="M9:N21"/>
    <mergeCell ref="J20:J21"/>
    <mergeCell ref="K20:K21"/>
    <mergeCell ref="A23:E23"/>
    <mergeCell ref="G23:K23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A25:E25"/>
    <mergeCell ref="G25:K25"/>
    <mergeCell ref="B20:B21"/>
    <mergeCell ref="C20:C21"/>
    <mergeCell ref="D20:D21"/>
    <mergeCell ref="E20:E21"/>
    <mergeCell ref="H20:H21"/>
    <mergeCell ref="I20:I21"/>
    <mergeCell ref="B16:B17"/>
    <mergeCell ref="C16:C17"/>
    <mergeCell ref="D16:D17"/>
    <mergeCell ref="E16:E17"/>
    <mergeCell ref="H16:H17"/>
    <mergeCell ref="I16:I17"/>
    <mergeCell ref="J12:J13"/>
    <mergeCell ref="K12:K13"/>
    <mergeCell ref="B14:B15"/>
    <mergeCell ref="C14:C15"/>
    <mergeCell ref="D14:D15"/>
    <mergeCell ref="E14:E15"/>
    <mergeCell ref="H14:H15"/>
    <mergeCell ref="I14:I15"/>
    <mergeCell ref="J14:J15"/>
    <mergeCell ref="K14:K15"/>
    <mergeCell ref="B12:B13"/>
    <mergeCell ref="C12:C13"/>
    <mergeCell ref="D12:D13"/>
    <mergeCell ref="E12:E13"/>
    <mergeCell ref="H12:H13"/>
    <mergeCell ref="I12:I13"/>
    <mergeCell ref="J5:J7"/>
    <mergeCell ref="K5:K7"/>
    <mergeCell ref="B10:B11"/>
    <mergeCell ref="C10:C11"/>
    <mergeCell ref="D10:D11"/>
    <mergeCell ref="E10:E11"/>
    <mergeCell ref="H10:H11"/>
    <mergeCell ref="I10:I11"/>
    <mergeCell ref="J10:J11"/>
    <mergeCell ref="K10:K11"/>
    <mergeCell ref="A3:E3"/>
    <mergeCell ref="G3:K3"/>
    <mergeCell ref="A5:A7"/>
    <mergeCell ref="B5:B7"/>
    <mergeCell ref="C5:C7"/>
    <mergeCell ref="D5:D7"/>
    <mergeCell ref="E5:E7"/>
    <mergeCell ref="G5:G7"/>
    <mergeCell ref="H5:H7"/>
    <mergeCell ref="I5:I7"/>
  </mergeCells>
  <pageMargins left="0.26" right="0.24" top="0.39" bottom="0.34" header="0.31496062992125984" footer="0.31496062992125984"/>
  <pageSetup paperSize="9" scale="9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F86B-B75A-4AAD-8902-7E36BB49A95A}">
  <sheetPr>
    <tabColor theme="9" tint="0.79998168889431442"/>
    <pageSetUpPr fitToPage="1"/>
  </sheetPr>
  <dimension ref="A1:D32"/>
  <sheetViews>
    <sheetView view="pageBreakPreview" zoomScale="55" zoomScaleNormal="100" zoomScaleSheetLayoutView="55" workbookViewId="0">
      <selection activeCell="D1" sqref="A1:XFD1"/>
    </sheetView>
  </sheetViews>
  <sheetFormatPr defaultColWidth="9.140625" defaultRowHeight="12.75" x14ac:dyDescent="0.2"/>
  <cols>
    <col min="1" max="1" width="78.5703125" style="72" customWidth="1"/>
    <col min="2" max="2" width="10.42578125" style="72" customWidth="1"/>
    <col min="3" max="3" width="8.28515625" style="72" customWidth="1"/>
    <col min="4" max="4" width="23.28515625" style="72" bestFit="1" customWidth="1"/>
    <col min="5" max="16384" width="9.140625" style="72"/>
  </cols>
  <sheetData>
    <row r="1" spans="1:4" x14ac:dyDescent="0.2">
      <c r="A1" s="78" t="s">
        <v>0</v>
      </c>
      <c r="B1" s="1"/>
      <c r="C1" s="78" t="s">
        <v>191</v>
      </c>
    </row>
    <row r="2" spans="1:4" ht="18.75" customHeight="1" x14ac:dyDescent="0.2">
      <c r="A2" s="224" t="s">
        <v>192</v>
      </c>
      <c r="B2" s="225"/>
      <c r="C2" s="225"/>
    </row>
    <row r="3" spans="1:4" ht="18.75" customHeight="1" x14ac:dyDescent="0.2">
      <c r="A3" s="225" t="s">
        <v>7</v>
      </c>
      <c r="B3" s="225"/>
      <c r="C3" s="225"/>
    </row>
    <row r="4" spans="1:4" ht="9.75" customHeight="1" x14ac:dyDescent="0.2">
      <c r="A4" s="225"/>
      <c r="B4" s="225"/>
      <c r="C4" s="225"/>
    </row>
    <row r="5" spans="1:4" ht="21" customHeight="1" x14ac:dyDescent="0.2">
      <c r="A5" s="79" t="s">
        <v>6</v>
      </c>
      <c r="B5" s="80" t="s">
        <v>1</v>
      </c>
      <c r="C5" s="81" t="s">
        <v>62</v>
      </c>
      <c r="D5" s="103" t="s">
        <v>52</v>
      </c>
    </row>
    <row r="6" spans="1:4" s="85" customFormat="1" ht="24.75" customHeight="1" x14ac:dyDescent="0.25">
      <c r="A6" s="82" t="s">
        <v>193</v>
      </c>
      <c r="B6" s="83" t="s">
        <v>2</v>
      </c>
      <c r="C6" s="84"/>
      <c r="D6" s="221" t="s">
        <v>178</v>
      </c>
    </row>
    <row r="7" spans="1:4" s="85" customFormat="1" ht="32.25" customHeight="1" x14ac:dyDescent="0.25">
      <c r="A7" s="82" t="s">
        <v>194</v>
      </c>
      <c r="B7" s="86" t="s">
        <v>8</v>
      </c>
      <c r="C7" s="84"/>
      <c r="D7" s="222"/>
    </row>
    <row r="8" spans="1:4" s="85" customFormat="1" ht="41.25" customHeight="1" x14ac:dyDescent="0.25">
      <c r="A8" s="82" t="s">
        <v>195</v>
      </c>
      <c r="B8" s="86" t="s">
        <v>10</v>
      </c>
      <c r="C8" s="84"/>
      <c r="D8" s="222"/>
    </row>
    <row r="9" spans="1:4" s="85" customFormat="1" ht="15" customHeight="1" x14ac:dyDescent="0.25">
      <c r="A9" s="82" t="s">
        <v>196</v>
      </c>
      <c r="B9" s="86" t="s">
        <v>11</v>
      </c>
      <c r="C9" s="84"/>
      <c r="D9" s="222"/>
    </row>
    <row r="10" spans="1:4" s="85" customFormat="1" ht="12.75" customHeight="1" x14ac:dyDescent="0.25">
      <c r="A10" s="82" t="s">
        <v>67</v>
      </c>
      <c r="B10" s="86" t="s">
        <v>12</v>
      </c>
      <c r="C10" s="84"/>
      <c r="D10" s="222"/>
    </row>
    <row r="11" spans="1:4" s="85" customFormat="1" ht="15" customHeight="1" x14ac:dyDescent="0.25">
      <c r="A11" s="82" t="s">
        <v>197</v>
      </c>
      <c r="B11" s="86" t="s">
        <v>13</v>
      </c>
      <c r="C11" s="84"/>
      <c r="D11" s="222"/>
    </row>
    <row r="12" spans="1:4" s="85" customFormat="1" ht="59.25" customHeight="1" x14ac:dyDescent="0.25">
      <c r="A12" s="82" t="s">
        <v>198</v>
      </c>
      <c r="B12" s="86" t="s">
        <v>14</v>
      </c>
      <c r="C12" s="84"/>
      <c r="D12" s="222"/>
    </row>
    <row r="13" spans="1:4" s="85" customFormat="1" ht="52.5" customHeight="1" x14ac:dyDescent="0.25">
      <c r="A13" s="82" t="s">
        <v>199</v>
      </c>
      <c r="B13" s="86" t="s">
        <v>15</v>
      </c>
      <c r="C13" s="84"/>
      <c r="D13" s="222"/>
    </row>
    <row r="14" spans="1:4" ht="12.75" customHeight="1" x14ac:dyDescent="0.2">
      <c r="A14" s="82" t="s">
        <v>67</v>
      </c>
      <c r="B14" s="86" t="s">
        <v>16</v>
      </c>
      <c r="C14" s="84"/>
      <c r="D14" s="222"/>
    </row>
    <row r="15" spans="1:4" ht="15" customHeight="1" x14ac:dyDescent="0.2">
      <c r="A15" s="82" t="s">
        <v>200</v>
      </c>
      <c r="B15" s="86" t="s">
        <v>17</v>
      </c>
      <c r="C15" s="84"/>
      <c r="D15" s="222"/>
    </row>
    <row r="16" spans="1:4" ht="43.5" customHeight="1" x14ac:dyDescent="0.2">
      <c r="A16" s="82" t="s">
        <v>201</v>
      </c>
      <c r="B16" s="86" t="s">
        <v>18</v>
      </c>
      <c r="C16" s="84"/>
      <c r="D16" s="222"/>
    </row>
    <row r="17" spans="1:4" ht="15" customHeight="1" x14ac:dyDescent="0.2">
      <c r="A17" s="82" t="s">
        <v>67</v>
      </c>
      <c r="B17" s="86" t="s">
        <v>19</v>
      </c>
      <c r="C17" s="84"/>
      <c r="D17" s="222"/>
    </row>
    <row r="18" spans="1:4" ht="12.75" customHeight="1" x14ac:dyDescent="0.2">
      <c r="A18" s="82" t="s">
        <v>202</v>
      </c>
      <c r="B18" s="86" t="s">
        <v>20</v>
      </c>
      <c r="C18" s="84"/>
      <c r="D18" s="222"/>
    </row>
    <row r="19" spans="1:4" ht="64.5" customHeight="1" x14ac:dyDescent="0.2">
      <c r="A19" s="82" t="s">
        <v>203</v>
      </c>
      <c r="B19" s="86" t="s">
        <v>21</v>
      </c>
      <c r="C19" s="84"/>
      <c r="D19" s="222"/>
    </row>
    <row r="20" spans="1:4" ht="15" customHeight="1" x14ac:dyDescent="0.2">
      <c r="A20" s="82" t="s">
        <v>67</v>
      </c>
      <c r="B20" s="83" t="s">
        <v>22</v>
      </c>
      <c r="C20" s="84"/>
      <c r="D20" s="222"/>
    </row>
    <row r="21" spans="1:4" ht="15" customHeight="1" x14ac:dyDescent="0.2">
      <c r="A21" s="82" t="s">
        <v>204</v>
      </c>
      <c r="B21" s="83" t="s">
        <v>87</v>
      </c>
      <c r="C21" s="84"/>
      <c r="D21" s="222"/>
    </row>
    <row r="22" spans="1:4" ht="31.5" customHeight="1" x14ac:dyDescent="0.2">
      <c r="A22" s="82" t="s">
        <v>205</v>
      </c>
      <c r="B22" s="83" t="s">
        <v>89</v>
      </c>
      <c r="C22" s="84"/>
      <c r="D22" s="222"/>
    </row>
    <row r="23" spans="1:4" ht="31.5" customHeight="1" x14ac:dyDescent="0.2">
      <c r="A23" s="82" t="s">
        <v>206</v>
      </c>
      <c r="B23" s="83" t="s">
        <v>207</v>
      </c>
      <c r="C23" s="84"/>
      <c r="D23" s="222"/>
    </row>
    <row r="24" spans="1:4" ht="15" customHeight="1" x14ac:dyDescent="0.2">
      <c r="A24" s="82" t="s">
        <v>208</v>
      </c>
      <c r="B24" s="83" t="s">
        <v>209</v>
      </c>
      <c r="C24" s="84"/>
      <c r="D24" s="222"/>
    </row>
    <row r="25" spans="1:4" ht="15" customHeight="1" x14ac:dyDescent="0.2">
      <c r="A25" s="82" t="s">
        <v>210</v>
      </c>
      <c r="B25" s="83" t="s">
        <v>211</v>
      </c>
      <c r="C25" s="84"/>
      <c r="D25" s="223"/>
    </row>
    <row r="26" spans="1:4" ht="172.5" customHeight="1" x14ac:dyDescent="0.2">
      <c r="A26" s="226" t="s">
        <v>212</v>
      </c>
      <c r="B26" s="226"/>
      <c r="C26" s="226"/>
    </row>
    <row r="27" spans="1:4" ht="4.1500000000000004" customHeight="1" x14ac:dyDescent="0.2">
      <c r="A27" s="1"/>
      <c r="B27" s="1"/>
      <c r="C27" s="87"/>
    </row>
    <row r="28" spans="1:4" ht="12.75" customHeight="1" x14ac:dyDescent="0.2"/>
    <row r="29" spans="1:4" ht="4.1500000000000004" customHeight="1" x14ac:dyDescent="0.2">
      <c r="A29" s="1"/>
    </row>
    <row r="30" spans="1:4" ht="12.75" customHeight="1" x14ac:dyDescent="0.2">
      <c r="A30" s="88" t="s">
        <v>4</v>
      </c>
    </row>
    <row r="31" spans="1:4" ht="4.1500000000000004" customHeight="1" x14ac:dyDescent="0.2">
      <c r="A31" s="1"/>
      <c r="B31" s="89"/>
      <c r="C31" s="90"/>
    </row>
    <row r="32" spans="1:4" x14ac:dyDescent="0.2">
      <c r="A32" s="88" t="s">
        <v>5</v>
      </c>
    </row>
  </sheetData>
  <mergeCells count="5">
    <mergeCell ref="D6:D25"/>
    <mergeCell ref="A2:C2"/>
    <mergeCell ref="A3:C3"/>
    <mergeCell ref="A4:C4"/>
    <mergeCell ref="A26:C26"/>
  </mergeCells>
  <pageMargins left="0.39370078740157483" right="0.19685039370078741" top="0.27559055118110237" bottom="0.15748031496062992" header="0.31496062992125984" footer="0.15748031496062992"/>
  <pageSetup paperSize="9" scale="8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D080-734C-4CB1-B40B-C96A968E0D85}">
  <sheetPr>
    <tabColor theme="7" tint="0.79998168889431442"/>
    <pageSetUpPr fitToPage="1"/>
  </sheetPr>
  <dimension ref="A1:X20"/>
  <sheetViews>
    <sheetView view="pageBreakPreview" zoomScale="55" zoomScaleNormal="70" zoomScaleSheetLayoutView="55" workbookViewId="0">
      <selection activeCell="W1" sqref="W1"/>
    </sheetView>
  </sheetViews>
  <sheetFormatPr defaultColWidth="9.140625" defaultRowHeight="12.75" x14ac:dyDescent="0.2"/>
  <cols>
    <col min="1" max="1" width="2.5703125" style="31" customWidth="1"/>
    <col min="2" max="2" width="19.5703125" style="31" customWidth="1"/>
    <col min="3" max="3" width="23.7109375" style="31" customWidth="1"/>
    <col min="4" max="4" width="15" style="31" customWidth="1"/>
    <col min="5" max="5" width="16.7109375" style="31" customWidth="1"/>
    <col min="6" max="6" width="20.28515625" style="31" customWidth="1"/>
    <col min="7" max="7" width="9" style="31" customWidth="1"/>
    <col min="8" max="8" width="12.28515625" style="31" customWidth="1"/>
    <col min="9" max="9" width="9.28515625" style="31" bestFit="1" customWidth="1"/>
    <col min="10" max="10" width="8.7109375" style="31" bestFit="1" customWidth="1"/>
    <col min="11" max="11" width="15.5703125" style="31" customWidth="1"/>
    <col min="12" max="12" width="17.85546875" style="31" customWidth="1"/>
    <col min="13" max="13" width="14.42578125" style="31" customWidth="1"/>
    <col min="14" max="14" width="17.140625" style="31" customWidth="1"/>
    <col min="15" max="15" width="18.140625" style="31" customWidth="1"/>
    <col min="16" max="16" width="15.140625" style="31" customWidth="1"/>
    <col min="17" max="17" width="13.5703125" style="31" customWidth="1"/>
    <col min="18" max="18" width="10.42578125" style="31" customWidth="1"/>
    <col min="19" max="19" width="11" style="31" customWidth="1"/>
    <col min="20" max="20" width="14.140625" style="31" customWidth="1"/>
    <col min="21" max="21" width="8.85546875" style="31" bestFit="1" customWidth="1"/>
    <col min="22" max="22" width="19" style="31" customWidth="1"/>
    <col min="23" max="16384" width="9.140625" style="31"/>
  </cols>
  <sheetData>
    <row r="1" spans="1:24" ht="12.75" customHeight="1" x14ac:dyDescent="0.2">
      <c r="A1" s="72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</row>
    <row r="2" spans="1:24" ht="67.5" customHeight="1" x14ac:dyDescent="0.2">
      <c r="T2" s="227" t="s">
        <v>213</v>
      </c>
      <c r="U2" s="227"/>
      <c r="V2" s="227"/>
    </row>
    <row r="3" spans="1:24" ht="52.15" customHeight="1" x14ac:dyDescent="0.2">
      <c r="B3" s="228" t="s">
        <v>214</v>
      </c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92"/>
    </row>
    <row r="4" spans="1:24" ht="21.75" customHeight="1" x14ac:dyDescent="0.2">
      <c r="B4" s="181" t="s">
        <v>215</v>
      </c>
      <c r="C4" s="181" t="s">
        <v>107</v>
      </c>
      <c r="D4" s="229" t="s">
        <v>108</v>
      </c>
      <c r="E4" s="230"/>
      <c r="F4" s="181" t="s">
        <v>216</v>
      </c>
      <c r="G4" s="181" t="s">
        <v>217</v>
      </c>
      <c r="H4" s="233" t="s">
        <v>218</v>
      </c>
      <c r="I4" s="181" t="s">
        <v>219</v>
      </c>
      <c r="J4" s="181"/>
      <c r="K4" s="233" t="s">
        <v>220</v>
      </c>
      <c r="L4" s="233" t="s">
        <v>113</v>
      </c>
      <c r="M4" s="233" t="s">
        <v>221</v>
      </c>
      <c r="N4" s="233" t="s">
        <v>222</v>
      </c>
      <c r="O4" s="181" t="s">
        <v>223</v>
      </c>
      <c r="P4" s="181" t="s">
        <v>224</v>
      </c>
      <c r="Q4" s="181" t="s">
        <v>118</v>
      </c>
      <c r="R4" s="233" t="s">
        <v>119</v>
      </c>
      <c r="S4" s="233" t="s">
        <v>120</v>
      </c>
      <c r="T4" s="181" t="s">
        <v>121</v>
      </c>
      <c r="U4" s="181"/>
      <c r="V4" s="181"/>
      <c r="W4" s="210" t="s">
        <v>52</v>
      </c>
      <c r="X4" s="211"/>
    </row>
    <row r="5" spans="1:24" ht="39.75" customHeight="1" x14ac:dyDescent="0.2">
      <c r="B5" s="181"/>
      <c r="C5" s="181"/>
      <c r="D5" s="231"/>
      <c r="E5" s="232"/>
      <c r="F5" s="181"/>
      <c r="G5" s="181"/>
      <c r="H5" s="234"/>
      <c r="I5" s="181"/>
      <c r="J5" s="181"/>
      <c r="K5" s="234"/>
      <c r="L5" s="234"/>
      <c r="M5" s="234"/>
      <c r="N5" s="234"/>
      <c r="O5" s="181"/>
      <c r="P5" s="181"/>
      <c r="Q5" s="181"/>
      <c r="R5" s="234"/>
      <c r="S5" s="234"/>
      <c r="T5" s="181"/>
      <c r="U5" s="181"/>
      <c r="V5" s="181"/>
      <c r="W5" s="171"/>
      <c r="X5" s="212"/>
    </row>
    <row r="6" spans="1:24" ht="72.599999999999994" customHeight="1" x14ac:dyDescent="0.2">
      <c r="B6" s="181"/>
      <c r="C6" s="181"/>
      <c r="D6" s="41" t="s">
        <v>122</v>
      </c>
      <c r="E6" s="41" t="s">
        <v>123</v>
      </c>
      <c r="F6" s="181"/>
      <c r="G6" s="181"/>
      <c r="H6" s="235"/>
      <c r="I6" s="41" t="s">
        <v>225</v>
      </c>
      <c r="J6" s="41" t="s">
        <v>226</v>
      </c>
      <c r="K6" s="235"/>
      <c r="L6" s="235"/>
      <c r="M6" s="235"/>
      <c r="N6" s="235"/>
      <c r="O6" s="181"/>
      <c r="P6" s="181"/>
      <c r="Q6" s="181"/>
      <c r="R6" s="235"/>
      <c r="S6" s="235"/>
      <c r="T6" s="41" t="s">
        <v>227</v>
      </c>
      <c r="U6" s="41" t="s">
        <v>126</v>
      </c>
      <c r="V6" s="41" t="s">
        <v>127</v>
      </c>
      <c r="W6" s="213"/>
      <c r="X6" s="214"/>
    </row>
    <row r="7" spans="1:24" ht="15" customHeight="1" x14ac:dyDescent="0.2">
      <c r="B7" s="43">
        <v>1</v>
      </c>
      <c r="C7" s="43">
        <v>2</v>
      </c>
      <c r="D7" s="43">
        <v>3</v>
      </c>
      <c r="E7" s="43">
        <v>4</v>
      </c>
      <c r="F7" s="43">
        <v>5</v>
      </c>
      <c r="G7" s="43">
        <v>6</v>
      </c>
      <c r="H7" s="43">
        <v>7</v>
      </c>
      <c r="I7" s="43">
        <v>8</v>
      </c>
      <c r="J7" s="43">
        <v>9</v>
      </c>
      <c r="K7" s="43">
        <v>10</v>
      </c>
      <c r="L7" s="43">
        <v>11</v>
      </c>
      <c r="M7" s="43">
        <v>12</v>
      </c>
      <c r="N7" s="43">
        <v>13</v>
      </c>
      <c r="O7" s="43">
        <v>14</v>
      </c>
      <c r="P7" s="43">
        <v>15</v>
      </c>
      <c r="Q7" s="43">
        <v>16</v>
      </c>
      <c r="R7" s="43">
        <v>17</v>
      </c>
      <c r="S7" s="43">
        <v>18</v>
      </c>
      <c r="T7" s="43">
        <v>19</v>
      </c>
      <c r="U7" s="43">
        <v>20</v>
      </c>
      <c r="V7" s="43">
        <v>21</v>
      </c>
      <c r="W7" s="77"/>
      <c r="X7" s="77"/>
    </row>
    <row r="8" spans="1:24" ht="39" customHeight="1" x14ac:dyDescent="0.2">
      <c r="B8" s="236" t="s">
        <v>228</v>
      </c>
      <c r="C8" s="237"/>
      <c r="D8" s="237"/>
      <c r="E8" s="237"/>
      <c r="F8" s="238"/>
      <c r="G8" s="93" t="s">
        <v>2</v>
      </c>
      <c r="H8" s="94"/>
      <c r="I8" s="94"/>
      <c r="J8" s="55"/>
      <c r="K8" s="55"/>
      <c r="L8" s="54"/>
      <c r="M8" s="54"/>
      <c r="N8" s="55"/>
      <c r="O8" s="55"/>
      <c r="P8" s="55"/>
      <c r="Q8" s="55"/>
      <c r="R8" s="54"/>
      <c r="S8" s="55"/>
      <c r="T8" s="55"/>
      <c r="U8" s="55"/>
      <c r="V8" s="54"/>
      <c r="W8" s="215" t="s">
        <v>178</v>
      </c>
      <c r="X8" s="216"/>
    </row>
    <row r="9" spans="1:24" ht="25.5" customHeight="1" x14ac:dyDescent="0.2">
      <c r="B9" s="52"/>
      <c r="C9" s="95"/>
      <c r="D9" s="96"/>
      <c r="E9" s="96"/>
      <c r="F9" s="95"/>
      <c r="G9" s="93" t="s">
        <v>130</v>
      </c>
      <c r="H9" s="94"/>
      <c r="I9" s="94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97"/>
      <c r="W9" s="173"/>
      <c r="X9" s="217"/>
    </row>
    <row r="10" spans="1:24" ht="25.5" customHeight="1" x14ac:dyDescent="0.2">
      <c r="B10" s="52"/>
      <c r="C10" s="52"/>
      <c r="D10" s="96"/>
      <c r="E10" s="96"/>
      <c r="F10" s="95"/>
      <c r="G10" s="93" t="s">
        <v>131</v>
      </c>
      <c r="H10" s="94"/>
      <c r="I10" s="94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97"/>
      <c r="W10" s="173"/>
      <c r="X10" s="217"/>
    </row>
    <row r="11" spans="1:24" ht="25.5" customHeight="1" x14ac:dyDescent="0.2">
      <c r="B11" s="52"/>
      <c r="C11" s="52"/>
      <c r="D11" s="96"/>
      <c r="E11" s="96"/>
      <c r="F11" s="95"/>
      <c r="G11" s="93" t="s">
        <v>132</v>
      </c>
      <c r="H11" s="94"/>
      <c r="I11" s="94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97"/>
      <c r="W11" s="173"/>
      <c r="X11" s="217"/>
    </row>
    <row r="12" spans="1:24" ht="25.5" customHeight="1" x14ac:dyDescent="0.2">
      <c r="B12" s="52"/>
      <c r="C12" s="52"/>
      <c r="D12" s="96"/>
      <c r="E12" s="96"/>
      <c r="F12" s="95"/>
      <c r="G12" s="93" t="s">
        <v>133</v>
      </c>
      <c r="H12" s="94"/>
      <c r="I12" s="94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97"/>
      <c r="W12" s="173"/>
      <c r="X12" s="217"/>
    </row>
    <row r="13" spans="1:24" ht="25.5" customHeight="1" x14ac:dyDescent="0.2">
      <c r="B13" s="52"/>
      <c r="C13" s="52"/>
      <c r="D13" s="96"/>
      <c r="E13" s="96"/>
      <c r="F13" s="95"/>
      <c r="G13" s="93" t="s">
        <v>134</v>
      </c>
      <c r="H13" s="94"/>
      <c r="I13" s="94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97"/>
      <c r="W13" s="173"/>
      <c r="X13" s="217"/>
    </row>
    <row r="14" spans="1:24" ht="25.5" customHeight="1" x14ac:dyDescent="0.2">
      <c r="B14" s="52"/>
      <c r="C14" s="52"/>
      <c r="D14" s="96"/>
      <c r="E14" s="96"/>
      <c r="F14" s="95"/>
      <c r="G14" s="93" t="s">
        <v>135</v>
      </c>
      <c r="H14" s="94"/>
      <c r="I14" s="94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97"/>
      <c r="W14" s="173"/>
      <c r="X14" s="217"/>
    </row>
    <row r="15" spans="1:24" ht="25.5" customHeight="1" x14ac:dyDescent="0.2">
      <c r="B15" s="52"/>
      <c r="C15" s="52"/>
      <c r="D15" s="96"/>
      <c r="E15" s="96"/>
      <c r="F15" s="95"/>
      <c r="G15" s="93" t="s">
        <v>136</v>
      </c>
      <c r="H15" s="94"/>
      <c r="I15" s="94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97"/>
      <c r="W15" s="173"/>
      <c r="X15" s="217"/>
    </row>
    <row r="16" spans="1:24" ht="25.5" customHeight="1" x14ac:dyDescent="0.2">
      <c r="B16" s="52"/>
      <c r="C16" s="52"/>
      <c r="D16" s="96"/>
      <c r="E16" s="96"/>
      <c r="F16" s="95"/>
      <c r="G16" s="93" t="s">
        <v>137</v>
      </c>
      <c r="H16" s="94"/>
      <c r="I16" s="94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97"/>
      <c r="W16" s="173"/>
      <c r="X16" s="217"/>
    </row>
    <row r="17" spans="2:24" ht="25.5" customHeight="1" x14ac:dyDescent="0.2">
      <c r="B17" s="52"/>
      <c r="C17" s="52"/>
      <c r="D17" s="96"/>
      <c r="E17" s="96"/>
      <c r="F17" s="95"/>
      <c r="G17" s="93" t="s">
        <v>138</v>
      </c>
      <c r="H17" s="94"/>
      <c r="I17" s="94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97"/>
      <c r="W17" s="173"/>
      <c r="X17" s="217"/>
    </row>
    <row r="18" spans="2:24" ht="25.5" customHeight="1" x14ac:dyDescent="0.2">
      <c r="B18" s="52"/>
      <c r="C18" s="52"/>
      <c r="D18" s="96"/>
      <c r="E18" s="96"/>
      <c r="F18" s="95"/>
      <c r="G18" s="93" t="s">
        <v>139</v>
      </c>
      <c r="H18" s="94"/>
      <c r="I18" s="94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97"/>
      <c r="W18" s="218"/>
      <c r="X18" s="219"/>
    </row>
    <row r="19" spans="2:24" ht="12.75" customHeight="1" x14ac:dyDescent="0.2">
      <c r="W19" s="74"/>
      <c r="X19" s="76"/>
    </row>
    <row r="20" spans="2:24" ht="12.75" customHeight="1" x14ac:dyDescent="0.2">
      <c r="W20" s="124"/>
      <c r="X20" s="125"/>
    </row>
  </sheetData>
  <mergeCells count="22">
    <mergeCell ref="B8:F8"/>
    <mergeCell ref="W4:X6"/>
    <mergeCell ref="W8:X18"/>
    <mergeCell ref="L4:L6"/>
    <mergeCell ref="M4:M6"/>
    <mergeCell ref="N4:N6"/>
    <mergeCell ref="O4:O6"/>
    <mergeCell ref="P4:P6"/>
    <mergeCell ref="Q4:Q6"/>
    <mergeCell ref="T2:V2"/>
    <mergeCell ref="B3:V3"/>
    <mergeCell ref="B4:B6"/>
    <mergeCell ref="C4:C6"/>
    <mergeCell ref="D4:E5"/>
    <mergeCell ref="F4:F6"/>
    <mergeCell ref="G4:G6"/>
    <mergeCell ref="H4:H6"/>
    <mergeCell ref="I4:J5"/>
    <mergeCell ref="K4:K6"/>
    <mergeCell ref="R4:R6"/>
    <mergeCell ref="S4:S6"/>
    <mergeCell ref="T4:V5"/>
  </mergeCells>
  <printOptions horizontalCentered="1"/>
  <pageMargins left="0.19685039370078741" right="0.17" top="0.39370078740157483" bottom="0.27559055118110237" header="0.31496062992125984" footer="0.15748031496062992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FA53-661C-4EF9-B9AC-824AB9D76703}">
  <sheetPr>
    <tabColor theme="7" tint="0.79998168889431442"/>
  </sheetPr>
  <dimension ref="B1:I23"/>
  <sheetViews>
    <sheetView view="pageBreakPreview" zoomScale="60" zoomScaleNormal="100" workbookViewId="0">
      <selection activeCell="A2" sqref="A2"/>
    </sheetView>
  </sheetViews>
  <sheetFormatPr defaultColWidth="9.140625" defaultRowHeight="12.75" x14ac:dyDescent="0.2"/>
  <cols>
    <col min="1" max="1" width="0.7109375" style="63" customWidth="1"/>
    <col min="2" max="2" width="38.5703125" style="63" customWidth="1"/>
    <col min="3" max="3" width="8.85546875" style="63" customWidth="1"/>
    <col min="4" max="4" width="17.140625" style="63" customWidth="1"/>
    <col min="5" max="5" width="15.85546875" style="63" customWidth="1"/>
    <col min="6" max="6" width="15.5703125" style="63" customWidth="1"/>
    <col min="7" max="7" width="3.42578125" style="63" customWidth="1"/>
    <col min="8" max="16384" width="9.140625" style="63"/>
  </cols>
  <sheetData>
    <row r="1" spans="2:9" ht="54" customHeight="1" x14ac:dyDescent="0.2">
      <c r="B1" s="62"/>
      <c r="E1" s="239" t="s">
        <v>229</v>
      </c>
      <c r="F1" s="239"/>
    </row>
    <row r="2" spans="2:9" ht="4.1500000000000004" customHeight="1" x14ac:dyDescent="0.2"/>
    <row r="3" spans="2:9" ht="54.75" customHeight="1" x14ac:dyDescent="0.2">
      <c r="B3" s="196" t="s">
        <v>230</v>
      </c>
      <c r="C3" s="196"/>
      <c r="D3" s="196"/>
      <c r="E3" s="196"/>
      <c r="F3" s="196"/>
    </row>
    <row r="4" spans="2:9" ht="4.1500000000000004" customHeight="1" x14ac:dyDescent="0.2"/>
    <row r="5" spans="2:9" ht="13.15" customHeight="1" x14ac:dyDescent="0.2">
      <c r="B5" s="197" t="s">
        <v>162</v>
      </c>
      <c r="C5" s="198" t="s">
        <v>1</v>
      </c>
      <c r="D5" s="197" t="s">
        <v>163</v>
      </c>
      <c r="E5" s="198" t="s">
        <v>231</v>
      </c>
      <c r="F5" s="198" t="s">
        <v>165</v>
      </c>
      <c r="H5" s="240" t="s">
        <v>52</v>
      </c>
      <c r="I5" s="240"/>
    </row>
    <row r="6" spans="2:9" x14ac:dyDescent="0.2">
      <c r="B6" s="197"/>
      <c r="C6" s="199"/>
      <c r="D6" s="197"/>
      <c r="E6" s="199"/>
      <c r="F6" s="199"/>
      <c r="H6" s="240"/>
      <c r="I6" s="240"/>
    </row>
    <row r="7" spans="2:9" ht="59.25" customHeight="1" x14ac:dyDescent="0.2">
      <c r="B7" s="197"/>
      <c r="C7" s="200"/>
      <c r="D7" s="197"/>
      <c r="E7" s="200"/>
      <c r="F7" s="200"/>
      <c r="H7" s="240"/>
      <c r="I7" s="240"/>
    </row>
    <row r="8" spans="2:9" x14ac:dyDescent="0.2">
      <c r="B8" s="65">
        <v>1</v>
      </c>
      <c r="C8" s="65">
        <f>B8+1</f>
        <v>2</v>
      </c>
      <c r="D8" s="65">
        <v>3</v>
      </c>
      <c r="E8" s="65">
        <v>4</v>
      </c>
      <c r="F8" s="65">
        <f>E8+1</f>
        <v>5</v>
      </c>
      <c r="H8" s="128"/>
      <c r="I8" s="128"/>
    </row>
    <row r="9" spans="2:9" ht="29.25" customHeight="1" x14ac:dyDescent="0.2">
      <c r="B9" s="66" t="s">
        <v>232</v>
      </c>
      <c r="C9" s="66" t="s">
        <v>2</v>
      </c>
      <c r="D9" s="66" t="s">
        <v>3</v>
      </c>
      <c r="E9" s="98">
        <v>0</v>
      </c>
      <c r="F9" s="98">
        <v>0</v>
      </c>
      <c r="H9" s="241" t="s">
        <v>296</v>
      </c>
      <c r="I9" s="241"/>
    </row>
    <row r="10" spans="2:9" s="69" customFormat="1" ht="12.75" customHeight="1" x14ac:dyDescent="0.2">
      <c r="B10" s="66"/>
      <c r="C10" s="203" t="s">
        <v>8</v>
      </c>
      <c r="D10" s="201" t="s">
        <v>3</v>
      </c>
      <c r="E10" s="126">
        <v>0</v>
      </c>
      <c r="F10" s="126">
        <v>0</v>
      </c>
      <c r="H10" s="241"/>
      <c r="I10" s="241"/>
    </row>
    <row r="11" spans="2:9" s="69" customFormat="1" ht="12.75" customHeight="1" x14ac:dyDescent="0.2">
      <c r="B11" s="66" t="s">
        <v>168</v>
      </c>
      <c r="C11" s="204"/>
      <c r="D11" s="202"/>
      <c r="E11" s="127"/>
      <c r="F11" s="127"/>
      <c r="H11" s="241"/>
      <c r="I11" s="241"/>
    </row>
    <row r="12" spans="2:9" ht="12.75" customHeight="1" x14ac:dyDescent="0.2">
      <c r="B12" s="66"/>
      <c r="C12" s="203" t="s">
        <v>10</v>
      </c>
      <c r="D12" s="201" t="s">
        <v>3</v>
      </c>
      <c r="E12" s="126">
        <v>0</v>
      </c>
      <c r="F12" s="126">
        <v>0</v>
      </c>
      <c r="H12" s="241"/>
      <c r="I12" s="241"/>
    </row>
    <row r="13" spans="2:9" ht="12.75" customHeight="1" x14ac:dyDescent="0.2">
      <c r="B13" s="66" t="s">
        <v>169</v>
      </c>
      <c r="C13" s="204"/>
      <c r="D13" s="202"/>
      <c r="E13" s="127"/>
      <c r="F13" s="127"/>
      <c r="H13" s="241"/>
      <c r="I13" s="241"/>
    </row>
    <row r="14" spans="2:9" ht="12.75" customHeight="1" x14ac:dyDescent="0.2">
      <c r="B14" s="66"/>
      <c r="C14" s="203" t="s">
        <v>11</v>
      </c>
      <c r="D14" s="201" t="s">
        <v>3</v>
      </c>
      <c r="E14" s="126">
        <v>0</v>
      </c>
      <c r="F14" s="126">
        <v>0</v>
      </c>
      <c r="H14" s="241"/>
      <c r="I14" s="241"/>
    </row>
    <row r="15" spans="2:9" ht="12.75" customHeight="1" x14ac:dyDescent="0.2">
      <c r="B15" s="66" t="s">
        <v>233</v>
      </c>
      <c r="C15" s="204"/>
      <c r="D15" s="202"/>
      <c r="E15" s="127"/>
      <c r="F15" s="127"/>
      <c r="H15" s="241"/>
      <c r="I15" s="241"/>
    </row>
    <row r="16" spans="2:9" ht="12.75" customHeight="1" x14ac:dyDescent="0.2">
      <c r="B16" s="66"/>
      <c r="C16" s="203" t="s">
        <v>12</v>
      </c>
      <c r="D16" s="201" t="s">
        <v>3</v>
      </c>
      <c r="E16" s="126">
        <v>0</v>
      </c>
      <c r="F16" s="126">
        <v>0</v>
      </c>
      <c r="H16" s="241"/>
      <c r="I16" s="241"/>
    </row>
    <row r="17" spans="2:9" ht="12.75" customHeight="1" x14ac:dyDescent="0.2">
      <c r="B17" s="66" t="s">
        <v>171</v>
      </c>
      <c r="C17" s="204"/>
      <c r="D17" s="202"/>
      <c r="E17" s="127"/>
      <c r="F17" s="127"/>
      <c r="H17" s="241"/>
      <c r="I17" s="241"/>
    </row>
    <row r="18" spans="2:9" ht="12.75" customHeight="1" x14ac:dyDescent="0.2">
      <c r="B18" s="66"/>
      <c r="C18" s="203" t="s">
        <v>13</v>
      </c>
      <c r="D18" s="201" t="s">
        <v>3</v>
      </c>
      <c r="E18" s="126">
        <v>0</v>
      </c>
      <c r="F18" s="126">
        <v>0</v>
      </c>
      <c r="H18" s="241"/>
      <c r="I18" s="241"/>
    </row>
    <row r="19" spans="2:9" ht="12.75" customHeight="1" x14ac:dyDescent="0.2">
      <c r="B19" s="66" t="s">
        <v>172</v>
      </c>
      <c r="C19" s="204"/>
      <c r="D19" s="202"/>
      <c r="E19" s="127"/>
      <c r="F19" s="127"/>
      <c r="H19" s="241"/>
      <c r="I19" s="241"/>
    </row>
    <row r="20" spans="2:9" ht="12.75" customHeight="1" x14ac:dyDescent="0.2">
      <c r="B20" s="66"/>
      <c r="C20" s="203" t="s">
        <v>14</v>
      </c>
      <c r="D20" s="201" t="s">
        <v>3</v>
      </c>
      <c r="E20" s="126">
        <v>0</v>
      </c>
      <c r="F20" s="126">
        <v>0</v>
      </c>
      <c r="H20" s="241"/>
      <c r="I20" s="241"/>
    </row>
    <row r="21" spans="2:9" ht="12.75" customHeight="1" x14ac:dyDescent="0.2">
      <c r="B21" s="66" t="s">
        <v>173</v>
      </c>
      <c r="C21" s="204"/>
      <c r="D21" s="202"/>
      <c r="E21" s="127"/>
      <c r="F21" s="127"/>
      <c r="H21" s="241"/>
      <c r="I21" s="241"/>
    </row>
    <row r="22" spans="2:9" ht="12.75" customHeight="1" x14ac:dyDescent="0.2">
      <c r="H22" s="75"/>
      <c r="I22" s="75"/>
    </row>
    <row r="23" spans="2:9" x14ac:dyDescent="0.2">
      <c r="B23" s="220" t="s">
        <v>174</v>
      </c>
      <c r="C23" s="220"/>
      <c r="D23" s="220"/>
      <c r="E23" s="220"/>
      <c r="F23" s="220"/>
    </row>
  </sheetData>
  <mergeCells count="22">
    <mergeCell ref="H5:I7"/>
    <mergeCell ref="H9:I21"/>
    <mergeCell ref="B23:F23"/>
    <mergeCell ref="C18:C19"/>
    <mergeCell ref="D18:D19"/>
    <mergeCell ref="C20:C21"/>
    <mergeCell ref="D20:D21"/>
    <mergeCell ref="C14:C15"/>
    <mergeCell ref="D14:D15"/>
    <mergeCell ref="C16:C17"/>
    <mergeCell ref="D16:D17"/>
    <mergeCell ref="C10:C11"/>
    <mergeCell ref="D10:D11"/>
    <mergeCell ref="C12:C13"/>
    <mergeCell ref="D12:D13"/>
    <mergeCell ref="E1:F1"/>
    <mergeCell ref="B3:F3"/>
    <mergeCell ref="B5:B7"/>
    <mergeCell ref="C5:C7"/>
    <mergeCell ref="D5:D7"/>
    <mergeCell ref="E5:E7"/>
    <mergeCell ref="F5:F7"/>
  </mergeCells>
  <pageMargins left="0.26" right="0.24" top="0.28999999999999998" bottom="0.17" header="0.16" footer="0.3"/>
  <pageSetup paperSize="9" scale="8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C7CF-A4FD-4B09-818F-8064AF1A6A47}">
  <sheetPr>
    <tabColor theme="7" tint="0.79998168889431442"/>
  </sheetPr>
  <dimension ref="A1:Z55"/>
  <sheetViews>
    <sheetView view="pageBreakPreview" zoomScale="70" zoomScaleNormal="100" zoomScaleSheetLayoutView="70" workbookViewId="0">
      <selection activeCell="A2" sqref="A2"/>
    </sheetView>
  </sheetViews>
  <sheetFormatPr defaultColWidth="9.140625" defaultRowHeight="12.75" x14ac:dyDescent="0.2"/>
  <cols>
    <col min="1" max="1" width="5.28515625" style="115" customWidth="1"/>
    <col min="2" max="2" width="65" style="72" customWidth="1"/>
    <col min="3" max="3" width="19.5703125" style="72" customWidth="1"/>
    <col min="4" max="4" width="10.42578125" style="72" customWidth="1"/>
    <col min="5" max="16" width="11.5703125" style="72" customWidth="1"/>
    <col min="17" max="17" width="21.85546875" style="72" customWidth="1"/>
    <col min="18" max="18" width="1.85546875" style="72" customWidth="1"/>
    <col min="19" max="25" width="6.5703125" style="72" customWidth="1"/>
    <col min="26" max="16384" width="9.140625" style="72"/>
  </cols>
  <sheetData>
    <row r="1" spans="1:26" s="100" customFormat="1" x14ac:dyDescent="0.2">
      <c r="A1" s="99"/>
      <c r="B1" s="2" t="s">
        <v>0</v>
      </c>
      <c r="C1" s="4"/>
      <c r="F1" s="3"/>
      <c r="G1" s="73"/>
      <c r="H1" s="73"/>
      <c r="I1" s="73"/>
      <c r="J1" s="73"/>
      <c r="K1" s="73"/>
      <c r="L1" s="73"/>
      <c r="M1" s="73"/>
      <c r="N1" s="73"/>
      <c r="O1" s="73"/>
      <c r="P1" s="73"/>
      <c r="Q1" s="73" t="s">
        <v>234</v>
      </c>
      <c r="R1" s="101"/>
      <c r="S1" s="101"/>
      <c r="T1" s="101"/>
      <c r="U1" s="101"/>
      <c r="V1" s="101"/>
      <c r="W1" s="101"/>
      <c r="X1" s="101"/>
      <c r="Y1" s="101"/>
      <c r="Z1" s="101"/>
    </row>
    <row r="2" spans="1:26" x14ac:dyDescent="0.2">
      <c r="A2" s="99"/>
      <c r="B2" s="73"/>
      <c r="C2" s="73"/>
      <c r="D2" s="2"/>
      <c r="E2" s="3"/>
      <c r="F2" s="3"/>
      <c r="G2" s="73"/>
      <c r="H2" s="73"/>
      <c r="I2" s="73"/>
      <c r="J2" s="73"/>
      <c r="K2" s="73"/>
      <c r="L2" s="73"/>
      <c r="M2" s="242"/>
      <c r="N2" s="243"/>
      <c r="O2" s="243"/>
      <c r="P2" s="243"/>
      <c r="Q2" s="243"/>
    </row>
    <row r="3" spans="1:26" x14ac:dyDescent="0.2">
      <c r="A3" s="99"/>
      <c r="B3" s="73"/>
      <c r="C3" s="73"/>
      <c r="D3" s="2"/>
      <c r="E3" s="3"/>
      <c r="F3" s="3"/>
      <c r="G3" s="73"/>
      <c r="H3" s="73"/>
      <c r="I3" s="73"/>
      <c r="J3" s="73"/>
      <c r="K3" s="73"/>
      <c r="L3" s="73"/>
      <c r="M3" s="242" t="s">
        <v>235</v>
      </c>
      <c r="N3" s="243"/>
      <c r="O3" s="243"/>
      <c r="P3" s="243"/>
      <c r="Q3" s="243"/>
    </row>
    <row r="4" spans="1:26" x14ac:dyDescent="0.2">
      <c r="A4" s="99"/>
      <c r="B4" s="73"/>
      <c r="C4" s="73"/>
      <c r="D4" s="2"/>
      <c r="E4" s="3"/>
      <c r="F4" s="3"/>
      <c r="G4" s="73"/>
      <c r="H4" s="73"/>
      <c r="I4" s="73"/>
      <c r="J4" s="73"/>
      <c r="K4" s="73"/>
      <c r="L4" s="73"/>
      <c r="M4" s="242" t="s">
        <v>236</v>
      </c>
      <c r="N4" s="242"/>
      <c r="O4" s="242"/>
      <c r="P4" s="242"/>
      <c r="Q4" s="242"/>
    </row>
    <row r="5" spans="1:26" ht="45.6" customHeight="1" x14ac:dyDescent="0.2">
      <c r="A5" s="99"/>
      <c r="B5" s="172" t="s">
        <v>237</v>
      </c>
      <c r="C5" s="172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</row>
    <row r="6" spans="1:26" x14ac:dyDescent="0.2">
      <c r="A6" s="99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</row>
    <row r="7" spans="1:26" x14ac:dyDescent="0.2">
      <c r="A7" s="99"/>
      <c r="B7" s="245" t="s">
        <v>238</v>
      </c>
      <c r="C7" s="245" t="s">
        <v>239</v>
      </c>
      <c r="D7" s="240" t="s">
        <v>217</v>
      </c>
      <c r="E7" s="240" t="s">
        <v>240</v>
      </c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S7" s="240" t="s">
        <v>52</v>
      </c>
      <c r="T7" s="240"/>
    </row>
    <row r="8" spans="1:26" ht="102" x14ac:dyDescent="0.2">
      <c r="A8" s="99"/>
      <c r="B8" s="246"/>
      <c r="C8" s="246"/>
      <c r="D8" s="240"/>
      <c r="E8" s="103" t="s">
        <v>241</v>
      </c>
      <c r="F8" s="103" t="s">
        <v>242</v>
      </c>
      <c r="G8" s="103" t="s">
        <v>243</v>
      </c>
      <c r="H8" s="103" t="s">
        <v>244</v>
      </c>
      <c r="I8" s="103" t="s">
        <v>245</v>
      </c>
      <c r="J8" s="103" t="s">
        <v>246</v>
      </c>
      <c r="K8" s="103" t="s">
        <v>247</v>
      </c>
      <c r="L8" s="103" t="s">
        <v>248</v>
      </c>
      <c r="M8" s="103" t="s">
        <v>249</v>
      </c>
      <c r="N8" s="103" t="s">
        <v>250</v>
      </c>
      <c r="O8" s="103" t="s">
        <v>251</v>
      </c>
      <c r="P8" s="103" t="s">
        <v>252</v>
      </c>
      <c r="Q8" s="103" t="s">
        <v>253</v>
      </c>
      <c r="S8" s="240"/>
      <c r="T8" s="240"/>
    </row>
    <row r="9" spans="1:26" s="105" customFormat="1" x14ac:dyDescent="0.2">
      <c r="A9" s="99"/>
      <c r="B9" s="104">
        <v>1</v>
      </c>
      <c r="C9" s="104">
        <f t="shared" ref="C9:Q9" si="0">B9+1</f>
        <v>2</v>
      </c>
      <c r="D9" s="104">
        <f t="shared" si="0"/>
        <v>3</v>
      </c>
      <c r="E9" s="104">
        <f t="shared" si="0"/>
        <v>4</v>
      </c>
      <c r="F9" s="104">
        <f t="shared" si="0"/>
        <v>5</v>
      </c>
      <c r="G9" s="104">
        <f t="shared" si="0"/>
        <v>6</v>
      </c>
      <c r="H9" s="104">
        <f t="shared" si="0"/>
        <v>7</v>
      </c>
      <c r="I9" s="104">
        <f t="shared" si="0"/>
        <v>8</v>
      </c>
      <c r="J9" s="104">
        <f t="shared" si="0"/>
        <v>9</v>
      </c>
      <c r="K9" s="104">
        <f t="shared" si="0"/>
        <v>10</v>
      </c>
      <c r="L9" s="104">
        <f t="shared" si="0"/>
        <v>11</v>
      </c>
      <c r="M9" s="104">
        <f t="shared" si="0"/>
        <v>12</v>
      </c>
      <c r="N9" s="104">
        <f t="shared" si="0"/>
        <v>13</v>
      </c>
      <c r="O9" s="104">
        <f t="shared" si="0"/>
        <v>14</v>
      </c>
      <c r="P9" s="104">
        <f t="shared" si="0"/>
        <v>15</v>
      </c>
      <c r="Q9" s="104">
        <f t="shared" si="0"/>
        <v>16</v>
      </c>
      <c r="S9" s="240"/>
      <c r="T9" s="240"/>
    </row>
    <row r="10" spans="1:26" s="109" customFormat="1" ht="18" customHeight="1" x14ac:dyDescent="0.2">
      <c r="A10" s="106"/>
      <c r="B10" s="107" t="s">
        <v>254</v>
      </c>
      <c r="C10" s="104" t="s">
        <v>3</v>
      </c>
      <c r="D10" s="108" t="s">
        <v>2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S10" s="128"/>
      <c r="T10" s="128"/>
    </row>
    <row r="11" spans="1:26" s="109" customFormat="1" ht="29.25" customHeight="1" x14ac:dyDescent="0.2">
      <c r="A11" s="106"/>
      <c r="B11" s="110" t="s">
        <v>255</v>
      </c>
      <c r="C11" s="103" t="s">
        <v>3</v>
      </c>
      <c r="D11" s="108" t="s">
        <v>8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S11" s="250" t="s">
        <v>296</v>
      </c>
      <c r="T11" s="251"/>
    </row>
    <row r="12" spans="1:26" s="109" customFormat="1" ht="14.25" customHeight="1" x14ac:dyDescent="0.2">
      <c r="A12" s="106"/>
      <c r="B12" s="107" t="s">
        <v>256</v>
      </c>
      <c r="C12" s="103" t="s">
        <v>3</v>
      </c>
      <c r="D12" s="83" t="s">
        <v>9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S12" s="252"/>
      <c r="T12" s="253"/>
    </row>
    <row r="13" spans="1:26" s="109" customFormat="1" ht="14.25" customHeight="1" x14ac:dyDescent="0.2">
      <c r="A13" s="106"/>
      <c r="B13" s="107" t="s">
        <v>257</v>
      </c>
      <c r="C13" s="103" t="s">
        <v>3</v>
      </c>
      <c r="D13" s="83" t="s">
        <v>28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S13" s="252"/>
      <c r="T13" s="253"/>
    </row>
    <row r="14" spans="1:26" s="111" customFormat="1" ht="14.25" customHeight="1" x14ac:dyDescent="0.2">
      <c r="A14" s="106"/>
      <c r="B14" s="110" t="s">
        <v>258</v>
      </c>
      <c r="C14" s="103"/>
      <c r="D14" s="108" t="s">
        <v>29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S14" s="252"/>
      <c r="T14" s="253"/>
    </row>
    <row r="15" spans="1:26" s="109" customFormat="1" ht="14.25" customHeight="1" x14ac:dyDescent="0.2">
      <c r="A15" s="106"/>
      <c r="B15" s="107" t="s">
        <v>256</v>
      </c>
      <c r="C15" s="103" t="s">
        <v>3</v>
      </c>
      <c r="D15" s="83" t="s">
        <v>30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S15" s="252"/>
      <c r="T15" s="253"/>
    </row>
    <row r="16" spans="1:26" s="109" customFormat="1" ht="14.25" customHeight="1" x14ac:dyDescent="0.2">
      <c r="A16" s="106"/>
      <c r="B16" s="107" t="s">
        <v>257</v>
      </c>
      <c r="C16" s="103" t="s">
        <v>3</v>
      </c>
      <c r="D16" s="83" t="s">
        <v>31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S16" s="252"/>
      <c r="T16" s="253"/>
    </row>
    <row r="17" spans="1:20" s="111" customFormat="1" ht="14.25" customHeight="1" x14ac:dyDescent="0.2">
      <c r="A17" s="106"/>
      <c r="B17" s="110" t="s">
        <v>259</v>
      </c>
      <c r="C17" s="103"/>
      <c r="D17" s="108" t="s">
        <v>32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S17" s="252"/>
      <c r="T17" s="253"/>
    </row>
    <row r="18" spans="1:20" s="109" customFormat="1" ht="14.25" customHeight="1" x14ac:dyDescent="0.2">
      <c r="A18" s="106"/>
      <c r="B18" s="107" t="s">
        <v>256</v>
      </c>
      <c r="C18" s="103" t="s">
        <v>3</v>
      </c>
      <c r="D18" s="83" t="s">
        <v>33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S18" s="252"/>
      <c r="T18" s="253"/>
    </row>
    <row r="19" spans="1:20" s="109" customFormat="1" ht="14.25" customHeight="1" x14ac:dyDescent="0.2">
      <c r="A19" s="106"/>
      <c r="B19" s="107" t="s">
        <v>257</v>
      </c>
      <c r="C19" s="103" t="s">
        <v>3</v>
      </c>
      <c r="D19" s="83" t="s">
        <v>34</v>
      </c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S19" s="252"/>
      <c r="T19" s="253"/>
    </row>
    <row r="20" spans="1:20" s="111" customFormat="1" ht="14.25" customHeight="1" x14ac:dyDescent="0.2">
      <c r="A20" s="106"/>
      <c r="B20" s="110" t="s">
        <v>260</v>
      </c>
      <c r="C20" s="103"/>
      <c r="D20" s="108" t="s">
        <v>35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S20" s="252"/>
      <c r="T20" s="253"/>
    </row>
    <row r="21" spans="1:20" s="109" customFormat="1" ht="14.25" customHeight="1" x14ac:dyDescent="0.2">
      <c r="A21" s="106"/>
      <c r="B21" s="107" t="s">
        <v>256</v>
      </c>
      <c r="C21" s="103" t="s">
        <v>3</v>
      </c>
      <c r="D21" s="83" t="s">
        <v>36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S21" s="252"/>
      <c r="T21" s="253"/>
    </row>
    <row r="22" spans="1:20" s="109" customFormat="1" ht="14.25" customHeight="1" x14ac:dyDescent="0.2">
      <c r="A22" s="106"/>
      <c r="B22" s="107" t="s">
        <v>257</v>
      </c>
      <c r="C22" s="103" t="s">
        <v>3</v>
      </c>
      <c r="D22" s="83" t="s">
        <v>37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S22" s="252"/>
      <c r="T22" s="253"/>
    </row>
    <row r="23" spans="1:20" s="111" customFormat="1" ht="14.25" customHeight="1" x14ac:dyDescent="0.2">
      <c r="A23" s="106"/>
      <c r="B23" s="110" t="s">
        <v>261</v>
      </c>
      <c r="C23" s="103"/>
      <c r="D23" s="108" t="s">
        <v>38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S23" s="252"/>
      <c r="T23" s="253"/>
    </row>
    <row r="24" spans="1:20" s="109" customFormat="1" ht="14.25" customHeight="1" x14ac:dyDescent="0.2">
      <c r="A24" s="106"/>
      <c r="B24" s="107" t="s">
        <v>256</v>
      </c>
      <c r="C24" s="103" t="s">
        <v>3</v>
      </c>
      <c r="D24" s="83" t="s">
        <v>39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S24" s="252"/>
      <c r="T24" s="253"/>
    </row>
    <row r="25" spans="1:20" s="109" customFormat="1" ht="14.25" customHeight="1" x14ac:dyDescent="0.2">
      <c r="A25" s="106"/>
      <c r="B25" s="107" t="s">
        <v>257</v>
      </c>
      <c r="C25" s="103" t="s">
        <v>3</v>
      </c>
      <c r="D25" s="83" t="s">
        <v>40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S25" s="252"/>
      <c r="T25" s="253"/>
    </row>
    <row r="26" spans="1:20" s="111" customFormat="1" ht="14.25" customHeight="1" x14ac:dyDescent="0.2">
      <c r="A26" s="106"/>
      <c r="B26" s="110" t="s">
        <v>262</v>
      </c>
      <c r="C26" s="103"/>
      <c r="D26" s="108" t="s">
        <v>41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S26" s="252"/>
      <c r="T26" s="253"/>
    </row>
    <row r="27" spans="1:20" s="109" customFormat="1" ht="14.25" customHeight="1" x14ac:dyDescent="0.2">
      <c r="A27" s="106"/>
      <c r="B27" s="107" t="s">
        <v>256</v>
      </c>
      <c r="C27" s="103" t="s">
        <v>3</v>
      </c>
      <c r="D27" s="83" t="s">
        <v>42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S27" s="252"/>
      <c r="T27" s="253"/>
    </row>
    <row r="28" spans="1:20" s="109" customFormat="1" ht="14.25" customHeight="1" x14ac:dyDescent="0.2">
      <c r="A28" s="106"/>
      <c r="B28" s="107" t="s">
        <v>257</v>
      </c>
      <c r="C28" s="103" t="s">
        <v>3</v>
      </c>
      <c r="D28" s="83" t="s">
        <v>43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S28" s="252"/>
      <c r="T28" s="253"/>
    </row>
    <row r="29" spans="1:20" s="111" customFormat="1" ht="14.25" customHeight="1" x14ac:dyDescent="0.2">
      <c r="A29" s="106"/>
      <c r="B29" s="110" t="s">
        <v>263</v>
      </c>
      <c r="C29" s="103"/>
      <c r="D29" s="108" t="s">
        <v>44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S29" s="252"/>
      <c r="T29" s="253"/>
    </row>
    <row r="30" spans="1:20" s="109" customFormat="1" ht="14.25" customHeight="1" x14ac:dyDescent="0.2">
      <c r="A30" s="106"/>
      <c r="B30" s="107" t="s">
        <v>256</v>
      </c>
      <c r="C30" s="103" t="s">
        <v>3</v>
      </c>
      <c r="D30" s="83" t="s">
        <v>45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S30" s="252"/>
      <c r="T30" s="253"/>
    </row>
    <row r="31" spans="1:20" s="109" customFormat="1" ht="14.25" customHeight="1" x14ac:dyDescent="0.2">
      <c r="A31" s="106"/>
      <c r="B31" s="107" t="s">
        <v>257</v>
      </c>
      <c r="C31" s="103" t="s">
        <v>3</v>
      </c>
      <c r="D31" s="83" t="s">
        <v>264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S31" s="252"/>
      <c r="T31" s="253"/>
    </row>
    <row r="32" spans="1:20" s="111" customFormat="1" ht="14.25" customHeight="1" x14ac:dyDescent="0.2">
      <c r="A32" s="106"/>
      <c r="B32" s="110" t="s">
        <v>265</v>
      </c>
      <c r="C32" s="103"/>
      <c r="D32" s="108" t="s">
        <v>266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S32" s="252"/>
      <c r="T32" s="253"/>
    </row>
    <row r="33" spans="1:20" s="109" customFormat="1" ht="14.25" customHeight="1" x14ac:dyDescent="0.2">
      <c r="A33" s="106"/>
      <c r="B33" s="107" t="s">
        <v>256</v>
      </c>
      <c r="C33" s="103" t="s">
        <v>3</v>
      </c>
      <c r="D33" s="83" t="s">
        <v>267</v>
      </c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S33" s="252"/>
      <c r="T33" s="253"/>
    </row>
    <row r="34" spans="1:20" s="109" customFormat="1" ht="14.25" customHeight="1" x14ac:dyDescent="0.2">
      <c r="A34" s="106"/>
      <c r="B34" s="107" t="s">
        <v>257</v>
      </c>
      <c r="C34" s="103" t="s">
        <v>3</v>
      </c>
      <c r="D34" s="83" t="s">
        <v>268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S34" s="252"/>
      <c r="T34" s="253"/>
    </row>
    <row r="35" spans="1:20" s="111" customFormat="1" ht="14.25" customHeight="1" x14ac:dyDescent="0.2">
      <c r="A35" s="106"/>
      <c r="B35" s="110" t="s">
        <v>269</v>
      </c>
      <c r="C35" s="103"/>
      <c r="D35" s="108" t="s">
        <v>270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S35" s="252"/>
      <c r="T35" s="253"/>
    </row>
    <row r="36" spans="1:20" s="109" customFormat="1" ht="14.25" customHeight="1" x14ac:dyDescent="0.2">
      <c r="A36" s="106"/>
      <c r="B36" s="107" t="s">
        <v>256</v>
      </c>
      <c r="C36" s="103" t="s">
        <v>3</v>
      </c>
      <c r="D36" s="83" t="s">
        <v>271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S36" s="252"/>
      <c r="T36" s="253"/>
    </row>
    <row r="37" spans="1:20" s="109" customFormat="1" ht="14.25" customHeight="1" x14ac:dyDescent="0.2">
      <c r="A37" s="106"/>
      <c r="B37" s="107" t="s">
        <v>257</v>
      </c>
      <c r="C37" s="103" t="s">
        <v>3</v>
      </c>
      <c r="D37" s="83" t="s">
        <v>272</v>
      </c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S37" s="252"/>
      <c r="T37" s="253"/>
    </row>
    <row r="38" spans="1:20" s="111" customFormat="1" ht="14.25" customHeight="1" x14ac:dyDescent="0.2">
      <c r="A38" s="106"/>
      <c r="B38" s="110" t="s">
        <v>273</v>
      </c>
      <c r="C38" s="103"/>
      <c r="D38" s="108" t="s">
        <v>274</v>
      </c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S38" s="252"/>
      <c r="T38" s="253"/>
    </row>
    <row r="39" spans="1:20" s="109" customFormat="1" ht="14.25" customHeight="1" x14ac:dyDescent="0.2">
      <c r="A39" s="106"/>
      <c r="B39" s="107" t="s">
        <v>256</v>
      </c>
      <c r="C39" s="103" t="s">
        <v>3</v>
      </c>
      <c r="D39" s="83" t="s">
        <v>275</v>
      </c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S39" s="252"/>
      <c r="T39" s="253"/>
    </row>
    <row r="40" spans="1:20" s="109" customFormat="1" ht="14.25" customHeight="1" x14ac:dyDescent="0.2">
      <c r="A40" s="106"/>
      <c r="B40" s="107" t="s">
        <v>257</v>
      </c>
      <c r="C40" s="103" t="s">
        <v>3</v>
      </c>
      <c r="D40" s="83" t="s">
        <v>276</v>
      </c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S40" s="252"/>
      <c r="T40" s="253"/>
    </row>
    <row r="41" spans="1:20" s="111" customFormat="1" ht="18" customHeight="1" x14ac:dyDescent="0.2">
      <c r="A41" s="106"/>
      <c r="B41" s="110" t="s">
        <v>277</v>
      </c>
      <c r="C41" s="103"/>
      <c r="D41" s="108" t="s">
        <v>278</v>
      </c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S41" s="252"/>
      <c r="T41" s="253"/>
    </row>
    <row r="42" spans="1:20" ht="38.25" customHeight="1" x14ac:dyDescent="0.2">
      <c r="A42" s="99"/>
      <c r="B42" s="107" t="s">
        <v>279</v>
      </c>
      <c r="C42" s="103" t="s">
        <v>3</v>
      </c>
      <c r="D42" s="108" t="s">
        <v>10</v>
      </c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S42" s="252"/>
      <c r="T42" s="253"/>
    </row>
    <row r="43" spans="1:20" x14ac:dyDescent="0.2">
      <c r="A43" s="99"/>
      <c r="B43" s="107" t="s">
        <v>280</v>
      </c>
      <c r="C43" s="103" t="s">
        <v>3</v>
      </c>
      <c r="D43" s="83" t="s">
        <v>46</v>
      </c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S43" s="252"/>
      <c r="T43" s="253"/>
    </row>
    <row r="44" spans="1:20" x14ac:dyDescent="0.2">
      <c r="A44" s="99"/>
      <c r="B44" s="107" t="s">
        <v>281</v>
      </c>
      <c r="C44" s="103" t="s">
        <v>3</v>
      </c>
      <c r="D44" s="83" t="s">
        <v>47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S44" s="252"/>
      <c r="T44" s="253"/>
    </row>
    <row r="45" spans="1:20" x14ac:dyDescent="0.2">
      <c r="A45" s="112"/>
      <c r="B45" s="107" t="s">
        <v>282</v>
      </c>
      <c r="C45" s="103" t="s">
        <v>3</v>
      </c>
      <c r="D45" s="83" t="s">
        <v>48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S45" s="252"/>
      <c r="T45" s="253"/>
    </row>
    <row r="46" spans="1:20" ht="38.25" x14ac:dyDescent="0.2">
      <c r="A46" s="112"/>
      <c r="B46" s="107" t="s">
        <v>283</v>
      </c>
      <c r="C46" s="103" t="s">
        <v>3</v>
      </c>
      <c r="D46" s="83" t="s">
        <v>11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S46" s="252"/>
      <c r="T46" s="253"/>
    </row>
    <row r="47" spans="1:20" ht="51" x14ac:dyDescent="0.2">
      <c r="A47" s="112"/>
      <c r="B47" s="107" t="s">
        <v>284</v>
      </c>
      <c r="C47" s="103" t="s">
        <v>3</v>
      </c>
      <c r="D47" s="83" t="s">
        <v>12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S47" s="252"/>
      <c r="T47" s="253"/>
    </row>
    <row r="48" spans="1:20" ht="32.25" customHeight="1" x14ac:dyDescent="0.2">
      <c r="A48" s="112"/>
      <c r="B48" s="107" t="s">
        <v>285</v>
      </c>
      <c r="C48" s="103" t="s">
        <v>3</v>
      </c>
      <c r="D48" s="83" t="s">
        <v>13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S48" s="254"/>
      <c r="T48" s="255"/>
    </row>
    <row r="49" spans="1:17" ht="67.900000000000006" customHeight="1" x14ac:dyDescent="0.2">
      <c r="A49" s="99"/>
      <c r="B49" s="247" t="s">
        <v>286</v>
      </c>
      <c r="C49" s="247"/>
      <c r="D49" s="247"/>
      <c r="E49" s="247"/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</row>
    <row r="50" spans="1:17" x14ac:dyDescent="0.2">
      <c r="A50" s="99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1:17" x14ac:dyDescent="0.2">
      <c r="A51" s="99"/>
      <c r="B51" s="73" t="s">
        <v>4</v>
      </c>
      <c r="C51" s="73"/>
      <c r="D51" s="73"/>
      <c r="E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</row>
    <row r="52" spans="1:17" x14ac:dyDescent="0.2">
      <c r="A52" s="99"/>
      <c r="B52" s="248"/>
      <c r="C52" s="248"/>
      <c r="D52" s="113"/>
      <c r="E52" s="3"/>
      <c r="G52" s="114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">
      <c r="B53" s="73" t="s">
        <v>5</v>
      </c>
      <c r="C53" s="73"/>
      <c r="D53" s="116" t="s">
        <v>287</v>
      </c>
      <c r="E53" s="7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">
      <c r="B54" s="248"/>
      <c r="C54" s="248"/>
      <c r="D54" s="3"/>
      <c r="E54" s="3"/>
      <c r="F54" s="249"/>
      <c r="G54" s="249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">
      <c r="B55" s="3"/>
      <c r="C55" s="3"/>
      <c r="D55" s="116" t="s">
        <v>287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</sheetData>
  <mergeCells count="14">
    <mergeCell ref="B49:Q49"/>
    <mergeCell ref="B52:C52"/>
    <mergeCell ref="B54:C54"/>
    <mergeCell ref="F54:G54"/>
    <mergeCell ref="S7:T9"/>
    <mergeCell ref="S11:T48"/>
    <mergeCell ref="M2:Q2"/>
    <mergeCell ref="M3:Q3"/>
    <mergeCell ref="M4:Q4"/>
    <mergeCell ref="B5:Q5"/>
    <mergeCell ref="B7:B8"/>
    <mergeCell ref="C7:C8"/>
    <mergeCell ref="D7:D8"/>
    <mergeCell ref="E7:Q7"/>
  </mergeCells>
  <pageMargins left="0.21" right="0.17" top="0.28999999999999998" bottom="0.17" header="0.3" footer="0.17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578C-2A3B-4006-B58D-B31CD18A6287}">
  <sheetPr>
    <tabColor theme="7" tint="0.79998168889431442"/>
  </sheetPr>
  <dimension ref="B1:S46"/>
  <sheetViews>
    <sheetView view="pageBreakPreview" zoomScale="60" zoomScaleNormal="100" workbookViewId="0">
      <selection activeCell="A2" sqref="A2"/>
    </sheetView>
  </sheetViews>
  <sheetFormatPr defaultColWidth="9.140625" defaultRowHeight="12.75" x14ac:dyDescent="0.2"/>
  <cols>
    <col min="1" max="1" width="1.7109375" style="72" customWidth="1"/>
    <col min="2" max="2" width="25" style="3" bestFit="1" customWidth="1"/>
    <col min="3" max="4" width="15.7109375" style="3" customWidth="1"/>
    <col min="5" max="16" width="6.28515625" style="3" customWidth="1"/>
    <col min="17" max="17" width="0.7109375" style="72" customWidth="1"/>
    <col min="18" max="18" width="11.140625" style="72" bestFit="1" customWidth="1"/>
    <col min="19" max="16384" width="9.140625" style="72"/>
  </cols>
  <sheetData>
    <row r="1" spans="2:19" x14ac:dyDescent="0.2">
      <c r="B1" s="2" t="s">
        <v>0</v>
      </c>
      <c r="C1" s="4"/>
      <c r="D1" s="102"/>
      <c r="L1" s="256" t="s">
        <v>288</v>
      </c>
      <c r="M1" s="257"/>
      <c r="N1" s="257"/>
      <c r="O1" s="257"/>
      <c r="P1" s="257"/>
    </row>
    <row r="2" spans="2:19" ht="14.45" customHeight="1" x14ac:dyDescent="0.2">
      <c r="C2" s="11"/>
      <c r="D2" s="102"/>
      <c r="L2" s="117"/>
      <c r="M2" s="257" t="s">
        <v>289</v>
      </c>
      <c r="N2" s="257"/>
      <c r="O2" s="257"/>
      <c r="P2" s="257"/>
    </row>
    <row r="3" spans="2:19" ht="33.6" customHeight="1" x14ac:dyDescent="0.2">
      <c r="B3" s="172" t="s">
        <v>290</v>
      </c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</row>
    <row r="4" spans="2:19" x14ac:dyDescent="0.2">
      <c r="B4" s="118"/>
      <c r="C4" s="118"/>
      <c r="D4" s="118"/>
    </row>
    <row r="5" spans="2:19" ht="31.5" customHeight="1" x14ac:dyDescent="0.2">
      <c r="B5" s="240" t="s">
        <v>291</v>
      </c>
      <c r="C5" s="240" t="s">
        <v>292</v>
      </c>
      <c r="D5" s="240" t="s">
        <v>293</v>
      </c>
      <c r="E5" s="240" t="s">
        <v>294</v>
      </c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R5" s="210" t="s">
        <v>52</v>
      </c>
      <c r="S5" s="211"/>
    </row>
    <row r="6" spans="2:19" ht="103.15" customHeight="1" x14ac:dyDescent="0.2">
      <c r="B6" s="240"/>
      <c r="C6" s="240"/>
      <c r="D6" s="240"/>
      <c r="E6" s="119" t="s">
        <v>241</v>
      </c>
      <c r="F6" s="119" t="s">
        <v>242</v>
      </c>
      <c r="G6" s="119" t="s">
        <v>243</v>
      </c>
      <c r="H6" s="119" t="s">
        <v>244</v>
      </c>
      <c r="I6" s="119" t="s">
        <v>245</v>
      </c>
      <c r="J6" s="119" t="s">
        <v>246</v>
      </c>
      <c r="K6" s="119" t="s">
        <v>247</v>
      </c>
      <c r="L6" s="119" t="s">
        <v>248</v>
      </c>
      <c r="M6" s="119" t="s">
        <v>249</v>
      </c>
      <c r="N6" s="119" t="s">
        <v>250</v>
      </c>
      <c r="O6" s="119" t="s">
        <v>251</v>
      </c>
      <c r="P6" s="119" t="s">
        <v>252</v>
      </c>
      <c r="R6" s="213"/>
      <c r="S6" s="214"/>
    </row>
    <row r="7" spans="2:19" x14ac:dyDescent="0.2">
      <c r="B7" s="103">
        <v>1</v>
      </c>
      <c r="C7" s="103">
        <f t="shared" ref="C7:P7" si="0">B7+1</f>
        <v>2</v>
      </c>
      <c r="D7" s="103">
        <f t="shared" si="0"/>
        <v>3</v>
      </c>
      <c r="E7" s="103">
        <f t="shared" si="0"/>
        <v>4</v>
      </c>
      <c r="F7" s="103">
        <f t="shared" si="0"/>
        <v>5</v>
      </c>
      <c r="G7" s="103">
        <f t="shared" si="0"/>
        <v>6</v>
      </c>
      <c r="H7" s="103">
        <f t="shared" si="0"/>
        <v>7</v>
      </c>
      <c r="I7" s="103">
        <f t="shared" si="0"/>
        <v>8</v>
      </c>
      <c r="J7" s="103">
        <f t="shared" si="0"/>
        <v>9</v>
      </c>
      <c r="K7" s="103">
        <f t="shared" si="0"/>
        <v>10</v>
      </c>
      <c r="L7" s="103">
        <f t="shared" si="0"/>
        <v>11</v>
      </c>
      <c r="M7" s="103">
        <f t="shared" si="0"/>
        <v>12</v>
      </c>
      <c r="N7" s="103">
        <f t="shared" si="0"/>
        <v>13</v>
      </c>
      <c r="O7" s="103">
        <f t="shared" si="0"/>
        <v>14</v>
      </c>
      <c r="P7" s="103">
        <f t="shared" si="0"/>
        <v>15</v>
      </c>
      <c r="R7" s="128"/>
      <c r="S7" s="128"/>
    </row>
    <row r="8" spans="2:19" ht="18.75" customHeight="1" x14ac:dyDescent="0.2"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R8" s="250" t="s">
        <v>296</v>
      </c>
      <c r="S8" s="251"/>
    </row>
    <row r="9" spans="2:19" ht="18.75" customHeight="1" x14ac:dyDescent="0.2"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R9" s="252"/>
      <c r="S9" s="253"/>
    </row>
    <row r="10" spans="2:19" ht="18.75" customHeight="1" x14ac:dyDescent="0.2"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R10" s="252"/>
      <c r="S10" s="253"/>
    </row>
    <row r="11" spans="2:19" ht="18.75" customHeight="1" x14ac:dyDescent="0.2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R11" s="252"/>
      <c r="S11" s="253"/>
    </row>
    <row r="12" spans="2:19" ht="18.75" customHeight="1" x14ac:dyDescent="0.2"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R12" s="252"/>
      <c r="S12" s="253"/>
    </row>
    <row r="13" spans="2:19" ht="18.75" customHeight="1" x14ac:dyDescent="0.2">
      <c r="B13" s="103" t="s">
        <v>50</v>
      </c>
      <c r="C13" s="104" t="s">
        <v>3</v>
      </c>
      <c r="D13" s="104" t="s">
        <v>3</v>
      </c>
      <c r="E13" s="55">
        <f t="shared" ref="E13:P13" si="1">SUM(E8:E12)</f>
        <v>0</v>
      </c>
      <c r="F13" s="55">
        <f t="shared" si="1"/>
        <v>0</v>
      </c>
      <c r="G13" s="55">
        <f t="shared" si="1"/>
        <v>0</v>
      </c>
      <c r="H13" s="55">
        <f t="shared" si="1"/>
        <v>0</v>
      </c>
      <c r="I13" s="55">
        <f t="shared" si="1"/>
        <v>0</v>
      </c>
      <c r="J13" s="55">
        <f t="shared" si="1"/>
        <v>0</v>
      </c>
      <c r="K13" s="55">
        <f t="shared" si="1"/>
        <v>0</v>
      </c>
      <c r="L13" s="55">
        <f t="shared" si="1"/>
        <v>0</v>
      </c>
      <c r="M13" s="55">
        <f t="shared" si="1"/>
        <v>0</v>
      </c>
      <c r="N13" s="55">
        <f t="shared" si="1"/>
        <v>0</v>
      </c>
      <c r="O13" s="55">
        <f t="shared" si="1"/>
        <v>0</v>
      </c>
      <c r="P13" s="55">
        <f t="shared" si="1"/>
        <v>0</v>
      </c>
      <c r="R13" s="254"/>
      <c r="S13" s="255"/>
    </row>
    <row r="14" spans="2:19" x14ac:dyDescent="0.2">
      <c r="B14" s="120"/>
      <c r="C14" s="120"/>
      <c r="D14" s="120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R14" s="129"/>
      <c r="S14" s="129"/>
    </row>
    <row r="15" spans="2:19" ht="53.25" customHeight="1" x14ac:dyDescent="0.2">
      <c r="B15" s="247" t="s">
        <v>295</v>
      </c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R15" s="130"/>
      <c r="S15" s="130"/>
    </row>
    <row r="16" spans="2:19" x14ac:dyDescent="0.2"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R16" s="130"/>
      <c r="S16" s="130"/>
    </row>
    <row r="17" spans="2:19" x14ac:dyDescent="0.2">
      <c r="B17" s="73" t="s">
        <v>4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R17" s="130"/>
      <c r="S17" s="130"/>
    </row>
    <row r="18" spans="2:19" x14ac:dyDescent="0.2">
      <c r="B18" s="248"/>
      <c r="C18" s="248"/>
      <c r="D18" s="72"/>
      <c r="E18" s="72"/>
      <c r="R18" s="130"/>
      <c r="S18" s="130"/>
    </row>
    <row r="19" spans="2:19" x14ac:dyDescent="0.2">
      <c r="B19" s="123"/>
      <c r="C19" s="123"/>
      <c r="E19" s="123"/>
      <c r="F19" s="72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R19" s="130"/>
      <c r="S19" s="130"/>
    </row>
    <row r="20" spans="2:19" x14ac:dyDescent="0.2">
      <c r="B20" s="73" t="s">
        <v>5</v>
      </c>
      <c r="C20" s="73"/>
      <c r="D20" s="259"/>
      <c r="E20" s="259"/>
      <c r="F20" s="259"/>
      <c r="R20" s="130"/>
      <c r="S20" s="130"/>
    </row>
    <row r="21" spans="2:19" x14ac:dyDescent="0.2">
      <c r="B21" s="248"/>
      <c r="C21" s="248"/>
      <c r="D21" s="72"/>
      <c r="R21" s="130"/>
      <c r="S21" s="130"/>
    </row>
    <row r="22" spans="2:19" x14ac:dyDescent="0.2">
      <c r="R22" s="130"/>
      <c r="S22" s="130"/>
    </row>
    <row r="23" spans="2:19" x14ac:dyDescent="0.2">
      <c r="R23" s="130"/>
      <c r="S23" s="130"/>
    </row>
    <row r="24" spans="2:19" x14ac:dyDescent="0.2">
      <c r="R24" s="130"/>
      <c r="S24" s="130"/>
    </row>
    <row r="25" spans="2:19" x14ac:dyDescent="0.2">
      <c r="R25" s="130"/>
      <c r="S25" s="130"/>
    </row>
    <row r="26" spans="2:19" x14ac:dyDescent="0.2">
      <c r="R26" s="130"/>
      <c r="S26" s="130"/>
    </row>
    <row r="27" spans="2:19" x14ac:dyDescent="0.2">
      <c r="R27" s="130"/>
      <c r="S27" s="130"/>
    </row>
    <row r="28" spans="2:19" x14ac:dyDescent="0.2">
      <c r="R28" s="130"/>
      <c r="S28" s="130"/>
    </row>
    <row r="29" spans="2:19" x14ac:dyDescent="0.2">
      <c r="R29" s="130"/>
      <c r="S29" s="130"/>
    </row>
    <row r="30" spans="2:19" x14ac:dyDescent="0.2">
      <c r="R30" s="130"/>
      <c r="S30" s="130"/>
    </row>
    <row r="31" spans="2:19" x14ac:dyDescent="0.2">
      <c r="R31" s="130"/>
      <c r="S31" s="130"/>
    </row>
    <row r="32" spans="2:19" x14ac:dyDescent="0.2">
      <c r="R32" s="130"/>
      <c r="S32" s="130"/>
    </row>
    <row r="33" spans="18:19" x14ac:dyDescent="0.2">
      <c r="R33" s="130"/>
      <c r="S33" s="130"/>
    </row>
    <row r="34" spans="18:19" x14ac:dyDescent="0.2">
      <c r="R34" s="130"/>
      <c r="S34" s="130"/>
    </row>
    <row r="35" spans="18:19" x14ac:dyDescent="0.2">
      <c r="R35" s="130"/>
      <c r="S35" s="130"/>
    </row>
    <row r="36" spans="18:19" x14ac:dyDescent="0.2">
      <c r="R36" s="130"/>
      <c r="S36" s="130"/>
    </row>
    <row r="37" spans="18:19" x14ac:dyDescent="0.2">
      <c r="R37" s="130"/>
      <c r="S37" s="130"/>
    </row>
    <row r="38" spans="18:19" x14ac:dyDescent="0.2">
      <c r="R38" s="130"/>
      <c r="S38" s="130"/>
    </row>
    <row r="39" spans="18:19" x14ac:dyDescent="0.2">
      <c r="R39" s="130"/>
      <c r="S39" s="130"/>
    </row>
    <row r="40" spans="18:19" x14ac:dyDescent="0.2">
      <c r="R40" s="130"/>
      <c r="S40" s="130"/>
    </row>
    <row r="41" spans="18:19" x14ac:dyDescent="0.2">
      <c r="R41" s="130"/>
      <c r="S41" s="130"/>
    </row>
    <row r="42" spans="18:19" x14ac:dyDescent="0.2">
      <c r="R42" s="130"/>
      <c r="S42" s="130"/>
    </row>
    <row r="43" spans="18:19" x14ac:dyDescent="0.2">
      <c r="R43" s="130"/>
      <c r="S43" s="130"/>
    </row>
    <row r="44" spans="18:19" x14ac:dyDescent="0.2">
      <c r="R44" s="130"/>
      <c r="S44" s="130"/>
    </row>
    <row r="45" spans="18:19" x14ac:dyDescent="0.2">
      <c r="R45" s="130"/>
      <c r="S45" s="130"/>
    </row>
    <row r="46" spans="18:19" x14ac:dyDescent="0.2">
      <c r="R46" s="130"/>
      <c r="S46" s="130"/>
    </row>
  </sheetData>
  <mergeCells count="13">
    <mergeCell ref="B15:P15"/>
    <mergeCell ref="B18:C18"/>
    <mergeCell ref="D20:F20"/>
    <mergeCell ref="B21:C21"/>
    <mergeCell ref="R5:S6"/>
    <mergeCell ref="R8:S13"/>
    <mergeCell ref="L1:P1"/>
    <mergeCell ref="M2:P2"/>
    <mergeCell ref="B3:P3"/>
    <mergeCell ref="B5:B6"/>
    <mergeCell ref="C5:C6"/>
    <mergeCell ref="D5:D6"/>
    <mergeCell ref="E5:P5"/>
  </mergeCells>
  <pageMargins left="0.28999999999999998" right="0.1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Свод</vt:lpstr>
      <vt:lpstr>Маълумотнома ой </vt:lpstr>
      <vt:lpstr>1-илова </vt:lpstr>
      <vt:lpstr>2- илова </vt:lpstr>
      <vt:lpstr>Ҳисобот</vt:lpstr>
      <vt:lpstr>1-илова</vt:lpstr>
      <vt:lpstr>2-илова</vt:lpstr>
      <vt:lpstr>3-илова</vt:lpstr>
      <vt:lpstr>4-илова</vt:lpstr>
      <vt:lpstr>'1-илова'!Область_печати</vt:lpstr>
      <vt:lpstr>'1-илова '!Область_печати</vt:lpstr>
      <vt:lpstr>'3-илова'!Область_печати</vt:lpstr>
      <vt:lpstr>'4-илова'!Область_печати</vt:lpstr>
      <vt:lpstr>'Маълумотнома ой '!Область_печати</vt:lpstr>
      <vt:lpstr>Свод!Область_печати</vt:lpstr>
      <vt:lpstr>Ҳисобот!Область_печати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Tursunboev Amirdin Yuldashevich</cp:lastModifiedBy>
  <cp:lastPrinted>2024-05-27T16:02:51Z</cp:lastPrinted>
  <dcterms:created xsi:type="dcterms:W3CDTF">2021-02-05T10:19:20Z</dcterms:created>
  <dcterms:modified xsi:type="dcterms:W3CDTF">2024-06-03T05:53:57Z</dcterms:modified>
</cp:coreProperties>
</file>