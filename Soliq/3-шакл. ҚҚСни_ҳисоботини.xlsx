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D:\М.Тоштемиров\1. Топшириқлар\2024\НДС автоматлашган\Слайд\03.06.2024\"/>
    </mc:Choice>
  </mc:AlternateContent>
  <xr:revisionPtr revIDLastSave="0" documentId="13_ncr:1_{25C9DB7D-BF52-48E3-B842-50EF0FD8AB24}" xr6:coauthVersionLast="47" xr6:coauthVersionMax="47" xr10:uidLastSave="{00000000-0000-0000-0000-000000000000}"/>
  <bookViews>
    <workbookView xWindow="-120" yWindow="-120" windowWidth="29040" windowHeight="15840" xr2:uid="{00000000-000D-0000-FFFF-FFFF00000000}"/>
  </bookViews>
  <sheets>
    <sheet name="СВОД" sheetId="23" r:id="rId1"/>
    <sheet name="Ҳисоб-китоб" sheetId="20" r:id="rId2"/>
    <sheet name="1-илова" sheetId="6" r:id="rId3"/>
    <sheet name="2-илова" sheetId="7" r:id="rId4"/>
    <sheet name="3-илова" sheetId="12" r:id="rId5"/>
    <sheet name="4-илова" sheetId="21" r:id="rId6"/>
    <sheet name="5-илова" sheetId="22" r:id="rId7"/>
    <sheet name="6-илова" sheetId="11" r:id="rId8"/>
  </sheets>
  <externalReferences>
    <externalReference r:id="rId9"/>
  </externalReferences>
  <definedNames>
    <definedName name="_xlnm.Print_Area" localSheetId="2">'1-илова'!$B$1:$M$23</definedName>
    <definedName name="_xlnm.Print_Area" localSheetId="3">'2-илова'!$B$1:$H$86</definedName>
    <definedName name="_xlnm.Print_Area" localSheetId="4">'3-илова'!$B$1:$K$62</definedName>
    <definedName name="_xlnm.Print_Area" localSheetId="7">'6-илова'!$B$1:$H$20</definedName>
  </definedNames>
  <calcPr calcId="191029"/>
</workbook>
</file>

<file path=xl/calcChain.xml><?xml version="1.0" encoding="utf-8"?>
<calcChain xmlns="http://schemas.openxmlformats.org/spreadsheetml/2006/main">
  <c r="K16" i="23" l="1"/>
  <c r="E16" i="23"/>
  <c r="C16" i="23"/>
  <c r="C15" i="23"/>
  <c r="E15" i="23" s="1"/>
  <c r="E14" i="23"/>
  <c r="D13" i="23"/>
  <c r="E13" i="23" s="1"/>
  <c r="C13" i="23"/>
  <c r="E12" i="23"/>
  <c r="D12" i="23"/>
  <c r="C12" i="23"/>
  <c r="K11" i="23"/>
  <c r="E11" i="23"/>
  <c r="K10" i="23"/>
  <c r="E10" i="23"/>
  <c r="E9" i="23"/>
  <c r="K8" i="23"/>
  <c r="E8" i="23"/>
  <c r="I7" i="23"/>
  <c r="E7" i="23"/>
  <c r="K6" i="23"/>
  <c r="J6" i="23"/>
  <c r="I6" i="23"/>
  <c r="H6" i="23"/>
  <c r="G6" i="23"/>
  <c r="F6" i="23"/>
  <c r="D6" i="23"/>
  <c r="E6" i="23" s="1"/>
  <c r="E27" i="20" l="1"/>
  <c r="E25" i="20" s="1"/>
  <c r="K7" i="20"/>
  <c r="E29" i="20" l="1"/>
</calcChain>
</file>

<file path=xl/sharedStrings.xml><?xml version="1.0" encoding="utf-8"?>
<sst xmlns="http://schemas.openxmlformats.org/spreadsheetml/2006/main" count="665" uniqueCount="462">
  <si>
    <t>Сумма</t>
  </si>
  <si>
    <t>х</t>
  </si>
  <si>
    <t>Х</t>
  </si>
  <si>
    <t>010</t>
  </si>
  <si>
    <t>0101</t>
  </si>
  <si>
    <t>0102</t>
  </si>
  <si>
    <t>0103</t>
  </si>
  <si>
    <t>0104</t>
  </si>
  <si>
    <t>020</t>
  </si>
  <si>
    <t>030</t>
  </si>
  <si>
    <t>0301</t>
  </si>
  <si>
    <t>0302</t>
  </si>
  <si>
    <t>0303</t>
  </si>
  <si>
    <t>0304</t>
  </si>
  <si>
    <t>040</t>
  </si>
  <si>
    <t>0401</t>
  </si>
  <si>
    <t>0402</t>
  </si>
  <si>
    <t>0403</t>
  </si>
  <si>
    <t>050</t>
  </si>
  <si>
    <t>060</t>
  </si>
  <si>
    <t/>
  </si>
  <si>
    <t>x</t>
  </si>
  <si>
    <t>0106</t>
  </si>
  <si>
    <t>0107</t>
  </si>
  <si>
    <t>0108</t>
  </si>
  <si>
    <t>041</t>
  </si>
  <si>
    <t>0201</t>
  </si>
  <si>
    <t>0202</t>
  </si>
  <si>
    <t>0203</t>
  </si>
  <si>
    <t>0204</t>
  </si>
  <si>
    <t>0205</t>
  </si>
  <si>
    <t>0206</t>
  </si>
  <si>
    <t>0207</t>
  </si>
  <si>
    <t>0208</t>
  </si>
  <si>
    <t>0209</t>
  </si>
  <si>
    <t>0211</t>
  </si>
  <si>
    <t>0305</t>
  </si>
  <si>
    <t>0306</t>
  </si>
  <si>
    <t>0307</t>
  </si>
  <si>
    <t>0308</t>
  </si>
  <si>
    <t>0309</t>
  </si>
  <si>
    <t>0310</t>
  </si>
  <si>
    <t>0210</t>
  </si>
  <si>
    <t>0212</t>
  </si>
  <si>
    <t>0213</t>
  </si>
  <si>
    <t>0214</t>
  </si>
  <si>
    <t>0215</t>
  </si>
  <si>
    <t>0311</t>
  </si>
  <si>
    <t>0312</t>
  </si>
  <si>
    <t>0313</t>
  </si>
  <si>
    <t>0314</t>
  </si>
  <si>
    <t>0315</t>
  </si>
  <si>
    <t>0316</t>
  </si>
  <si>
    <t>0317</t>
  </si>
  <si>
    <t>0318</t>
  </si>
  <si>
    <t>0319</t>
  </si>
  <si>
    <t>0320</t>
  </si>
  <si>
    <t>0321</t>
  </si>
  <si>
    <t>0322</t>
  </si>
  <si>
    <t>0323</t>
  </si>
  <si>
    <t>0324</t>
  </si>
  <si>
    <t>0325</t>
  </si>
  <si>
    <t>0326</t>
  </si>
  <si>
    <t>0327</t>
  </si>
  <si>
    <t>0328</t>
  </si>
  <si>
    <t>0329</t>
  </si>
  <si>
    <t>0330</t>
  </si>
  <si>
    <t>042</t>
  </si>
  <si>
    <t>043</t>
  </si>
  <si>
    <t>044</t>
  </si>
  <si>
    <t>045</t>
  </si>
  <si>
    <t>046</t>
  </si>
  <si>
    <t>011</t>
  </si>
  <si>
    <t>012</t>
  </si>
  <si>
    <t>047</t>
  </si>
  <si>
    <t>0111</t>
  </si>
  <si>
    <t>0112</t>
  </si>
  <si>
    <t>0105</t>
  </si>
  <si>
    <t>№</t>
  </si>
  <si>
    <t>01041</t>
  </si>
  <si>
    <t>01042</t>
  </si>
  <si>
    <t>0109</t>
  </si>
  <si>
    <t>04031</t>
  </si>
  <si>
    <t>04032</t>
  </si>
  <si>
    <t>070</t>
  </si>
  <si>
    <t>100</t>
  </si>
  <si>
    <t>090</t>
  </si>
  <si>
    <t>080</t>
  </si>
  <si>
    <t>0471</t>
  </si>
  <si>
    <t>0472</t>
  </si>
  <si>
    <t>0473</t>
  </si>
  <si>
    <t>0474</t>
  </si>
  <si>
    <t>0475</t>
  </si>
  <si>
    <t>0476</t>
  </si>
  <si>
    <t>0477</t>
  </si>
  <si>
    <t>Қўшилган қиймат солиғи 
ҲИСОБ-КИТОБИ</t>
  </si>
  <si>
    <t xml:space="preserve">Кўрсаткичлар </t>
  </si>
  <si>
    <t>Сатр   коди</t>
  </si>
  <si>
    <t>Товарларни (хизматларни) реализация қилиш обороти бўйича ҚҚС суммаси (1-илованинг 4-устуни 010-сатри)</t>
  </si>
  <si>
    <t>Бюджетга тўлананиши (камайтирилиши) лозим бўлган ҚҚС суммаси, жами (020-сатр - 010-сатр)</t>
  </si>
  <si>
    <t>Солиқ давридаги товарларни (хизматларни)
 реализация қилиш бўйича айланмалар</t>
  </si>
  <si>
    <t>Кўрсаткичлар</t>
  </si>
  <si>
    <t>Сатр
коди</t>
  </si>
  <si>
    <t>ҚҚС
суммаси</t>
  </si>
  <si>
    <t>улардан:</t>
  </si>
  <si>
    <t xml:space="preserve">Cолиқ солинадиган базага киритилган акциз солиғи суммаси  </t>
  </si>
  <si>
    <t>шу жумладан:</t>
  </si>
  <si>
    <t>ҚҚСдан озод қилинадиган айланмалар (2-илованинг 010-сатри)</t>
  </si>
  <si>
    <t>ноль даражали ставка бўйича солиқ солинадиган (2-илованинг 040-сатри)</t>
  </si>
  <si>
    <t>Бозор қийматидан паст нархда реализация қилинган товарларнинг (хизматларнинг) бозор қиймати ва ҚҚС киритилмаган ҳолда реализация қилиш нархи ўртасидаги ижобий фарқ суммаси</t>
  </si>
  <si>
    <t xml:space="preserve">20 % ставкада тақдим этилган ҳисобварақ-фактуралар бўйича солиқ солинадиган базага киритилган тузатиш суммаси </t>
  </si>
  <si>
    <t>Солиқ даврида қўшилган қиймат солиғидан озод қилинадиган ва ноль даражали ставка бўйича 
қўшилган қиймат солиғи солинадиган товарларни (хизматларни)  реализация қилиш айланмалар</t>
  </si>
  <si>
    <t>Реализация бўйича айланмалар рўйхати</t>
  </si>
  <si>
    <t>Сатр 
коди</t>
  </si>
  <si>
    <t>Солиқ 
солинадиган база</t>
  </si>
  <si>
    <t>Солиқ солинмайдиган товарларни (хизматлар) реализация қилиш айланмалари (020-сатр + 030-сатр)</t>
  </si>
  <si>
    <t>Ўзбекистон Республикаси Солиқ кодексига мувофиқ - жами:</t>
  </si>
  <si>
    <t xml:space="preserve">шу жумладан:       </t>
  </si>
  <si>
    <t>Бошқа норматив-ҳуқуқий ҳужжатларга мувофиқ солиқ солинмайдиган товарлар (хизматлар) реализацияси бўйича айланмалар - жами:</t>
  </si>
  <si>
    <t>шу жумладан</t>
  </si>
  <si>
    <t>Ноль даражали ставка бўйича солиқ солинадиган товарлар (хизматлар) реализацияси - жами
(041-сатр + 042-сатр + 043-сатр + 044-сатр + 045-сатр + 046-сатр + 047-сатр)</t>
  </si>
  <si>
    <t>Товарларни чет эл валютасида экспортга реализация қилиш бўйича айланма (реализация қилиш пайтида ЎзР Марказий банки томонидан белгиланган курс бўйича миллий валютадаги эквивалентда) *</t>
  </si>
  <si>
    <t>"Божхона ҳудудида қайта ишлаш" божхона режимига жойлаштирилган товарларни қайта ишлаш бўйича кўрсатиладиган хизматлар реализацияси</t>
  </si>
  <si>
    <t>Ўзбекистон Республикаси ҳудудидан олиб чиқилган ғамлаб қўйилган нарсалар (ҳаво кемаларидан рисоладагидек фойдаланилишини таъминлаш учун зарур бўлган ёқилғи ва ёнилғи-мойлаш материаллари) реализацияси</t>
  </si>
  <si>
    <t>Чет элдан келтирилган товарларни ташиш чоғида божхона транзити божхона тартиб-таомилига жойлаштирилган товарларни бевосита Ўзбекистон Республикаси ҳудудига етиб келиш жойидаги божхона органидан Ўзбекистон Республикаси ҳудудидан чиқиб кетиш жойидаги божхона органигача ташиш ёхуд транспортда ташиш билан бевосита боғлиқ бўлган хизматлар</t>
  </si>
  <si>
    <t>Сув таъминоти, канализация, санитария жиҳатдан тозалаш, иссиқлик таъминоти бўйича аҳолига кўрсатиладиган хизматларни реализация қилишга доир айланмага, шу жумладан бундай хизматларни уй-жой мулкдорлари ширкатлари томонидан аҳоли номидан, шунингдек идоравий уй-жой фонди уйларида яшаётган аҳоли учун Ўзбекистон Республикаси Мудофаа вазирлигининг ва Ўзбекистон Республикаси Миллий гвардиясининг бўлинмалари томонидан олинадиган хизматлар реализацияси</t>
  </si>
  <si>
    <t>Норматив-ҳуқуқий ҳужжатларга асосан ҚҚС бўйича ноль даражали ставка қўлланиладиган бошқа товарлар (хизматлар) реализацияси  жами</t>
  </si>
  <si>
    <t xml:space="preserve">шу жумладан:		</t>
  </si>
  <si>
    <t>Ҳисобга олинадиган қўшилган қиймат солиғи суммаси 
ҲИСОБ-КИТОБИ *</t>
  </si>
  <si>
    <t xml:space="preserve">Сатр 
коди </t>
  </si>
  <si>
    <t>Қиймат</t>
  </si>
  <si>
    <t>ҚҚС суммаси</t>
  </si>
  <si>
    <t>Харид қилинган товарлар (хизматлар) бўйича тўланган ҚҚС суммаси (сотиб олиш реестри бўйича)</t>
  </si>
  <si>
    <t>ҳисобга олинадиган товарлар (хизматлар) бўйича (011-сатр – 0112-сатр)</t>
  </si>
  <si>
    <t>шундан:</t>
  </si>
  <si>
    <t>Ўзбекистон Республикаси Солиқ кодексининг 270-моддасида назарда тутилган тартибда асосий воситалар, кўчмас мулк объектлари ва номоддий активлар бўйича</t>
  </si>
  <si>
    <t>Ўзбекистон Республикаси Солиқ кодексининг 269-моддасида назарда тутилган ҳолларда</t>
  </si>
  <si>
    <t>Мутаносиб усулда аниқланадиган ҳисобга олинадиган қўшилган қиймат солиғи суммаси  (010-сатр – 030-сатр)</t>
  </si>
  <si>
    <t>Алоҳида-алоҳида усулда аниқланадиган ҳисобга олинадиган қўшилган қиймат солиғи суммаси  (0301-сатр + 0302-сатр + 0303-сатр + 0304-сатр)</t>
  </si>
  <si>
    <t>ҚҚСдан озод қилинадиган айланмалар учун</t>
  </si>
  <si>
    <t>ноль даражали ставка қўлланиладиган (товарлар экспортидан ташқари), шунингдек Ўзбекистон Республикаси ҳудуди реализация қилиш жойи деб эътироф этилмайдиган хизматларни кўрсатиш бўйича айланмалар учун</t>
  </si>
  <si>
    <t>товарларни экспортга реализация қилиш бўйича ноль даражали ставка қўлланиладиган айланмалар учун</t>
  </si>
  <si>
    <t>ноль даражали ставка қўлланиладиган (товарлар экспортидан ташқари), шунингдек Ўзбекистон Республикаси ҳудуди реализация қилиш жойи деб эътироф этилмайдиган хизматларни кўрсатиш бўйича айланмалар учун (0203-сатр + 0303-сатр)</t>
  </si>
  <si>
    <t>товарларни экспортга реализация қилиш бўйича ноль даражали ставка қўлланиладиган айланмалар учун (0204-сатр + 0304-сатр)</t>
  </si>
  <si>
    <t>валюта тушумининг тўлиқ келиб тушмаганлиги муносабати билан ҳисобга олинмайдиган ҚҚС суммаси (0403-сатр - 04031-сатр)</t>
  </si>
  <si>
    <t>Ҳисобга олинмайдиган ҚҚС суммаси (0202-сатр + 0302-сатр + 04032-сатр)</t>
  </si>
  <si>
    <t xml:space="preserve">бузилганда ёхуд қонун ҳужжатларига мувофиқ ваколатли орган томонидан, улар йўқлигида эса солиқ тўловчи томонидан белгиланган табиий камайиш нормаларидан ортиқча йўқотилганда </t>
  </si>
  <si>
    <t xml:space="preserve">етказиб берувчи томонидан тақдим этилган ҳисобварақ-фактуралар қонун ҳужжатларида белгиланган тартибда ҳақиқий эмас деб эътироф этилганда </t>
  </si>
  <si>
    <t xml:space="preserve">реэкспорт божхона тартиб-таомилига жойлаштирилган товарлар учун уларнинг импорти чоғида тўланган ҚҚС божхона тўғрисидаги қонун ҳужжатларида назарда тутилган тартибда қайтарилганда </t>
  </si>
  <si>
    <t xml:space="preserve">асосий воситаларнинг айрим объектлари, кўчмас мулк объектлари ва номоддий активлар бўйича ҳисобга олиш учун қабул қилинган солиқ суммалари бўйича </t>
  </si>
  <si>
    <t xml:space="preserve">мажбуриятлар ҳисобдан чиқарилганда </t>
  </si>
  <si>
    <t>Харид қилинган товарлар (хизматлар) бўйича ҳисобварақ-фактуралар
(ҳисобварақ-фактура ўрнини босадиган ҳужжатлар)
РЕЕСТРИ *</t>
  </si>
  <si>
    <t>Т/р</t>
  </si>
  <si>
    <t xml:space="preserve">Етказиб 
берувчи 
номи
</t>
  </si>
  <si>
    <t xml:space="preserve">Етказиб 
берувчининг 
СТИРи **
</t>
  </si>
  <si>
    <t>Ҳисобварақ-
фактура 
рақами</t>
  </si>
  <si>
    <t>Ҳисобварақ-фактура 
санаси</t>
  </si>
  <si>
    <t>Етказиб 
бериш 
қиймати 
(ҚҚСсиз) ***</t>
  </si>
  <si>
    <t>ҚҚС 
суммаси</t>
  </si>
  <si>
    <t>Шундан, ҳисобга олинмайдиган товарлар (хизматлар)</t>
  </si>
  <si>
    <t>Йил бошидан солиқ даври бошига қадар жами</t>
  </si>
  <si>
    <t>Солиқ даври бўйича жами</t>
  </si>
  <si>
    <t>Йил бошидан жами</t>
  </si>
  <si>
    <t>Реализация қилинган товарлар (хизматлар) бўйича ҳисобварақ-фактуралар
(ҳисобварақ-фактура ўрнини босадиган ҳужжатлар)
РЕЕСТРИ</t>
  </si>
  <si>
    <t>Сотиб олувчининг
номи</t>
  </si>
  <si>
    <t>Сотиб 
олувчининг 
СТИРи</t>
  </si>
  <si>
    <t>Ҳисобварақ-
фактура 
санаси</t>
  </si>
  <si>
    <t>Шу жумладан, қоплаб бериладиган харажатлар</t>
  </si>
  <si>
    <t>Қиймати (ҚҚСсиз)</t>
  </si>
  <si>
    <t>Йил бошидан товарларни (хизматларни) реализация қилиш
 бўйича айланмалар *</t>
  </si>
  <si>
    <t>Етказиб бериш қиймати</t>
  </si>
  <si>
    <t>Йил бошидан жами товарларни (хизматларни) реализация қилиш айланмалари (0101-0104-сатрлар йиғиндиси)</t>
  </si>
  <si>
    <t>ҚҚСдан озод қилинадиган айланмалар</t>
  </si>
  <si>
    <t>ноль даражали ставка қўлланиладиган (товарлар экспортидан ташқари), шунингдек Ўзбекистон Республикаси ҳудуди реализация қилиш жойи деб эътироф этилмайдиган хизматларни кўрсатиш бўйича айланмалар</t>
  </si>
  <si>
    <t>товарларни экспортга реализация қилиш бўйича ноль даражали ставка қўлланиладиган айланмалар</t>
  </si>
  <si>
    <t>Йил бошидан реализация қилиш айланмаларининг салмоғи:</t>
  </si>
  <si>
    <t>15 фоизли ставка қўлланиладиган айланмалар бўйича (0101-сатр / 010-сатр х 100)</t>
  </si>
  <si>
    <t>ҚҚСдан озод қилинадиган айланмалар бўйича (0102-сатр / 010-сатр х 100)</t>
  </si>
  <si>
    <t>ноль даражали ставка қўлланиладиган айланмалар, шунингдек Ўзбекистон Республикаси ҳудуди реализация қилиш жойи деб эътироф этилмайдиган хизматларни кўрсатиш бўйича (товарлар экспортидан ташқари) (0103-сатр / 010-сатр х 100)</t>
  </si>
  <si>
    <t>товарларни экспортга реализация қилиш бўйича ноль даражали ставка қўлланиладиган айланмалар бўйича (0104-сатр / 010-сатр х 100)</t>
  </si>
  <si>
    <t>Солиқ даври бошига ҳисобга олинган ҚҚС суммаси (охирги солиқ даври учун тақдим этилган ҳисоб-китоб 3-иловасининг 040-сатри)</t>
  </si>
  <si>
    <t>Воситачилик (топшириқ) шартномалари асосида реализация қилинган товарлар (хизматлар) бўйича ҳисобварақ-фактуралар
РЕЕСТРИ *</t>
  </si>
  <si>
    <t>Комитент номи</t>
  </si>
  <si>
    <t>Комитент СТИР</t>
  </si>
  <si>
    <t>ҚҚС билан 
қиймати</t>
  </si>
  <si>
    <t>Жорий йил бошидан товарлар экспорти (чет эл валютасида)**</t>
  </si>
  <si>
    <t>жўнатиш кунидаги ЎзР Марказий банки томонидан белгиланган курс бўйича миллий валютадаги эквивалентда келиб тушмаган валюта тушуми</t>
  </si>
  <si>
    <t>01043</t>
  </si>
  <si>
    <t>Йил бошидан экспортга жўнатилган товарлар учун келиб тушган валюта тушуми (чет эл валютасида)**</t>
  </si>
  <si>
    <t>01044</t>
  </si>
  <si>
    <t>Аввалги календарь йилда экспортга жўнатилган товарлар учун жорий календарь йилда ҳақиқатда келиб тушган тушум (чет эл валютасида)</t>
  </si>
  <si>
    <t>Учинчи шахс номи</t>
  </si>
  <si>
    <t>Учинчи шахс СТИР</t>
  </si>
  <si>
    <t>Етказиб бериш 
қиймати (ҚҚСсиз)</t>
  </si>
  <si>
    <t>ҚҚС билан қиймати*</t>
  </si>
  <si>
    <t>Етказиб бериш қиймати 
(ҚҚСсиз)</t>
  </si>
  <si>
    <t>Етказиб 
берувчи 
номи</t>
  </si>
  <si>
    <t>Етказиб 
берувчининг 
СТИРи</t>
  </si>
  <si>
    <t>ҚҚС билан қиймати</t>
  </si>
  <si>
    <t>Жами</t>
  </si>
  <si>
    <t>0</t>
  </si>
  <si>
    <t>Марказий банкдан ҳар бир экспорт шартнома бўйича келиб тушаётган маблағлар тўғрисидаги  маълумотга асосан автоматлаштириш мумкин.</t>
  </si>
  <si>
    <t>Изоҳ</t>
  </si>
  <si>
    <t>1-илова</t>
  </si>
  <si>
    <t>2-илова</t>
  </si>
  <si>
    <t>3-илова</t>
  </si>
  <si>
    <t>4-илова</t>
  </si>
  <si>
    <t>6-илова</t>
  </si>
  <si>
    <t>3-устун</t>
  </si>
  <si>
    <t>4-устун</t>
  </si>
  <si>
    <t>Ўлчов бирлиги</t>
  </si>
  <si>
    <t>.</t>
  </si>
  <si>
    <t>сум</t>
  </si>
  <si>
    <t>Ф.И.О.</t>
  </si>
  <si>
    <t>СТИР</t>
  </si>
  <si>
    <t>ҚҚС тўловчисининг рўйхатдан ўтиш коди</t>
  </si>
  <si>
    <t>варақ 01</t>
  </si>
  <si>
    <t>Ҳужжат тури</t>
  </si>
  <si>
    <t>Солиқ даври</t>
  </si>
  <si>
    <t>ой</t>
  </si>
  <si>
    <t>йил</t>
  </si>
  <si>
    <t>Ҳужжат тури: 1 – ҳисоб-китоб, 2 – аниқлаштирувчи (каср орқали аниқлаштирув рақами)</t>
  </si>
  <si>
    <t>Қўшилган қиймат солиғи тўловчиси тўғрисида маълумот</t>
  </si>
  <si>
    <t>Солиқ тўловчининг тўлиқ номи</t>
  </si>
  <si>
    <t>ҚҚС суммаси ҳисобга олинадиган усул</t>
  </si>
  <si>
    <t>мутаносиб усул</t>
  </si>
  <si>
    <t>алоҳида-алоҳида ҳисобга олиш усули</t>
  </si>
  <si>
    <t>("1" рақами қўйилсин)</t>
  </si>
  <si>
    <t>Солиқ тўловчининг жойлашган ери</t>
  </si>
  <si>
    <t>Почта манзили</t>
  </si>
  <si>
    <t>Ҳисоб-китобни тақдим этиш муддати (кун/ой/йил)</t>
  </si>
  <si>
    <t>тақдим этилади</t>
  </si>
  <si>
    <t>(солиқ бўйича ҳисобга олиш жойидаги солиқ органи)</t>
  </si>
  <si>
    <t>Мазкур ҳисоб-китобда кўрсатилган маълумотларнинг ишончлилиги ва тўлиқлигини тасдиқлайман:</t>
  </si>
  <si>
    <t>Раҳбар</t>
  </si>
  <si>
    <t>Бош бухгалтер</t>
  </si>
  <si>
    <t>Имзо</t>
  </si>
  <si>
    <t>1-жадвал</t>
  </si>
  <si>
    <t>2-жадвал</t>
  </si>
  <si>
    <t xml:space="preserve">Изоҳ: </t>
  </si>
  <si>
    <t>Аҳолига назорат-касса машиналари (тўлов терминаллари) орқали реализация қилинган товарлар (хизматлар), шунингдек банк хизматлари бўйича жами айланма суммаси солиқ даври якуни билан бир сатрда кўрсатилади.</t>
  </si>
  <si>
    <t xml:space="preserve"> Хато* (Ошибка*) 2-жадвал 6-устунидаги сумма (9-устундаги суммани чегирган ҳолда) 1-илова 3-устунининг 010 ва 020-сатрлари (1-илованинг 3-устунидаги 0103 ва 0104-сатрлардаги суммаларни чегирган ҳолда) суммаларига мос эмас.</t>
  </si>
  <si>
    <t>3-жадвал</t>
  </si>
  <si>
    <t>* Мазкур илова воситачилик (топшириқ) шартномалари асосида фаолият кўрсатаётган солиқ тўловчилар томонидан тўлдирилади. Илова сатрларида шундай шартномалар асосида тақдим этилган ҳисобварақ-фактуралар бўйича маълумотлар киритилади.</t>
  </si>
  <si>
    <t>(имзо)</t>
  </si>
  <si>
    <t>(керакли катакка “1” белгиси қўйилади)</t>
  </si>
  <si>
    <t>Қайтариш (қоплаш) тартиби</t>
  </si>
  <si>
    <t>солиқ тўловчи мақомини йўқотганда (ёки солиқ тўлашдан озод қилинганда)</t>
  </si>
  <si>
    <r>
      <t xml:space="preserve">1-илованинг 4-устуни 
010-сатридан </t>
    </r>
    <r>
      <rPr>
        <b/>
        <i/>
        <sz val="10"/>
        <color rgb="FFC00000"/>
        <rFont val="Arial"/>
        <family val="2"/>
        <charset val="204"/>
      </rPr>
      <t>автомат шаклланади</t>
    </r>
  </si>
  <si>
    <r>
      <t xml:space="preserve">Ушбу ҳисоб-китобнинг 020-сатр  ва  010-сатр айирмасидан </t>
    </r>
    <r>
      <rPr>
        <b/>
        <i/>
        <sz val="10"/>
        <color rgb="FFC00000"/>
        <rFont val="Arial"/>
        <family val="2"/>
        <charset val="204"/>
      </rPr>
      <t>автомат шаклланади</t>
    </r>
  </si>
  <si>
    <r>
      <rPr>
        <b/>
        <i/>
        <sz val="12"/>
        <color rgb="FF002060"/>
        <rFont val="Arial"/>
        <family val="2"/>
        <charset val="204"/>
      </rPr>
      <t>Мазкур сатр</t>
    </r>
    <r>
      <rPr>
        <i/>
        <sz val="12"/>
        <color rgb="FF002060"/>
        <rFont val="Arial"/>
        <family val="2"/>
        <charset val="204"/>
      </rPr>
      <t xml:space="preserve"> ЭҲФ, онлайн НКМ ҳамда БЮД маълумотлари асосида </t>
    </r>
    <r>
      <rPr>
        <b/>
        <i/>
        <sz val="12"/>
        <color rgb="FFC00000"/>
        <rFont val="Arial"/>
        <family val="2"/>
        <charset val="204"/>
      </rPr>
      <t>автомат шаклланади</t>
    </r>
  </si>
  <si>
    <r>
      <t xml:space="preserve">2-илованинг 010-сатридан </t>
    </r>
    <r>
      <rPr>
        <b/>
        <i/>
        <sz val="12"/>
        <color rgb="FFC00000"/>
        <rFont val="Arial"/>
        <family val="2"/>
        <charset val="204"/>
      </rPr>
      <t>автомат шаклланади</t>
    </r>
  </si>
  <si>
    <r>
      <t xml:space="preserve">2-илованинг 040-сатридан </t>
    </r>
    <r>
      <rPr>
        <b/>
        <i/>
        <sz val="12"/>
        <color rgb="FFC00000"/>
        <rFont val="Arial"/>
        <family val="2"/>
        <charset val="204"/>
      </rPr>
      <t>автомат шаклланади</t>
    </r>
  </si>
  <si>
    <r>
      <t xml:space="preserve">Бир томонлама ЭҲФ маълумотлари бўйича </t>
    </r>
    <r>
      <rPr>
        <b/>
        <i/>
        <sz val="12"/>
        <color rgb="FFC00000"/>
        <rFont val="Arial"/>
        <family val="2"/>
        <charset val="204"/>
      </rPr>
      <t>автомат шакллантирилади</t>
    </r>
  </si>
  <si>
    <r>
      <t xml:space="preserve">Мазкур илованинг 020-сатри ва  030-сатрлар йиғиндисидан ҳосил бўлади. 
ҚҚСсиз ва ноль ставка бўйича шакллантирилган жами  ЭҲФлар  билан </t>
    </r>
    <r>
      <rPr>
        <b/>
        <i/>
        <sz val="10"/>
        <color rgb="FFC00000"/>
        <rFont val="Arial"/>
        <family val="2"/>
        <charset val="204"/>
      </rPr>
      <t>автоматик шаклланади</t>
    </r>
  </si>
  <si>
    <r>
      <t xml:space="preserve">ЭҲФ ва онлайн НКМ маълумотларидан келиб чиқиб </t>
    </r>
    <r>
      <rPr>
        <b/>
        <i/>
        <sz val="10"/>
        <color rgb="FFC00000"/>
        <rFont val="Arial"/>
        <family val="2"/>
        <charset val="204"/>
      </rPr>
      <t>автоматик шаклланади</t>
    </r>
  </si>
  <si>
    <r>
      <t xml:space="preserve">Мазкур илованинг 0301-сатридан  0330-сатрларгача йиғиндисидан </t>
    </r>
    <r>
      <rPr>
        <b/>
        <i/>
        <sz val="10"/>
        <color rgb="FFC00000"/>
        <rFont val="Arial"/>
        <family val="2"/>
        <charset val="204"/>
      </rPr>
      <t>автоматик шаклланади</t>
    </r>
  </si>
  <si>
    <r>
      <rPr>
        <i/>
        <sz val="10"/>
        <color theme="3"/>
        <rFont val="Arial"/>
        <family val="2"/>
        <charset val="204"/>
      </rPr>
      <t xml:space="preserve">Мазкур илованинг 041-сатридан  044-сатрларгача йиғиндисидан </t>
    </r>
    <r>
      <rPr>
        <b/>
        <i/>
        <sz val="10"/>
        <color rgb="FFC00000"/>
        <rFont val="Arial"/>
        <family val="2"/>
        <charset val="204"/>
      </rPr>
      <t>автоматик шаклланади</t>
    </r>
  </si>
  <si>
    <r>
      <t xml:space="preserve">ЭҲФ маълумотлари асосида </t>
    </r>
    <r>
      <rPr>
        <b/>
        <i/>
        <sz val="10"/>
        <color rgb="FFC00000"/>
        <rFont val="Arial"/>
        <family val="2"/>
        <charset val="204"/>
      </rPr>
      <t>автоматик шаклланади</t>
    </r>
  </si>
  <si>
    <r>
      <rPr>
        <i/>
        <sz val="10"/>
        <color theme="3"/>
        <rFont val="Arial"/>
        <family val="2"/>
        <charset val="204"/>
      </rPr>
      <t>Мазкур илованинг 0471-сатридан 0477-сатрларгача йиғиндисидан</t>
    </r>
    <r>
      <rPr>
        <b/>
        <i/>
        <sz val="10"/>
        <color theme="3"/>
        <rFont val="Arial"/>
        <family val="2"/>
        <charset val="204"/>
      </rPr>
      <t xml:space="preserve"> </t>
    </r>
    <r>
      <rPr>
        <b/>
        <i/>
        <sz val="10"/>
        <color rgb="FFC00000"/>
        <rFont val="Arial"/>
        <family val="2"/>
        <charset val="204"/>
      </rPr>
      <t>автоматик шакллантирилади</t>
    </r>
  </si>
  <si>
    <r>
      <t xml:space="preserve">ЭҲФлар асосида автомат шаклланадиган 
4-илованинг 6-устунидан </t>
    </r>
    <r>
      <rPr>
        <b/>
        <i/>
        <sz val="10"/>
        <color rgb="FFC00000"/>
        <rFont val="Arial"/>
        <family val="2"/>
        <charset val="204"/>
      </rPr>
      <t>автотик шаклланади</t>
    </r>
  </si>
  <si>
    <r>
      <t xml:space="preserve">Мазкур илованинг 011-сатри 0112-сатри айирмасидан </t>
    </r>
    <r>
      <rPr>
        <b/>
        <i/>
        <sz val="10"/>
        <color rgb="FFC00000"/>
        <rFont val="Arial"/>
        <family val="2"/>
        <charset val="204"/>
      </rPr>
      <t>автоматик шаклланади</t>
    </r>
  </si>
  <si>
    <r>
      <t xml:space="preserve">ЭҲФлар асосида автомат шаклланадиган 
4-илованинг 8-устунидан </t>
    </r>
    <r>
      <rPr>
        <b/>
        <i/>
        <sz val="10"/>
        <color rgb="FFC00000"/>
        <rFont val="Arial"/>
        <family val="2"/>
        <charset val="204"/>
      </rPr>
      <t>автоматик шаклланади</t>
    </r>
  </si>
  <si>
    <r>
      <t xml:space="preserve">6-илованинг 9-устунидан </t>
    </r>
    <r>
      <rPr>
        <b/>
        <i/>
        <sz val="10"/>
        <color rgb="FFC00000"/>
        <rFont val="Arial"/>
        <family val="2"/>
        <charset val="204"/>
      </rPr>
      <t>автоматик шаклланади</t>
    </r>
  </si>
  <si>
    <r>
      <t xml:space="preserve">6-илованинг 10-устунидан </t>
    </r>
    <r>
      <rPr>
        <b/>
        <i/>
        <sz val="10"/>
        <color rgb="FFC00000"/>
        <rFont val="Arial"/>
        <family val="2"/>
        <charset val="204"/>
      </rPr>
      <t>автоматик шаклланади</t>
    </r>
  </si>
  <si>
    <r>
      <t xml:space="preserve">Мазкур илованинги 010-сатри ва 030-сатри айирмасидан </t>
    </r>
    <r>
      <rPr>
        <b/>
        <i/>
        <sz val="10"/>
        <color rgb="FFC00000"/>
        <rFont val="Arial"/>
        <family val="2"/>
        <charset val="204"/>
      </rPr>
      <t>автоматик шаклланади</t>
    </r>
  </si>
  <si>
    <r>
      <t xml:space="preserve">Мазкур илованинг 0301-сатри, 0302-сатри, 0303-сатри, 0304-сатрлар йиғиндисидан </t>
    </r>
    <r>
      <rPr>
        <b/>
        <i/>
        <sz val="10"/>
        <color rgb="FFC00000"/>
        <rFont val="Arial"/>
        <family val="2"/>
        <charset val="204"/>
      </rPr>
      <t>автоматик шаклланади</t>
    </r>
  </si>
  <si>
    <r>
      <t xml:space="preserve">Мантиқий шарт ўрнатилган </t>
    </r>
    <r>
      <rPr>
        <i/>
        <sz val="10"/>
        <color rgb="FFC00000"/>
        <rFont val="Arial"/>
        <family val="2"/>
        <charset val="204"/>
      </rPr>
      <t>(алоҳида-алоҳида усулни танлаганлар томонидан тўлдирилади)</t>
    </r>
    <r>
      <rPr>
        <i/>
        <sz val="10"/>
        <color rgb="FF00B0F0"/>
        <rFont val="Arial"/>
        <family val="2"/>
        <charset val="204"/>
      </rPr>
      <t xml:space="preserve">
</t>
    </r>
    <r>
      <rPr>
        <b/>
        <i/>
        <sz val="10"/>
        <color rgb="FF002060"/>
        <rFont val="Arial"/>
        <family val="2"/>
        <charset val="204"/>
      </rPr>
      <t>Корхонанинг бухгалтерия ҳужжатлари асосида аниқланади.</t>
    </r>
    <r>
      <rPr>
        <i/>
        <sz val="10"/>
        <color rgb="FFC00000"/>
        <rFont val="Arial"/>
        <family val="2"/>
        <charset val="204"/>
      </rPr>
      <t xml:space="preserve">
</t>
    </r>
    <r>
      <rPr>
        <b/>
        <i/>
        <sz val="11"/>
        <color rgb="FFC00000"/>
        <rFont val="Arial"/>
        <family val="2"/>
        <charset val="204"/>
      </rPr>
      <t>Автоматлаштириш имкони мавжуд эмас</t>
    </r>
  </si>
  <si>
    <r>
      <t xml:space="preserve">Мазкур илованинг 0401-сатри, 0402-сатри, 04031-сатри 110-сатри йиғиндиси ва 060-сатрнинг айирмасидан </t>
    </r>
    <r>
      <rPr>
        <b/>
        <i/>
        <sz val="10"/>
        <color rgb="FFC00000"/>
        <rFont val="Arial"/>
        <family val="2"/>
        <charset val="204"/>
      </rPr>
      <t>автоматик шаклланади</t>
    </r>
  </si>
  <si>
    <r>
      <t xml:space="preserve">Мазкур илованинг 0201-сатри ва  0301-сатрлар йиғиндисидан </t>
    </r>
    <r>
      <rPr>
        <b/>
        <i/>
        <sz val="10"/>
        <color rgb="FFC00000"/>
        <rFont val="Arial"/>
        <family val="2"/>
        <charset val="204"/>
      </rPr>
      <t>автоматик шаклланади</t>
    </r>
  </si>
  <si>
    <r>
      <t xml:space="preserve">Мазкур илованинг 0203-сатри ва  0303-сатрлар йиғиндисидан </t>
    </r>
    <r>
      <rPr>
        <b/>
        <i/>
        <sz val="10"/>
        <color rgb="FFC00000"/>
        <rFont val="Arial"/>
        <family val="2"/>
        <charset val="204"/>
      </rPr>
      <t>автоматик шаклланади</t>
    </r>
  </si>
  <si>
    <r>
      <t xml:space="preserve">Мазкур илованинг 0204-сатри ва  0304-сатрлар йиғиндисидан </t>
    </r>
    <r>
      <rPr>
        <b/>
        <i/>
        <sz val="10"/>
        <color rgb="FFC00000"/>
        <rFont val="Arial"/>
        <family val="2"/>
        <charset val="204"/>
      </rPr>
      <t>автоматик шаклланади</t>
    </r>
  </si>
  <si>
    <r>
      <t xml:space="preserve">Мазкур илованинг 0403-сатрини 7-илованинг 01044-сатрига (Келиб тушган чет эл валютасининг салмоғига) кўпайтмасидан </t>
    </r>
    <r>
      <rPr>
        <b/>
        <i/>
        <sz val="10"/>
        <color rgb="FFC00000"/>
        <rFont val="Arial"/>
        <family val="2"/>
        <charset val="204"/>
      </rPr>
      <t>автоматик шаклланади</t>
    </r>
  </si>
  <si>
    <r>
      <t xml:space="preserve">Мазкур илованинги 0403-сатридан 04031-сатрни айирмасидан </t>
    </r>
    <r>
      <rPr>
        <b/>
        <i/>
        <sz val="10"/>
        <color rgb="FFC00000"/>
        <rFont val="Arial"/>
        <family val="2"/>
        <charset val="204"/>
      </rPr>
      <t>автоматик шаклланади</t>
    </r>
  </si>
  <si>
    <r>
      <t xml:space="preserve">Мазкур илованинги 0202, 0302, 04032-сатрларнинг йиғиндисидан </t>
    </r>
    <r>
      <rPr>
        <b/>
        <i/>
        <sz val="10"/>
        <color rgb="FFC00000"/>
        <rFont val="Arial"/>
        <family val="2"/>
        <charset val="204"/>
      </rPr>
      <t>автоматик шаклланади</t>
    </r>
  </si>
  <si>
    <r>
      <t xml:space="preserve">Мазкур илованинг 0101-сатри, 0102-сатри, 0103-сатри, 0104-сатрлар йиғиндисидан </t>
    </r>
    <r>
      <rPr>
        <b/>
        <i/>
        <sz val="10"/>
        <color rgb="FFC00000"/>
        <rFont val="Arial"/>
        <family val="2"/>
        <charset val="204"/>
      </rPr>
      <t>автоматик шакллантирилади</t>
    </r>
  </si>
  <si>
    <r>
      <t xml:space="preserve">Календар йилидаги жами товар айланмадаги ҚҚСдан озод қилинадиган айланмалар бўйича </t>
    </r>
    <r>
      <rPr>
        <b/>
        <i/>
        <sz val="10"/>
        <color rgb="FFC00000"/>
        <rFont val="Arial"/>
        <family val="2"/>
        <charset val="204"/>
      </rPr>
      <t>автомат шаклланади</t>
    </r>
  </si>
  <si>
    <r>
      <t xml:space="preserve">Календар йилидаги жами товар айланмадаги Ўз.Рес. ташқаридаги товар айланмалар бўйича </t>
    </r>
    <r>
      <rPr>
        <b/>
        <i/>
        <sz val="10"/>
        <color rgb="FFC00000"/>
        <rFont val="Arial"/>
        <family val="2"/>
        <charset val="204"/>
      </rPr>
      <t>автомат шаклланади</t>
    </r>
  </si>
  <si>
    <r>
      <t xml:space="preserve">Календар йилидаги жами товар айланмадаги ноль даражали ставка қўлланадиган айланмалар бўйича </t>
    </r>
    <r>
      <rPr>
        <b/>
        <i/>
        <sz val="10"/>
        <color rgb="FFC00000"/>
        <rFont val="Arial"/>
        <family val="2"/>
        <charset val="204"/>
      </rPr>
      <t>автомат шаклланади</t>
    </r>
  </si>
  <si>
    <r>
      <rPr>
        <i/>
        <sz val="10"/>
        <color rgb="FF002060"/>
        <rFont val="Arial"/>
        <family val="2"/>
        <charset val="204"/>
      </rPr>
      <t>Марказий банкдан ҳар бир экспорт шартномаси бўйича келиб тушаётган маблағлар тўғрисидаги  маълумот алмашиш тизимини жорий қилиш ҳисобига</t>
    </r>
    <r>
      <rPr>
        <i/>
        <sz val="10"/>
        <color rgb="FFFF0000"/>
        <rFont val="Arial"/>
        <family val="2"/>
        <charset val="204"/>
      </rPr>
      <t xml:space="preserve"> </t>
    </r>
    <r>
      <rPr>
        <b/>
        <i/>
        <sz val="10"/>
        <color rgb="FFC00000"/>
        <rFont val="Arial"/>
        <family val="2"/>
        <charset val="204"/>
      </rPr>
      <t>автоматик шакллантириш</t>
    </r>
  </si>
  <si>
    <r>
      <t xml:space="preserve">Мазкур илованинги 0101-сатрнинг 010-сатрдаги фоиздаги улушидан </t>
    </r>
    <r>
      <rPr>
        <b/>
        <i/>
        <sz val="10"/>
        <color rgb="FFC00000"/>
        <rFont val="Arial"/>
        <family val="2"/>
        <charset val="204"/>
      </rPr>
      <t>автоматик шаклланади</t>
    </r>
  </si>
  <si>
    <r>
      <t xml:space="preserve">Мазкур илованинги 0102-сатрнинг 010-сатрдаги фоиздаги улушидан </t>
    </r>
    <r>
      <rPr>
        <b/>
        <i/>
        <sz val="10"/>
        <color rgb="FFC00000"/>
        <rFont val="Arial"/>
        <family val="2"/>
        <charset val="204"/>
      </rPr>
      <t>автоматик шаклланади</t>
    </r>
  </si>
  <si>
    <r>
      <t xml:space="preserve">Мазкур илованинги 0103-сатрнинг 010-сатрдаги фоиздаги улушидан </t>
    </r>
    <r>
      <rPr>
        <b/>
        <i/>
        <sz val="10"/>
        <color rgb="FFC00000"/>
        <rFont val="Arial"/>
        <family val="2"/>
        <charset val="204"/>
      </rPr>
      <t>автоматик шаклланади</t>
    </r>
  </si>
  <si>
    <r>
      <t xml:space="preserve">Мазкур илованинги 0104-сатрнинг 010-сатрдаги фоиздаги улушидан </t>
    </r>
    <r>
      <rPr>
        <b/>
        <i/>
        <sz val="10"/>
        <color rgb="FFC00000"/>
        <rFont val="Arial"/>
        <family val="2"/>
        <charset val="204"/>
      </rPr>
      <t>автоматик шаклланади</t>
    </r>
  </si>
  <si>
    <r>
      <t xml:space="preserve">Охирги солиқ даври учун тақдим этилган ҳисоб-китоб 3-иловасининг 040-сатридан </t>
    </r>
    <r>
      <rPr>
        <b/>
        <i/>
        <sz val="10"/>
        <color rgb="FFC00000"/>
        <rFont val="Arial"/>
        <family val="2"/>
        <charset val="204"/>
      </rPr>
      <t>автоматик шаклланади</t>
    </r>
  </si>
  <si>
    <t>*Агар ҳисоб-китобнинг 030-сатр кўрсаткичи салбий бўлса, мазкур сумма Солиқ кодексининг 
274-моддасида белгиланган тартибда қайтариб олиниши ёки келгуси тўловлар ҳисобга олиш учун қолдириши мумкин.</t>
  </si>
  <si>
    <t>Келиб тушган чет эл валютасининг салмоғи  (01042-сатр / 01041-сатр х 100)</t>
  </si>
  <si>
    <r>
      <t xml:space="preserve">Бир томонлама ЭҲФ маълумотлари бўйича </t>
    </r>
    <r>
      <rPr>
        <b/>
        <i/>
        <sz val="12"/>
        <color rgb="FFC00000"/>
        <rFont val="Arial"/>
        <family val="2"/>
        <charset val="204"/>
      </rPr>
      <t xml:space="preserve">автомат шаклланади </t>
    </r>
    <r>
      <rPr>
        <i/>
        <sz val="10"/>
        <rFont val="Arial"/>
        <family val="2"/>
        <charset val="204"/>
      </rPr>
      <t>(СК-248м)</t>
    </r>
  </si>
  <si>
    <r>
      <t xml:space="preserve">ЭҲФлар асосида автомат шаклланадиган 
4-илованинг 7-устунидан </t>
    </r>
    <r>
      <rPr>
        <b/>
        <i/>
        <sz val="10"/>
        <color rgb="FFC00000"/>
        <rFont val="Arial"/>
        <family val="2"/>
        <charset val="204"/>
      </rPr>
      <t>автотик шаклланади</t>
    </r>
  </si>
  <si>
    <r>
      <t xml:space="preserve">ЭҲФлар асосида автомат шаклланадиган 
4-илованинг 9-устунидан </t>
    </r>
    <r>
      <rPr>
        <b/>
        <i/>
        <sz val="10"/>
        <color rgb="FFC00000"/>
        <rFont val="Arial"/>
        <family val="2"/>
        <charset val="204"/>
      </rPr>
      <t>автоматик шаклланади</t>
    </r>
  </si>
  <si>
    <r>
      <t xml:space="preserve">Календар йилидаги 15% ставка бўйича  жами товар айланма маълумотлари асосида </t>
    </r>
    <r>
      <rPr>
        <b/>
        <i/>
        <sz val="10"/>
        <color rgb="FFC00000"/>
        <rFont val="Arial"/>
        <family val="2"/>
        <charset val="204"/>
      </rPr>
      <t>автоматик шаклланади</t>
    </r>
  </si>
  <si>
    <r>
      <t xml:space="preserve">Мазкур илованинги 01042-сатрнинг 01041-сатрдаги фоиздаги улушидан </t>
    </r>
    <r>
      <rPr>
        <b/>
        <i/>
        <sz val="10"/>
        <color rgb="FFC00000"/>
        <rFont val="Arial"/>
        <family val="2"/>
        <charset val="204"/>
      </rPr>
      <t>автоматик шаклланади</t>
    </r>
  </si>
  <si>
    <t>01071</t>
  </si>
  <si>
    <t>01072</t>
  </si>
  <si>
    <t>01073</t>
  </si>
  <si>
    <t>0110</t>
  </si>
  <si>
    <r>
      <rPr>
        <i/>
        <u/>
        <sz val="10"/>
        <color rgb="FF002060"/>
        <rFont val="Arial"/>
        <family val="2"/>
        <charset val="204"/>
      </rPr>
      <t xml:space="preserve">БЮД маълумотлари асосида </t>
    </r>
    <r>
      <rPr>
        <b/>
        <i/>
        <u/>
        <sz val="10"/>
        <color rgb="FFC00000"/>
        <rFont val="Arial"/>
        <family val="2"/>
        <charset val="204"/>
      </rPr>
      <t>автоматик шакллантириш</t>
    </r>
    <r>
      <rPr>
        <i/>
        <u/>
        <sz val="10"/>
        <color rgb="FFC00000"/>
        <rFont val="Arial"/>
        <family val="2"/>
        <charset val="204"/>
      </rPr>
      <t>.</t>
    </r>
  </si>
  <si>
    <r>
      <rPr>
        <i/>
        <u/>
        <sz val="10"/>
        <color rgb="FF002060"/>
        <rFont val="Arial"/>
        <family val="2"/>
        <charset val="204"/>
      </rPr>
      <t>Солиқ кодексининг 262-моддаси бўйича имтиёз қўлланилган оборотларни боғлаш</t>
    </r>
    <r>
      <rPr>
        <i/>
        <u/>
        <sz val="10"/>
        <color rgb="FFC00000"/>
        <rFont val="Arial"/>
        <family val="2"/>
        <charset val="204"/>
      </rPr>
      <t xml:space="preserve"> </t>
    </r>
    <r>
      <rPr>
        <i/>
        <u/>
        <sz val="10"/>
        <color rgb="FF002060"/>
        <rFont val="Arial"/>
        <family val="2"/>
        <charset val="204"/>
      </rPr>
      <t xml:space="preserve">орқали </t>
    </r>
    <r>
      <rPr>
        <b/>
        <i/>
        <u/>
        <sz val="10"/>
        <color rgb="FFC00000"/>
        <rFont val="Arial"/>
        <family val="2"/>
        <charset val="204"/>
      </rPr>
      <t>автоматик шакллантириш</t>
    </r>
  </si>
  <si>
    <r>
      <rPr>
        <i/>
        <u/>
        <sz val="10"/>
        <color rgb="FF002060"/>
        <rFont val="Arial"/>
        <family val="2"/>
        <charset val="204"/>
      </rPr>
      <t>Солиқ кодексининг 260-моддаси биринчи қисми 3-бандида назарда тутилган имтиёзни танлаш имкониятини яратиш</t>
    </r>
    <r>
      <rPr>
        <i/>
        <u/>
        <sz val="10"/>
        <color rgb="FFC00000"/>
        <rFont val="Arial"/>
        <family val="2"/>
        <charset val="204"/>
      </rPr>
      <t xml:space="preserve"> </t>
    </r>
    <r>
      <rPr>
        <b/>
        <i/>
        <u/>
        <sz val="10"/>
        <color rgb="FFC00000"/>
        <rFont val="Arial"/>
        <family val="2"/>
        <charset val="204"/>
      </rPr>
      <t>орқали автоматик шакллантириш</t>
    </r>
  </si>
  <si>
    <r>
      <rPr>
        <i/>
        <u/>
        <sz val="10"/>
        <color rgb="FF002060"/>
        <rFont val="Arial"/>
        <family val="2"/>
        <charset val="204"/>
      </rPr>
      <t>Солиқ кодексининг 264-моддаси учинчи қисмида назарда тутилган имтиёзни танлаш имкониятини яратиш орқали</t>
    </r>
    <r>
      <rPr>
        <i/>
        <u/>
        <sz val="10"/>
        <color rgb="FFC00000"/>
        <rFont val="Arial"/>
        <family val="2"/>
        <charset val="204"/>
      </rPr>
      <t xml:space="preserve"> </t>
    </r>
    <r>
      <rPr>
        <b/>
        <i/>
        <u/>
        <sz val="10"/>
        <color rgb="FFC00000"/>
        <rFont val="Arial"/>
        <family val="2"/>
        <charset val="204"/>
      </rPr>
      <t>автоматик шакллантириш</t>
    </r>
  </si>
  <si>
    <r>
      <rPr>
        <i/>
        <u/>
        <sz val="10"/>
        <color rgb="FF002060"/>
        <rFont val="Arial"/>
        <family val="2"/>
        <charset val="204"/>
      </rPr>
      <t>Солиқ кодексининг 260-моддаси биринчи қисми 4-бандида назарда тутилган имтиёзни танлаш имкониятини яратиш</t>
    </r>
    <r>
      <rPr>
        <i/>
        <u/>
        <sz val="10"/>
        <color rgb="FFC00000"/>
        <rFont val="Arial"/>
        <family val="2"/>
        <charset val="204"/>
      </rPr>
      <t xml:space="preserve"> </t>
    </r>
    <r>
      <rPr>
        <b/>
        <i/>
        <u/>
        <sz val="10"/>
        <color rgb="FFC00000"/>
        <rFont val="Arial"/>
        <family val="2"/>
        <charset val="204"/>
      </rPr>
      <t>орқали автоматик шакллантириш</t>
    </r>
  </si>
  <si>
    <r>
      <t xml:space="preserve">"E-aktiv" платформаси тўлиқ ишга тушгандан кейин, ушбу платформа маълумотлари асосида </t>
    </r>
    <r>
      <rPr>
        <b/>
        <i/>
        <u/>
        <sz val="10"/>
        <color rgb="FFC00000"/>
        <rFont val="Arial"/>
        <family val="2"/>
        <charset val="204"/>
      </rPr>
      <t>автоматик шакллантириш</t>
    </r>
  </si>
  <si>
    <t>Электрон ҳисоб-фактуралар орқали реализация қилинган товарлар (хизматлар)</t>
  </si>
  <si>
    <t>Online назорат касса машинаси орқали реализация қилинган товарлар (хизматлар)</t>
  </si>
  <si>
    <t>Market place орқали реализация қилинган товарлар (хизматлар)</t>
  </si>
  <si>
    <t>Экспорт орқали реализация қилинган товарлар (хизматлар)</t>
  </si>
  <si>
    <t>Бошқа даромадлар</t>
  </si>
  <si>
    <t xml:space="preserve">Солиқ кодексининг 267-моддасига асосан ҳисобга олинмайдиган (ҳисобга олиниш мумкин бўлмаган) ҳолатларни солиқ суммаларини ушбу устунлардан ҳисобдан чиқариб ташлайди.
Шу сабабли ҳисобот солиқ тўловчига кўриб чиқиш учун жўнатилганда ушбу сатр мустақил равишда тўлдирилиши мақсадга мувофиқ. </t>
  </si>
  <si>
    <t>Электрон ҳисобварақ-фактурада 20% ставка мавжуд бўлмаганлиги сабабли қўлда тўлдирилади</t>
  </si>
  <si>
    <t>год</t>
  </si>
  <si>
    <t>ҚҚС салбий суммасини қайтариш талаб этилади</t>
  </si>
  <si>
    <t>ҚҚС салбий суммасини келгуси тўловлар учун ҳисобга олиш талаб этилади</t>
  </si>
  <si>
    <t>Қайтариш талаб этиладиган солиқ суммаси</t>
  </si>
  <si>
    <t>сўм</t>
  </si>
  <si>
    <t>солиқ даври</t>
  </si>
  <si>
    <t>ойи</t>
  </si>
  <si>
    <t>Умумбелгиланган</t>
  </si>
  <si>
    <t>Тезлаштирилган</t>
  </si>
  <si>
    <t xml:space="preserve">Сана (кун/ой/йил) </t>
  </si>
  <si>
    <t>Солиқ кодексининг 176-моддасига асосан трансферт нархни белгилашда битимларга тузатиш киритиш натижаларига кўра солиқ тўловчи томонидан мустақил равишда аниқланган тўланмаган солиқлар</t>
  </si>
  <si>
    <t>товарлар солиқ органларида ҳисобга қўйилмаган шартномалар асосида ижарага олинган ёки бепул фойдаланилаётган кўчмас мулк объектларида сақланганда</t>
  </si>
  <si>
    <t>Солиқ даврида ҳисобга олинадиган қўшилган қиймат солиғи (ҚҚС) суммаси  (3-илованинг 040-сатри - 6-илованинг 030-сатри)</t>
  </si>
  <si>
    <r>
      <rPr>
        <i/>
        <sz val="10"/>
        <rFont val="Arial"/>
        <family val="2"/>
        <charset val="204"/>
      </rPr>
      <t xml:space="preserve">3-илованинг 040-сатри  ва 
6-илованинг 030-сатри айирмасидан </t>
    </r>
    <r>
      <rPr>
        <b/>
        <i/>
        <sz val="10"/>
        <color rgb="FFC00000"/>
        <rFont val="Arial"/>
        <family val="2"/>
        <charset val="204"/>
      </rPr>
      <t>автомат шаклланади</t>
    </r>
  </si>
  <si>
    <t>Солиқ давридаги товарларни (хизматларни) реализация қилиш айланмалари, жами ((0101-0105-сатрлар йиғиндиси) - 0110-сатр)</t>
  </si>
  <si>
    <t xml:space="preserve"> Қиймати</t>
  </si>
  <si>
    <t>Товарларни (хизматларни) реализация қилиш бўйича айланмалар, 0111 ва 0112 сатрлардан ташқари</t>
  </si>
  <si>
    <t>Базавий ставка қўлланиладиган айланмалар (0107-сатр - 01071-сатр - 01072-сатр)</t>
  </si>
  <si>
    <t>Товарларни импорт қилишда ҚҚС тўлаш мақсадида товарларнинг божхона қиймати ва ҚҚС киритилмаган ҳолда реализация қилиш нархи ўртасидаги ижобий фарқ суммаси</t>
  </si>
  <si>
    <t xml:space="preserve">15 % ставкада тақдим этилган ҳисобварақ-фактуралар бўйича солиқ солинадиган базага киритилган тузатиш суммаси </t>
  </si>
  <si>
    <t>Трансферт нархни белгилаш натижасида олинмаган даромад суммаси</t>
  </si>
  <si>
    <t>Ўзбекистон Республикаси ҳудуди реализация қилиш жойи деб эътироф этилмайдиган хизматларни кўрсатиш бўйича айланма</t>
  </si>
  <si>
    <r>
      <rPr>
        <b/>
        <i/>
        <sz val="12"/>
        <color theme="3"/>
        <rFont val="Arial"/>
        <family val="2"/>
        <charset val="204"/>
      </rPr>
      <t>Мазкур сатр</t>
    </r>
    <r>
      <rPr>
        <i/>
        <sz val="12"/>
        <color theme="3"/>
        <rFont val="Arial"/>
        <family val="2"/>
        <charset val="204"/>
      </rPr>
      <t xml:space="preserve"> 0101-0105-сатрлар йиғиндиси - 0110-сатр айирмасидан </t>
    </r>
    <r>
      <rPr>
        <b/>
        <i/>
        <sz val="12"/>
        <color rgb="FFC00000"/>
        <rFont val="Arial"/>
        <family val="2"/>
        <charset val="204"/>
      </rPr>
      <t>автоматик шаклланади</t>
    </r>
  </si>
  <si>
    <r>
      <t xml:space="preserve">Мазкур сатр </t>
    </r>
    <r>
      <rPr>
        <b/>
        <i/>
        <u/>
        <sz val="13"/>
        <color rgb="FFC00000"/>
        <rFont val="Arial"/>
        <family val="2"/>
        <charset val="204"/>
      </rPr>
      <t>"ЭҲФ"</t>
    </r>
    <r>
      <rPr>
        <i/>
        <u/>
        <sz val="13"/>
        <rFont val="Arial"/>
        <family val="2"/>
        <charset val="204"/>
      </rPr>
      <t xml:space="preserve"> дан </t>
    </r>
    <r>
      <rPr>
        <b/>
        <i/>
        <u/>
        <sz val="13"/>
        <color rgb="FF00B050"/>
        <rFont val="Arial"/>
        <family val="2"/>
        <charset val="204"/>
      </rPr>
      <t>автоматик шаклланади</t>
    </r>
  </si>
  <si>
    <r>
      <t xml:space="preserve">Мазкур сатр </t>
    </r>
    <r>
      <rPr>
        <b/>
        <i/>
        <u/>
        <sz val="13"/>
        <color rgb="FFC00000"/>
        <rFont val="Arial"/>
        <family val="2"/>
        <charset val="204"/>
      </rPr>
      <t>"ОНКМ"</t>
    </r>
    <r>
      <rPr>
        <i/>
        <u/>
        <sz val="13"/>
        <rFont val="Arial"/>
        <family val="2"/>
        <charset val="204"/>
      </rPr>
      <t xml:space="preserve"> дан </t>
    </r>
    <r>
      <rPr>
        <b/>
        <i/>
        <u/>
        <sz val="13"/>
        <color rgb="FF00B050"/>
        <rFont val="Arial"/>
        <family val="2"/>
        <charset val="204"/>
      </rPr>
      <t>автоматик шаклланади</t>
    </r>
  </si>
  <si>
    <r>
      <t xml:space="preserve">Мазкур сатр </t>
    </r>
    <r>
      <rPr>
        <b/>
        <i/>
        <u/>
        <sz val="13"/>
        <color rgb="FFC00000"/>
        <rFont val="Arial"/>
        <family val="2"/>
        <charset val="204"/>
      </rPr>
      <t>"Market place"</t>
    </r>
    <r>
      <rPr>
        <i/>
        <u/>
        <sz val="13"/>
        <rFont val="Arial"/>
        <family val="2"/>
        <charset val="204"/>
      </rPr>
      <t xml:space="preserve"> дан </t>
    </r>
    <r>
      <rPr>
        <b/>
        <i/>
        <u/>
        <sz val="13"/>
        <color rgb="FF00B050"/>
        <rFont val="Arial"/>
        <family val="2"/>
        <charset val="204"/>
      </rPr>
      <t>автоматик шаклланади</t>
    </r>
  </si>
  <si>
    <r>
      <t xml:space="preserve">Мазкур сатр </t>
    </r>
    <r>
      <rPr>
        <b/>
        <i/>
        <u/>
        <sz val="13"/>
        <color rgb="FFC00000"/>
        <rFont val="Arial"/>
        <family val="2"/>
        <charset val="204"/>
      </rPr>
      <t>"БЮД"</t>
    </r>
    <r>
      <rPr>
        <i/>
        <u/>
        <sz val="13"/>
        <rFont val="Arial"/>
        <family val="2"/>
        <charset val="204"/>
      </rPr>
      <t xml:space="preserve"> дан </t>
    </r>
    <r>
      <rPr>
        <b/>
        <i/>
        <u/>
        <sz val="13"/>
        <color rgb="FF00B050"/>
        <rFont val="Arial"/>
        <family val="2"/>
        <charset val="204"/>
      </rPr>
      <t>автоматик шаклланади</t>
    </r>
  </si>
  <si>
    <t>Қўлда киритилади</t>
  </si>
  <si>
    <r>
      <rPr>
        <b/>
        <i/>
        <sz val="12"/>
        <color rgb="FF002060"/>
        <rFont val="Arial"/>
        <family val="2"/>
        <charset val="204"/>
      </rPr>
      <t>Мазкур сатр</t>
    </r>
    <r>
      <rPr>
        <i/>
        <sz val="12"/>
        <color rgb="FF002060"/>
        <rFont val="Arial"/>
        <family val="2"/>
        <charset val="204"/>
      </rPr>
      <t xml:space="preserve"> 0105-сатр 12% кўпайтмасидан </t>
    </r>
    <r>
      <rPr>
        <b/>
        <i/>
        <sz val="12"/>
        <color rgb="FFC00000"/>
        <rFont val="Arial"/>
        <family val="2"/>
        <charset val="204"/>
      </rPr>
      <t>автоматик шаклланади</t>
    </r>
  </si>
  <si>
    <r>
      <rPr>
        <b/>
        <i/>
        <sz val="12"/>
        <color rgb="FF002060"/>
        <rFont val="Arial"/>
        <family val="2"/>
        <charset val="204"/>
      </rPr>
      <t>Мазкур сатр</t>
    </r>
    <r>
      <rPr>
        <i/>
        <sz val="12"/>
        <color rgb="FF002060"/>
        <rFont val="Arial"/>
        <family val="2"/>
        <charset val="204"/>
      </rPr>
      <t xml:space="preserve"> 0106-сатр 12% кўпайтмасидан </t>
    </r>
    <r>
      <rPr>
        <b/>
        <i/>
        <sz val="12"/>
        <color rgb="FFC00000"/>
        <rFont val="Arial"/>
        <family val="2"/>
        <charset val="204"/>
      </rPr>
      <t>автоматик шаклланади</t>
    </r>
  </si>
  <si>
    <r>
      <rPr>
        <b/>
        <i/>
        <sz val="12"/>
        <color rgb="FF002060"/>
        <rFont val="Arial"/>
        <family val="2"/>
        <charset val="204"/>
      </rPr>
      <t>Мазкур сатр</t>
    </r>
    <r>
      <rPr>
        <i/>
        <sz val="12"/>
        <color rgb="FF002060"/>
        <rFont val="Arial"/>
        <family val="2"/>
        <charset val="204"/>
      </rPr>
      <t xml:space="preserve"> 0107-сатр 12% кўпайтмасидан </t>
    </r>
    <r>
      <rPr>
        <b/>
        <i/>
        <sz val="12"/>
        <color rgb="FFC00000"/>
        <rFont val="Arial"/>
        <family val="2"/>
        <charset val="204"/>
      </rPr>
      <t>автоматик шаклланади</t>
    </r>
  </si>
  <si>
    <r>
      <t xml:space="preserve">Мазкур илованинг 0107-сатридан 01071, 01072-сатрлари айирмасидан </t>
    </r>
    <r>
      <rPr>
        <b/>
        <i/>
        <sz val="12"/>
        <color rgb="FFC00000"/>
        <rFont val="Arial"/>
        <family val="2"/>
        <charset val="204"/>
      </rPr>
      <t>автомат шаклланади</t>
    </r>
  </si>
  <si>
    <r>
      <t xml:space="preserve">3-устундаги сумманинг 12% ҳисобланиши бўйича </t>
    </r>
    <r>
      <rPr>
        <b/>
        <i/>
        <sz val="12"/>
        <color rgb="FFC00000"/>
        <rFont val="Arial"/>
        <family val="2"/>
        <charset val="204"/>
      </rPr>
      <t>автомат шаклланади</t>
    </r>
  </si>
  <si>
    <t>Электрон ҳисобварақ-фактура орқали автоматик шаклланади</t>
  </si>
  <si>
    <t>0216</t>
  </si>
  <si>
    <t>0217</t>
  </si>
  <si>
    <t>0218</t>
  </si>
  <si>
    <t>0219</t>
  </si>
  <si>
    <t>0220</t>
  </si>
  <si>
    <t>0221</t>
  </si>
  <si>
    <t>0222</t>
  </si>
  <si>
    <t>0223</t>
  </si>
  <si>
    <t>0224</t>
  </si>
  <si>
    <t>0225</t>
  </si>
  <si>
    <t>0226</t>
  </si>
  <si>
    <t>0227</t>
  </si>
  <si>
    <t>0228</t>
  </si>
  <si>
    <t>0229</t>
  </si>
  <si>
    <t>0230</t>
  </si>
  <si>
    <t>(СК 277-м.) 2-қисм 2-банд. Товарлар Ўзбекистон Республикаси ҳудудидан олиб чиқилаётганда солиқ солиш қуйидаги тартибда амалга оширилади: товарлар Ўзбекистон Республикаси ҳудудидан ташқарига реэкспорт божхона тартиб-таомилида олиб чиқилаётганда солиқ тўланмайди, Ўзбекистон Республикаси ҳудудига олиб кириш чоғида тўланган солиқ суммалари эса солиқ тўловчига божхона тўғрисидаги қонунчиликда назарда тутилган тартибда қайтарилади. Мазкур қоида товарлар реэкспорт божхона тартиб-таомилига мувофиқ кейинчалик олиб чиқиш мақсадида божхона омбори божхона тартиб-таомилига жойлаштирилганда ҳам қўлланилади;</t>
  </si>
  <si>
    <r>
      <t xml:space="preserve">Мазкур илованинг 0201-сатридан  0229-сатрларгача йиғиндисидан </t>
    </r>
    <r>
      <rPr>
        <b/>
        <i/>
        <sz val="10"/>
        <color rgb="FFC00000"/>
        <rFont val="Arial"/>
        <family val="2"/>
        <charset val="204"/>
      </rPr>
      <t>автоматик шаклланади</t>
    </r>
  </si>
  <si>
    <t>Халқаро ташиш билан боғлиқ хизматлар реализацияси</t>
  </si>
  <si>
    <r>
      <rPr>
        <i/>
        <u/>
        <sz val="10"/>
        <color rgb="FF002060"/>
        <rFont val="Arial"/>
        <family val="2"/>
        <charset val="204"/>
      </rPr>
      <t>Солиқ кодексининг назарда тутилган имтиёзни танлаш имкониятини яратиш</t>
    </r>
    <r>
      <rPr>
        <i/>
        <u/>
        <sz val="10"/>
        <color rgb="FFC00000"/>
        <rFont val="Arial"/>
        <family val="2"/>
        <charset val="204"/>
      </rPr>
      <t xml:space="preserve"> </t>
    </r>
    <r>
      <rPr>
        <b/>
        <i/>
        <u/>
        <sz val="10"/>
        <color rgb="FFC00000"/>
        <rFont val="Arial"/>
        <family val="2"/>
        <charset val="204"/>
      </rPr>
      <t>орқали автоматик шакллантириш</t>
    </r>
  </si>
  <si>
    <t>Ҳисобга олинадиган ҚҚС суммаси ҳисоб-китоби учун фойдаланиладиган олинган товарлар (хизматлар) бўйича ҚҚС суммаси (0111-сатр + 012-сатр)</t>
  </si>
  <si>
    <t>Божхонада солиқ даврлари бўйича тўланган жами ҚҚС (жорий тўловлар)</t>
  </si>
  <si>
    <t>Божхонада кечиктириб (бўлиб-бўлиб) тўлаш ҳуқуқи берилган ҚҚС</t>
  </si>
  <si>
    <t>ҳисобга олинмайдиган товарлар (хизматлар) бўйича (01121-01124-сатрлар йиғиндиси)</t>
  </si>
  <si>
    <t>Солиқ тўловчи бўлмаган шахс солиқ тўловчи сифатида махсус рўйхатга олиш ҳисобига қўйилганда (солиқ тўлашдан озод этиш бекор қилинганда) ҳисобга олинадиган ҚҚС суммаси</t>
  </si>
  <si>
    <t>гувоҳнома ҳолати актив эмас</t>
  </si>
  <si>
    <t>контрагент гувоҳномаси ҳолати актив эмас</t>
  </si>
  <si>
    <t>ҳисобга олинган ЭҲФларга солиқ органлари томонидан тузатиш киритилган</t>
  </si>
  <si>
    <t>нотижорат ва бюджет ташкилотлари томонидан ўз зиммасига юклатилган вазифаларни бажариш доирасида</t>
  </si>
  <si>
    <t>01121</t>
  </si>
  <si>
    <t>01122</t>
  </si>
  <si>
    <t>01123</t>
  </si>
  <si>
    <t>01124</t>
  </si>
  <si>
    <t>Солиқ тўловчи бўлмаган шахс солиқ тўловчи сифатида махсус рўйхатга олиш ҳисобига қўйилганда (солиқ тўлашдан озод этиш бекор қилинганда) ва ўтган календарь йилда импорт қилинган товарларни олиб кириш чоғида тўлов кечиктирилганлиги сабабли тўланмаган сумманинг ҳисобот даврида божхона органига тўланган қисмини ҳисобга олинадиган ҳамда илгари ҳисобга олинмаган (Солиқ кодексининг 269-270-моддаларида назарда тутилган ҳолларда) ҚҚС суммасини ҳисобга олиш (5-илова 1-жадвал)</t>
  </si>
  <si>
    <t>0121</t>
  </si>
  <si>
    <t>0122</t>
  </si>
  <si>
    <t>0123</t>
  </si>
  <si>
    <t>0124</t>
  </si>
  <si>
    <t>Ўтган календарь йилда импорт қилинган товарларни олиб кириш чоғида тўлов кечиктирилганлиги сабабли тўланмаган сумманинг ҳисобот даврида божхона органига тўланган қисми бўйича ҳисобга олинадиган ҚҚС суммаси</t>
  </si>
  <si>
    <t>Базавий ставка қўлланиладиган айланмалар учун (020-сатр х 6-илова 0201-сатр)</t>
  </si>
  <si>
    <t>ҚҚСдан озод қилинадиган айланмалар учун (020-сатр х 6-илова 0202-сатр)</t>
  </si>
  <si>
    <t>ноль даражали ставка қўлланиладиган (товарлар экспортидан ташқари), шунингдек Ўзбекистон Республикаси ҳудуди реализация қилиш жойи деб эътироф этилмайдиган хизматларни кўрсатиш бўйича айланмалар учун (020-сатр х 6-илова 0203-сатр)</t>
  </si>
  <si>
    <t>товарларни экспортга реализация қилиш бўйича ноль даражали ставка қўлланиладиган айланмалар учун (020-сатр х 6-илова 0204-сатр)</t>
  </si>
  <si>
    <t>Базавий ставка қўлланиладиган айланмалар учун</t>
  </si>
  <si>
    <t>Харид қилинган товарлар (хизматлар) бўйича ҳисобга олинадиган қўшилган қиймат солиғи суммаси (0401-сатр + 0402-сатр + 04031-сатр + 100-сатр - 1100-сатр)</t>
  </si>
  <si>
    <t>Базавий ставка қўлланиладиган айланмалар учун (0201-сатр + 0301-сатр)</t>
  </si>
  <si>
    <t>шу жумладан, валюта тушуми келиб тушганлари бўйича (0403-сатр х 6-Илова 01044-сатр / 100)</t>
  </si>
  <si>
    <t>Ўзбекистон Республикаси Солиқ кодексининг 266-моддаси учинчи қисмига асосан ҳисобга олиниши лозим бўлган ҚҚС суммаси</t>
  </si>
  <si>
    <t>04033</t>
  </si>
  <si>
    <t>Экспорт қилинишида ноль фоизли ставка қўлланиладиган, аввалги календарь йилда улар бўйича тўлов келиб тушмаган товарлар қиймати (чет эл валютасида)</t>
  </si>
  <si>
    <t>Аввалги календарь йилда экспорт жўнатмалари учун жорий календарь йилда ҳақиқатда келиб тушган тўлов ҳажмининг салмоғи (070-сатр / 060-сатр х 100)</t>
  </si>
  <si>
    <t>Аввалги календарь йилда валюта тушуми тўлиқ келиб тушмаганлиги сабабли ҳисобга олинмаган ҚҚС суммаси (ўтган календар йилининг 12 ойи 100-сатри-110-сатр+04032-сатр)</t>
  </si>
  <si>
    <t>Аввалги календарь йилда экспортга реализация қилинган товарлар бўйича тушум жорий календарь йилда келиб тушиши муносабати билан ҳисобга олинадиган ҚҚС суммаси (080-сатр х 090-сатр / 100)</t>
  </si>
  <si>
    <t>Илгари ҳисобга олинган солиқ суммаларига киритиладиган тузатиш суммаси (1101-1112-сатрлар йиғиндиси)</t>
  </si>
  <si>
    <t>1100</t>
  </si>
  <si>
    <t>товарлардан (хизматлардан) келгусида солиқ солишдан озод этилган айланма учун фойдаланиш бўйича**</t>
  </si>
  <si>
    <t>1101</t>
  </si>
  <si>
    <t>етказиб берувчи томонидан тақдим этилган ҳисобварақ-фактуралар қалбаки ёки кўзбўямачилик битими натижасида тузилган деб эътироф этилганда</t>
  </si>
  <si>
    <t>товарлар текинга олинганда</t>
  </si>
  <si>
    <t>Фаолият тури билан боғлиқ бўлмаган товарлар (хизматлар) харид қилиб олинганда</t>
  </si>
  <si>
    <t>Солиқ кодексининг 266-моддасига асосан божхонада тўланмаган солиқларни ҳисобдан чиқариш</t>
  </si>
  <si>
    <t>1102</t>
  </si>
  <si>
    <t>1103</t>
  </si>
  <si>
    <t>1104</t>
  </si>
  <si>
    <t>1105</t>
  </si>
  <si>
    <t>1106</t>
  </si>
  <si>
    <t>1107</t>
  </si>
  <si>
    <t>1108</t>
  </si>
  <si>
    <t>1109</t>
  </si>
  <si>
    <t>1110</t>
  </si>
  <si>
    <t>1111</t>
  </si>
  <si>
    <t>1112</t>
  </si>
  <si>
    <r>
      <t xml:space="preserve">Мазкур илованинг 0111, 012-сатрларини  йиғиндисидан </t>
    </r>
    <r>
      <rPr>
        <b/>
        <i/>
        <sz val="10"/>
        <color rgb="FFC00000"/>
        <rFont val="Arial"/>
        <family val="2"/>
        <charset val="204"/>
      </rPr>
      <t>автоматик шаклланади.</t>
    </r>
  </si>
  <si>
    <r>
      <t xml:space="preserve">Божхона органлари маълумотлари асосида </t>
    </r>
    <r>
      <rPr>
        <b/>
        <i/>
        <sz val="10"/>
        <color rgb="FFC00000"/>
        <rFont val="Arial"/>
        <family val="2"/>
        <charset val="204"/>
      </rPr>
      <t>автоматик шаклланади.</t>
    </r>
  </si>
  <si>
    <r>
      <t xml:space="preserve">ЭҲФлар асосида </t>
    </r>
    <r>
      <rPr>
        <b/>
        <i/>
        <sz val="10"/>
        <color rgb="FFC00000"/>
        <rFont val="Arial"/>
        <family val="2"/>
        <charset val="204"/>
      </rPr>
      <t>автоматик шаклланади</t>
    </r>
  </si>
  <si>
    <t>Интерактив хизматлар орқали автоматик шаклланади</t>
  </si>
  <si>
    <r>
      <t xml:space="preserve">Мазкур илованинг 020-сатрини 6-илова 0201-сатридаги  </t>
    </r>
    <r>
      <rPr>
        <i/>
        <sz val="10"/>
        <color rgb="FFC00000"/>
        <rFont val="Arial"/>
        <family val="2"/>
        <charset val="204"/>
      </rPr>
      <t>(жами товар айланмадан 12% ставка бўйича товар айланманинг улуши)</t>
    </r>
    <r>
      <rPr>
        <i/>
        <sz val="10"/>
        <color theme="3"/>
        <rFont val="Arial"/>
        <family val="2"/>
        <charset val="204"/>
      </rPr>
      <t xml:space="preserve">    кўпайтмадан </t>
    </r>
    <r>
      <rPr>
        <b/>
        <i/>
        <sz val="10"/>
        <color rgb="FFC00000"/>
        <rFont val="Arial"/>
        <family val="2"/>
        <charset val="204"/>
      </rPr>
      <t>автоматик шаклланади</t>
    </r>
  </si>
  <si>
    <r>
      <t xml:space="preserve">Мазкур илованинг 020-сатрини 6-илова 0202-сатридаги  </t>
    </r>
    <r>
      <rPr>
        <i/>
        <sz val="10"/>
        <color rgb="FFC00000"/>
        <rFont val="Arial"/>
        <family val="2"/>
        <charset val="204"/>
      </rPr>
      <t>(жами товар айланмадан 12% ставка бўйича товар айланманинг улуши)</t>
    </r>
    <r>
      <rPr>
        <i/>
        <sz val="10"/>
        <color theme="3"/>
        <rFont val="Arial"/>
        <family val="2"/>
        <charset val="204"/>
      </rPr>
      <t xml:space="preserve">    кўпайтмадан </t>
    </r>
    <r>
      <rPr>
        <b/>
        <i/>
        <sz val="10"/>
        <color rgb="FFC00000"/>
        <rFont val="Arial"/>
        <family val="2"/>
        <charset val="204"/>
      </rPr>
      <t>автоматик шаклланади</t>
    </r>
  </si>
  <si>
    <r>
      <t xml:space="preserve">Мазкур илованинг 020-сатрини 6-илова 0203-сатридаги  </t>
    </r>
    <r>
      <rPr>
        <i/>
        <sz val="10"/>
        <color rgb="FFC00000"/>
        <rFont val="Arial"/>
        <family val="2"/>
        <charset val="204"/>
      </rPr>
      <t>(жами товар айланмадан 12% ставка бўйича товар айланманинг улуши)</t>
    </r>
    <r>
      <rPr>
        <i/>
        <sz val="10"/>
        <color theme="3"/>
        <rFont val="Arial"/>
        <family val="2"/>
        <charset val="204"/>
      </rPr>
      <t xml:space="preserve">    кўпайтмадан </t>
    </r>
    <r>
      <rPr>
        <b/>
        <i/>
        <sz val="10"/>
        <color rgb="FFC00000"/>
        <rFont val="Arial"/>
        <family val="2"/>
        <charset val="204"/>
      </rPr>
      <t>автоматик шаклланади</t>
    </r>
  </si>
  <si>
    <r>
      <t xml:space="preserve">Мазкур илованинг 020-сатрини 6-илова 0204-сатридаги  </t>
    </r>
    <r>
      <rPr>
        <i/>
        <sz val="10"/>
        <color rgb="FFC00000"/>
        <rFont val="Arial"/>
        <family val="2"/>
        <charset val="204"/>
      </rPr>
      <t>(жами товар айланмадан 12% ставка бўйича товар айланманинг улуши)</t>
    </r>
    <r>
      <rPr>
        <i/>
        <sz val="10"/>
        <color theme="3"/>
        <rFont val="Arial"/>
        <family val="2"/>
        <charset val="204"/>
      </rPr>
      <t xml:space="preserve">    кўпайтмадан </t>
    </r>
    <r>
      <rPr>
        <b/>
        <i/>
        <sz val="10"/>
        <color rgb="FFC00000"/>
        <rFont val="Arial"/>
        <family val="2"/>
        <charset val="204"/>
      </rPr>
      <t>автоматик шаклланади</t>
    </r>
  </si>
  <si>
    <t>Солиқ тўловчи томонидан қўлда тўлдирилади</t>
  </si>
  <si>
    <r>
      <t xml:space="preserve">Мазкур илованинги 100-сатридан 110-сатри айирмасига 04032-сатрини қўшиш орқали </t>
    </r>
    <r>
      <rPr>
        <b/>
        <i/>
        <sz val="10"/>
        <color rgb="FFC00000"/>
        <rFont val="Arial"/>
        <family val="2"/>
        <charset val="204"/>
      </rPr>
      <t>автоматик шаклланади</t>
    </r>
  </si>
  <si>
    <r>
      <t xml:space="preserve">Мазкур илованинги 080-сатрини 090-сатрига кўпайтириб 100 га бўлиш орқали </t>
    </r>
    <r>
      <rPr>
        <b/>
        <i/>
        <sz val="10"/>
        <color rgb="FFC00000"/>
        <rFont val="Arial"/>
        <family val="2"/>
        <charset val="204"/>
      </rPr>
      <t>автоматик шаклланади</t>
    </r>
  </si>
  <si>
    <r>
      <t xml:space="preserve">Мазкур илованинги 070-сатрини 060-сатрига бўлиб 100га кўпайтириш  орқали </t>
    </r>
    <r>
      <rPr>
        <b/>
        <i/>
        <sz val="10"/>
        <color rgb="FFC00000"/>
        <rFont val="Arial"/>
        <family val="2"/>
        <charset val="204"/>
      </rPr>
      <t>автоматик шаклланади</t>
    </r>
  </si>
  <si>
    <r>
      <t xml:space="preserve">Мазкур илованинги 1101-сатридан 0112-сатрини айириш орқали </t>
    </r>
    <r>
      <rPr>
        <b/>
        <i/>
        <sz val="10"/>
        <color rgb="FFC00000"/>
        <rFont val="Arial"/>
        <family val="2"/>
        <charset val="204"/>
      </rPr>
      <t>автоматик шаклланади</t>
    </r>
  </si>
  <si>
    <t>шундан</t>
  </si>
  <si>
    <t xml:space="preserve"> Ҳисобга олинган ЭҲФлар бўйича</t>
  </si>
  <si>
    <t xml:space="preserve"> Гувохнома ҳолати бўйича ҳисобга олинмаган ЭҲФлар бўйича</t>
  </si>
  <si>
    <t>Солиқ тўловчи бўлмаган шахс солиқ тўловчи сифатида махсус рўйхатга олиш ҳисобига қўйилганда (солиқ тўлашдан озод этиш бекор қилинганда) ва ўтган календарь йилда импорт қилинган товарларни олиб кириш чоғида тўлов кечиктирилганлиги сабабли тўланмаган сумманинг ҳисобот даврида божхона органига тўланган қисмини ҳисобга олинадиган ҳамда илгари ҳисобга олинмаган (Солиқ кодексининг 269-270-моддаларида назарда тутилган ҳолларда) ҚҚС суммасини ҳисобга олиш РЕЕСТРИ (Қолдиқ товар)</t>
  </si>
  <si>
    <t>Ҳисобга олиш учун қабул қилинган ҚҚС суммасини Солиқ кодексининг 266-267-269-271-моддаларига асосан ҳисобдан чиқариш РЕЕСТРИ</t>
  </si>
  <si>
    <t>Тузатиш санаси</t>
  </si>
  <si>
    <t>ЭҲФ ёки БЮД рақами</t>
  </si>
  <si>
    <t>ЭҲФ ёки БЮД санаси</t>
  </si>
  <si>
    <t>ЭҲФ ID рақами ёки БЮД кўрсаткичлари (пост рақами/санаси/БЮД рақами)</t>
  </si>
  <si>
    <t>Ҳисобга олиш учун қабул қилинган</t>
  </si>
  <si>
    <t>Ҳисобдан чиқарилган</t>
  </si>
  <si>
    <r>
      <t xml:space="preserve">Интерактив хизматлар орқали </t>
    </r>
    <r>
      <rPr>
        <b/>
        <i/>
        <u/>
        <sz val="11"/>
        <color rgb="FFC00000"/>
        <rFont val="Arial"/>
        <family val="2"/>
        <charset val="204"/>
      </rPr>
      <t>автоматик шаклланади.</t>
    </r>
    <r>
      <rPr>
        <i/>
        <u/>
        <sz val="11"/>
        <color rgb="FF002060"/>
        <rFont val="Arial"/>
        <family val="2"/>
        <charset val="204"/>
      </rPr>
      <t xml:space="preserve">
</t>
    </r>
  </si>
  <si>
    <t>Базавий ставка қўлланиладиган айланмалар</t>
  </si>
  <si>
    <r>
      <t xml:space="preserve">Қўшилган қиймат солиғи </t>
    </r>
    <r>
      <rPr>
        <b/>
        <sz val="14"/>
        <color rgb="FFC00000"/>
        <rFont val="Calibri"/>
        <family val="2"/>
        <charset val="204"/>
        <scheme val="minor"/>
      </rPr>
      <t>ҳисоботини</t>
    </r>
    <r>
      <rPr>
        <b/>
        <sz val="14"/>
        <color rgb="FFFF0000"/>
        <rFont val="Calibri"/>
        <family val="2"/>
        <charset val="204"/>
        <scheme val="minor"/>
      </rPr>
      <t xml:space="preserve"> </t>
    </r>
    <r>
      <rPr>
        <b/>
        <sz val="14"/>
        <color rgb="FFC00000"/>
        <rFont val="Calibri"/>
        <family val="2"/>
        <charset val="204"/>
        <scheme val="minor"/>
      </rPr>
      <t xml:space="preserve">автоматшакллантириш </t>
    </r>
    <r>
      <rPr>
        <b/>
        <sz val="14"/>
        <color rgb="FF002060"/>
        <rFont val="Calibri"/>
        <family val="2"/>
        <charset val="204"/>
        <scheme val="minor"/>
      </rPr>
      <t>юзасидан таҳлилий жадвал 
МАЪЛУМОТ</t>
    </r>
  </si>
  <si>
    <t>Қўшилган қиймат солиғи
ҳисоботи жадваллари</t>
  </si>
  <si>
    <r>
      <t xml:space="preserve">Жами </t>
    </r>
    <r>
      <rPr>
        <sz val="11"/>
        <color rgb="FF0070C0"/>
        <rFont val="Calibri"/>
        <family val="2"/>
        <charset val="204"/>
        <scheme val="minor"/>
      </rPr>
      <t>катаклар</t>
    </r>
    <r>
      <rPr>
        <sz val="11"/>
        <rFont val="Calibri"/>
        <family val="2"/>
        <charset val="204"/>
        <scheme val="minor"/>
      </rPr>
      <t xml:space="preserve"> сони</t>
    </r>
  </si>
  <si>
    <t>жумладан</t>
  </si>
  <si>
    <t>Автомат шакл-ланади</t>
  </si>
  <si>
    <t>%</t>
  </si>
  <si>
    <t>Қўлда тўлдири-лади</t>
  </si>
  <si>
    <t>ЭҲФ, ОНКМ ва Market Place</t>
  </si>
  <si>
    <t>Божхона маълумотлари</t>
  </si>
  <si>
    <t>Интерактив хизматлар</t>
  </si>
  <si>
    <t>Формула орқали шаклланувчи</t>
  </si>
  <si>
    <t>ЖАМИ</t>
  </si>
  <si>
    <t>Ҳисоб-китоб шакли</t>
  </si>
  <si>
    <r>
      <rPr>
        <b/>
        <sz val="11"/>
        <color rgb="FF0070C0"/>
        <rFont val="Calibri"/>
        <family val="2"/>
        <charset val="204"/>
        <scheme val="minor"/>
      </rPr>
      <t>1-илова</t>
    </r>
    <r>
      <rPr>
        <sz val="11"/>
        <rFont val="Calibri"/>
        <family val="2"/>
        <charset val="204"/>
        <scheme val="minor"/>
      </rPr>
      <t xml:space="preserve">
</t>
    </r>
    <r>
      <rPr>
        <i/>
        <sz val="10"/>
        <color rgb="FFC00000"/>
        <rFont val="Calibri"/>
        <family val="2"/>
        <charset val="204"/>
        <scheme val="minor"/>
      </rPr>
      <t>(Реализация қилиш бўйича айланмалар)</t>
    </r>
  </si>
  <si>
    <r>
      <rPr>
        <b/>
        <sz val="11"/>
        <color rgb="FF0070C0"/>
        <rFont val="Calibri"/>
        <family val="2"/>
        <charset val="204"/>
        <scheme val="minor"/>
      </rPr>
      <t>2-илова</t>
    </r>
    <r>
      <rPr>
        <sz val="11"/>
        <rFont val="Calibri"/>
        <family val="2"/>
        <charset val="204"/>
        <scheme val="minor"/>
      </rPr>
      <t xml:space="preserve">
</t>
    </r>
    <r>
      <rPr>
        <sz val="10"/>
        <color rgb="FFC00000"/>
        <rFont val="Calibri"/>
        <family val="2"/>
        <charset val="204"/>
        <scheme val="minor"/>
      </rPr>
      <t>(О</t>
    </r>
    <r>
      <rPr>
        <i/>
        <sz val="10"/>
        <color rgb="FFC00000"/>
        <rFont val="Calibri"/>
        <family val="2"/>
        <charset val="204"/>
        <scheme val="minor"/>
      </rPr>
      <t>зод қилинадиган ва ноль даражали ставка бўйича айланмалар</t>
    </r>
    <r>
      <rPr>
        <sz val="10"/>
        <color rgb="FFC00000"/>
        <rFont val="Calibri"/>
        <family val="2"/>
        <charset val="204"/>
        <scheme val="minor"/>
      </rPr>
      <t>)</t>
    </r>
  </si>
  <si>
    <r>
      <rPr>
        <b/>
        <sz val="11"/>
        <color theme="4"/>
        <rFont val="Calibri"/>
        <family val="2"/>
        <charset val="204"/>
        <scheme val="minor"/>
      </rPr>
      <t>3-илова</t>
    </r>
    <r>
      <rPr>
        <sz val="11"/>
        <rFont val="Calibri"/>
        <family val="2"/>
        <charset val="204"/>
        <scheme val="minor"/>
      </rPr>
      <t xml:space="preserve">
</t>
    </r>
    <r>
      <rPr>
        <sz val="10"/>
        <color rgb="FFC00000"/>
        <rFont val="Calibri"/>
        <family val="2"/>
        <charset val="204"/>
        <scheme val="minor"/>
      </rPr>
      <t>(</t>
    </r>
    <r>
      <rPr>
        <i/>
        <sz val="10"/>
        <color rgb="FFC00000"/>
        <rFont val="Calibri"/>
        <family val="2"/>
        <charset val="204"/>
        <scheme val="minor"/>
      </rPr>
      <t>Ҳисобга олинадиган қўшилган қиймат солиғи суммаси</t>
    </r>
    <r>
      <rPr>
        <sz val="10"/>
        <color rgb="FFC00000"/>
        <rFont val="Calibri"/>
        <family val="2"/>
        <charset val="204"/>
        <scheme val="minor"/>
      </rPr>
      <t>)</t>
    </r>
  </si>
  <si>
    <r>
      <rPr>
        <b/>
        <sz val="11"/>
        <color theme="4"/>
        <rFont val="Calibri"/>
        <family val="2"/>
        <charset val="204"/>
        <scheme val="minor"/>
      </rPr>
      <t>4-илова 1-жадвал</t>
    </r>
    <r>
      <rPr>
        <sz val="11"/>
        <rFont val="Calibri"/>
        <family val="2"/>
        <charset val="204"/>
        <scheme val="minor"/>
      </rPr>
      <t xml:space="preserve">
</t>
    </r>
    <r>
      <rPr>
        <i/>
        <sz val="10"/>
        <color rgb="FFC00000"/>
        <rFont val="Calibri"/>
        <family val="2"/>
        <charset val="204"/>
        <scheme val="minor"/>
      </rPr>
      <t>(Харид қилинган товарлар реестри)</t>
    </r>
  </si>
  <si>
    <r>
      <rPr>
        <b/>
        <sz val="11"/>
        <color theme="4"/>
        <rFont val="Calibri"/>
        <family val="2"/>
        <charset val="204"/>
        <scheme val="minor"/>
      </rPr>
      <t>4-илова 2-жадвал</t>
    </r>
    <r>
      <rPr>
        <sz val="11"/>
        <rFont val="Calibri"/>
        <family val="2"/>
        <charset val="204"/>
        <scheme val="minor"/>
      </rPr>
      <t xml:space="preserve">
</t>
    </r>
    <r>
      <rPr>
        <i/>
        <sz val="10"/>
        <color rgb="FFC00000"/>
        <rFont val="Calibri"/>
        <family val="2"/>
        <charset val="204"/>
        <scheme val="minor"/>
      </rPr>
      <t>(Реализация қилинган товарлар реестри)</t>
    </r>
  </si>
  <si>
    <r>
      <rPr>
        <b/>
        <sz val="11"/>
        <color theme="4"/>
        <rFont val="Calibri"/>
        <family val="2"/>
        <charset val="204"/>
        <scheme val="minor"/>
      </rPr>
      <t>4-илова 3-жадвал</t>
    </r>
    <r>
      <rPr>
        <i/>
        <sz val="10"/>
        <color rgb="FFC00000"/>
        <rFont val="Calibri"/>
        <family val="2"/>
        <charset val="204"/>
        <scheme val="minor"/>
      </rPr>
      <t xml:space="preserve">
(Воситачилик реализацияси реестри)</t>
    </r>
  </si>
  <si>
    <r>
      <rPr>
        <b/>
        <sz val="11"/>
        <color theme="4"/>
        <rFont val="Calibri"/>
        <family val="2"/>
        <charset val="204"/>
        <scheme val="minor"/>
      </rPr>
      <t>5-илова 1-жадвал</t>
    </r>
    <r>
      <rPr>
        <sz val="11"/>
        <rFont val="Calibri"/>
        <family val="2"/>
        <charset val="204"/>
        <scheme val="minor"/>
      </rPr>
      <t xml:space="preserve">
</t>
    </r>
    <r>
      <rPr>
        <i/>
        <sz val="10"/>
        <color rgb="FFC00000"/>
        <rFont val="Calibri"/>
        <family val="2"/>
        <charset val="204"/>
        <scheme val="minor"/>
      </rPr>
      <t>(Қолдиқ товарлар реестри</t>
    </r>
    <r>
      <rPr>
        <i/>
        <sz val="11"/>
        <color rgb="FFC00000"/>
        <rFont val="Calibri"/>
        <family val="2"/>
        <charset val="204"/>
        <scheme val="minor"/>
      </rPr>
      <t>)</t>
    </r>
  </si>
  <si>
    <r>
      <rPr>
        <b/>
        <sz val="11"/>
        <color theme="4"/>
        <rFont val="Calibri"/>
        <family val="2"/>
        <charset val="204"/>
        <scheme val="minor"/>
      </rPr>
      <t>5-илова 2-жадвал</t>
    </r>
    <r>
      <rPr>
        <sz val="11"/>
        <rFont val="Calibri"/>
        <family val="2"/>
        <charset val="204"/>
        <scheme val="minor"/>
      </rPr>
      <t xml:space="preserve">
</t>
    </r>
    <r>
      <rPr>
        <i/>
        <sz val="10"/>
        <color rgb="FFC00000"/>
        <rFont val="Calibri"/>
        <family val="2"/>
        <charset val="204"/>
        <scheme val="minor"/>
      </rPr>
      <t>(Қолдиқ товарлар реестри</t>
    </r>
    <r>
      <rPr>
        <i/>
        <sz val="11"/>
        <color rgb="FFC00000"/>
        <rFont val="Calibri"/>
        <family val="2"/>
        <charset val="204"/>
        <scheme val="minor"/>
      </rPr>
      <t>)</t>
    </r>
  </si>
  <si>
    <r>
      <rPr>
        <b/>
        <sz val="11"/>
        <color theme="4"/>
        <rFont val="Calibri"/>
        <family val="2"/>
        <charset val="204"/>
        <scheme val="minor"/>
      </rPr>
      <t>6-илова</t>
    </r>
    <r>
      <rPr>
        <sz val="11"/>
        <rFont val="Calibri"/>
        <family val="2"/>
        <charset val="204"/>
        <scheme val="minor"/>
      </rPr>
      <t xml:space="preserve">
</t>
    </r>
    <r>
      <rPr>
        <i/>
        <sz val="10"/>
        <color rgb="FFC00000"/>
        <rFont val="Calibri"/>
        <family val="2"/>
        <charset val="204"/>
        <scheme val="minor"/>
      </rPr>
      <t>(Йил бошидан реализация қилиш айланмаси</t>
    </r>
    <r>
      <rPr>
        <i/>
        <sz val="11"/>
        <color rgb="FFC00000"/>
        <rFont val="Calibri"/>
        <family val="2"/>
        <charset val="204"/>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</si>
</sst>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_ ;[Red]\-#,##0.00\ "/>
    <numFmt numFmtId="165" formatCode="#,##0.0000_ ;[Red]\-#,##0.0000\ "/>
    <numFmt numFmtId="166" formatCode="#,##0_ ;[Red]\-#,##0\ "/>
    <numFmt numFmtId="167" formatCode="#,##0.0"/>
  </numFmts>
  <fonts count="97" x14ac:knownFonts="1">
    <font>
      <sz val="11"/>
      <color indexed="8"/>
      <name val="Calibri"/>
      <family val="2"/>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8"/>
      <name val="Calibri"/>
      <family val="2"/>
      <charset val="204"/>
    </font>
    <font>
      <sz val="10"/>
      <color indexed="9"/>
      <name val="Arial"/>
      <family val="2"/>
      <charset val="204"/>
    </font>
    <font>
      <sz val="10"/>
      <color indexed="8"/>
      <name val="Arial"/>
      <family val="2"/>
      <charset val="204"/>
    </font>
    <font>
      <b/>
      <sz val="10"/>
      <color indexed="8"/>
      <name val="Arial"/>
      <family val="2"/>
      <charset val="204"/>
    </font>
    <font>
      <sz val="10"/>
      <name val="Arial"/>
      <family val="2"/>
      <charset val="204"/>
    </font>
    <font>
      <sz val="10"/>
      <color theme="0"/>
      <name val="Arial"/>
      <family val="2"/>
      <charset val="204"/>
    </font>
    <font>
      <sz val="10"/>
      <color theme="1"/>
      <name val="Arial"/>
      <family val="2"/>
      <charset val="204"/>
    </font>
    <font>
      <sz val="10"/>
      <name val="Arial Cyr"/>
      <charset val="204"/>
    </font>
    <font>
      <b/>
      <sz val="10"/>
      <color theme="1"/>
      <name val="Arial"/>
      <family val="2"/>
      <charset val="204"/>
    </font>
    <font>
      <b/>
      <sz val="10"/>
      <name val="Arial"/>
      <family val="2"/>
      <charset val="204"/>
    </font>
    <font>
      <sz val="12"/>
      <name val="Arial"/>
      <family val="2"/>
      <charset val="204"/>
    </font>
    <font>
      <b/>
      <sz val="12"/>
      <name val="Arial"/>
      <family val="2"/>
      <charset val="204"/>
    </font>
    <font>
      <i/>
      <sz val="12"/>
      <color theme="3"/>
      <name val="Arial"/>
      <family val="2"/>
      <charset val="204"/>
    </font>
    <font>
      <i/>
      <sz val="10"/>
      <color theme="3"/>
      <name val="Arial"/>
      <family val="2"/>
      <charset val="204"/>
    </font>
    <font>
      <i/>
      <sz val="10"/>
      <color rgb="FFFF0000"/>
      <name val="Arial"/>
      <family val="2"/>
      <charset val="204"/>
    </font>
    <font>
      <i/>
      <sz val="10"/>
      <color rgb="FF00B0F0"/>
      <name val="Arial"/>
      <family val="2"/>
      <charset val="204"/>
    </font>
    <font>
      <i/>
      <sz val="10"/>
      <color theme="7" tint="-0.249977111117893"/>
      <name val="Arial"/>
      <family val="2"/>
      <charset val="204"/>
    </font>
    <font>
      <b/>
      <i/>
      <sz val="12"/>
      <color theme="3"/>
      <name val="Arial"/>
      <family val="2"/>
      <charset val="204"/>
    </font>
    <font>
      <b/>
      <i/>
      <sz val="10"/>
      <color theme="3"/>
      <name val="Arial"/>
      <family val="2"/>
      <charset val="204"/>
    </font>
    <font>
      <i/>
      <sz val="12"/>
      <color rgb="FF002060"/>
      <name val="Arial"/>
      <family val="2"/>
      <charset val="204"/>
    </font>
    <font>
      <b/>
      <sz val="11"/>
      <color indexed="8"/>
      <name val="Arial"/>
      <family val="2"/>
      <charset val="204"/>
    </font>
    <font>
      <i/>
      <sz val="10"/>
      <color rgb="FF002060"/>
      <name val="Arial"/>
      <family val="2"/>
      <charset val="204"/>
    </font>
    <font>
      <b/>
      <i/>
      <sz val="10"/>
      <color indexed="8"/>
      <name val="Arial"/>
      <family val="2"/>
      <charset val="204"/>
    </font>
    <font>
      <b/>
      <i/>
      <sz val="12"/>
      <color rgb="FF002060"/>
      <name val="Arial"/>
      <family val="2"/>
      <charset val="204"/>
    </font>
    <font>
      <i/>
      <sz val="11"/>
      <color indexed="8"/>
      <name val="Arial"/>
      <family val="2"/>
      <charset val="204"/>
    </font>
    <font>
      <b/>
      <i/>
      <sz val="10"/>
      <color rgb="FF002060"/>
      <name val="Arial"/>
      <family val="2"/>
      <charset val="204"/>
    </font>
    <font>
      <i/>
      <sz val="10"/>
      <color rgb="FFC00000"/>
      <name val="Arial"/>
      <family val="2"/>
      <charset val="204"/>
    </font>
    <font>
      <sz val="8"/>
      <color indexed="8"/>
      <name val="Arial"/>
      <family val="2"/>
      <charset val="204"/>
    </font>
    <font>
      <b/>
      <i/>
      <sz val="11"/>
      <color indexed="8"/>
      <name val="Calibri"/>
      <family val="2"/>
      <charset val="204"/>
    </font>
    <font>
      <i/>
      <sz val="10"/>
      <name val="Arial"/>
      <family val="2"/>
      <charset val="204"/>
    </font>
    <font>
      <b/>
      <i/>
      <sz val="10"/>
      <name val="Arial"/>
      <family val="2"/>
      <charset val="204"/>
    </font>
    <font>
      <sz val="11"/>
      <color indexed="8"/>
      <name val="Arial"/>
      <family val="2"/>
      <charset val="204"/>
    </font>
    <font>
      <sz val="11"/>
      <color theme="0"/>
      <name val="Arial"/>
      <family val="2"/>
      <charset val="204"/>
    </font>
    <font>
      <sz val="11"/>
      <color theme="1"/>
      <name val="Calibri"/>
      <family val="2"/>
      <scheme val="minor"/>
    </font>
    <font>
      <i/>
      <sz val="10"/>
      <color indexed="8"/>
      <name val="Arial"/>
      <family val="2"/>
      <charset val="204"/>
    </font>
    <font>
      <sz val="9"/>
      <color indexed="8"/>
      <name val="Arial"/>
      <family val="2"/>
      <charset val="204"/>
    </font>
    <font>
      <i/>
      <sz val="9"/>
      <color indexed="8"/>
      <name val="Arial"/>
      <family val="2"/>
      <charset val="204"/>
    </font>
    <font>
      <b/>
      <sz val="10"/>
      <color rgb="FFC00000"/>
      <name val="Arial"/>
      <family val="2"/>
      <charset val="204"/>
    </font>
    <font>
      <b/>
      <i/>
      <sz val="10"/>
      <color rgb="FFC00000"/>
      <name val="Arial"/>
      <family val="2"/>
      <charset val="204"/>
    </font>
    <font>
      <b/>
      <sz val="14"/>
      <color rgb="FFC00000"/>
      <name val="Arial"/>
      <family val="2"/>
      <charset val="204"/>
    </font>
    <font>
      <b/>
      <i/>
      <sz val="12"/>
      <color rgb="FFC00000"/>
      <name val="Arial"/>
      <family val="2"/>
      <charset val="204"/>
    </font>
    <font>
      <b/>
      <sz val="11"/>
      <color rgb="FF0070C0"/>
      <name val="Arial"/>
      <family val="2"/>
      <charset val="204"/>
    </font>
    <font>
      <b/>
      <sz val="11"/>
      <color rgb="FF002060"/>
      <name val="Arial"/>
      <family val="2"/>
      <charset val="204"/>
    </font>
    <font>
      <b/>
      <sz val="11"/>
      <color rgb="FFC00000"/>
      <name val="Arial"/>
      <family val="2"/>
      <charset val="204"/>
    </font>
    <font>
      <b/>
      <i/>
      <sz val="11"/>
      <color rgb="FFC00000"/>
      <name val="Arial"/>
      <family val="2"/>
      <charset val="204"/>
    </font>
    <font>
      <b/>
      <i/>
      <u/>
      <sz val="12"/>
      <color rgb="FF002060"/>
      <name val="Arial"/>
      <family val="2"/>
      <charset val="204"/>
    </font>
    <font>
      <sz val="11"/>
      <name val="Arial"/>
      <family val="2"/>
      <charset val="204"/>
    </font>
    <font>
      <i/>
      <u/>
      <sz val="13"/>
      <name val="Arial"/>
      <family val="2"/>
      <charset val="204"/>
    </font>
    <font>
      <b/>
      <i/>
      <u/>
      <sz val="13"/>
      <color rgb="FFC00000"/>
      <name val="Arial"/>
      <family val="2"/>
      <charset val="204"/>
    </font>
    <font>
      <b/>
      <i/>
      <u/>
      <sz val="13"/>
      <color rgb="FF00B050"/>
      <name val="Arial"/>
      <family val="2"/>
      <charset val="204"/>
    </font>
    <font>
      <i/>
      <u/>
      <sz val="10"/>
      <color rgb="FFC00000"/>
      <name val="Arial"/>
      <family val="2"/>
      <charset val="204"/>
    </font>
    <font>
      <i/>
      <u/>
      <sz val="10"/>
      <color rgb="FF002060"/>
      <name val="Arial"/>
      <family val="2"/>
      <charset val="204"/>
    </font>
    <font>
      <b/>
      <i/>
      <u/>
      <sz val="10"/>
      <color rgb="FFC00000"/>
      <name val="Arial"/>
      <family val="2"/>
      <charset val="204"/>
    </font>
    <font>
      <i/>
      <u/>
      <sz val="10"/>
      <color theme="3"/>
      <name val="Arial"/>
      <family val="2"/>
      <charset val="204"/>
    </font>
    <font>
      <i/>
      <u/>
      <sz val="11"/>
      <color rgb="FF002060"/>
      <name val="Calibri"/>
      <family val="2"/>
      <charset val="204"/>
    </font>
    <font>
      <i/>
      <u/>
      <sz val="11"/>
      <color rgb="FF00B0F0"/>
      <name val="Calibri"/>
      <family val="2"/>
      <charset val="204"/>
    </font>
    <font>
      <i/>
      <u/>
      <sz val="11"/>
      <color rgb="FF002060"/>
      <name val="Arial"/>
      <family val="2"/>
      <charset val="204"/>
    </font>
    <font>
      <b/>
      <i/>
      <u/>
      <sz val="11"/>
      <color rgb="FFC00000"/>
      <name val="Arial"/>
      <family val="2"/>
      <charset val="204"/>
    </font>
    <font>
      <i/>
      <u/>
      <sz val="11"/>
      <color indexed="8"/>
      <name val="Arial"/>
      <family val="2"/>
      <charset val="204"/>
    </font>
    <font>
      <b/>
      <sz val="14"/>
      <name val="Arial"/>
      <family val="2"/>
      <charset val="204"/>
    </font>
    <font>
      <sz val="8"/>
      <name val="Arial"/>
      <family val="2"/>
      <charset val="204"/>
    </font>
    <font>
      <sz val="12"/>
      <color rgb="FF002060"/>
      <name val="Arial"/>
      <family val="2"/>
      <charset val="204"/>
    </font>
    <font>
      <sz val="10.65"/>
      <color rgb="FF333333"/>
      <name val="Arial"/>
      <family val="2"/>
      <charset val="204"/>
    </font>
    <font>
      <b/>
      <sz val="14"/>
      <color rgb="FF002060"/>
      <name val="Calibri"/>
      <family val="2"/>
      <charset val="204"/>
      <scheme val="minor"/>
    </font>
    <font>
      <b/>
      <sz val="14"/>
      <color rgb="FFC00000"/>
      <name val="Calibri"/>
      <family val="2"/>
      <charset val="204"/>
      <scheme val="minor"/>
    </font>
    <font>
      <b/>
      <sz val="14"/>
      <color rgb="FFFF0000"/>
      <name val="Calibri"/>
      <family val="2"/>
      <charset val="204"/>
      <scheme val="minor"/>
    </font>
    <font>
      <sz val="11"/>
      <name val="Calibri"/>
      <family val="2"/>
      <charset val="204"/>
      <scheme val="minor"/>
    </font>
    <font>
      <sz val="11"/>
      <color rgb="FF0070C0"/>
      <name val="Calibri"/>
      <family val="2"/>
      <charset val="204"/>
      <scheme val="minor"/>
    </font>
    <font>
      <i/>
      <sz val="10"/>
      <color rgb="FFC00000"/>
      <name val="Calibri"/>
      <family val="2"/>
      <charset val="204"/>
      <scheme val="minor"/>
    </font>
    <font>
      <i/>
      <sz val="10"/>
      <name val="Calibri"/>
      <family val="2"/>
      <charset val="204"/>
      <scheme val="minor"/>
    </font>
    <font>
      <sz val="11"/>
      <color rgb="FFC00000"/>
      <name val="Calibri"/>
      <family val="2"/>
      <charset val="204"/>
      <scheme val="minor"/>
    </font>
    <font>
      <b/>
      <sz val="11"/>
      <name val="Calibri"/>
      <family val="2"/>
      <charset val="204"/>
      <scheme val="minor"/>
    </font>
    <font>
      <b/>
      <sz val="11"/>
      <color rgb="FF0070C0"/>
      <name val="Calibri"/>
      <family val="2"/>
      <charset val="204"/>
      <scheme val="minor"/>
    </font>
    <font>
      <b/>
      <i/>
      <sz val="10"/>
      <color rgb="FFC00000"/>
      <name val="Calibri"/>
      <family val="2"/>
      <charset val="204"/>
      <scheme val="minor"/>
    </font>
    <font>
      <b/>
      <i/>
      <sz val="11"/>
      <name val="Calibri"/>
      <family val="2"/>
      <charset val="204"/>
      <scheme val="minor"/>
    </font>
    <font>
      <i/>
      <sz val="11"/>
      <name val="Calibri"/>
      <family val="2"/>
      <charset val="204"/>
      <scheme val="minor"/>
    </font>
    <font>
      <sz val="10"/>
      <color rgb="FFC00000"/>
      <name val="Calibri"/>
      <family val="2"/>
      <charset val="204"/>
      <scheme val="minor"/>
    </font>
    <font>
      <b/>
      <sz val="11"/>
      <color theme="4"/>
      <name val="Calibri"/>
      <family val="2"/>
      <charset val="204"/>
      <scheme val="minor"/>
    </font>
    <font>
      <i/>
      <sz val="11"/>
      <color rgb="FFC00000"/>
      <name val="Calibri"/>
      <family val="2"/>
      <charset val="204"/>
      <scheme val="minor"/>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3"/>
        <bgColor indexed="64"/>
      </patternFill>
    </fill>
    <fill>
      <patternFill patternType="solid">
        <fgColor indexed="41"/>
        <bgColor indexed="64"/>
      </patternFill>
    </fill>
    <fill>
      <patternFill patternType="solid">
        <fgColor theme="0"/>
        <bgColor indexed="64"/>
      </patternFill>
    </fill>
    <fill>
      <patternFill patternType="solid">
        <fgColor theme="6" tint="0.39997558519241921"/>
        <bgColor indexed="64"/>
      </patternFill>
    </fill>
    <fill>
      <patternFill patternType="solid">
        <fgColor rgb="FFFFFFFF"/>
        <bgColor indexed="64"/>
      </patternFill>
    </fill>
    <fill>
      <patternFill patternType="solid">
        <fgColor theme="9" tint="0.79998168889431442"/>
        <bgColor indexed="64"/>
      </patternFill>
    </fill>
  </fills>
  <borders count="63">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right style="thin">
        <color indexed="64"/>
      </right>
      <top style="medium">
        <color rgb="FF000000"/>
      </top>
      <bottom style="medium">
        <color rgb="FF000000"/>
      </bottom>
      <diagonal/>
    </border>
    <border>
      <left style="thin">
        <color indexed="64"/>
      </left>
      <right style="thin">
        <color indexed="64"/>
      </right>
      <top style="thin">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bottom/>
      <diagonal/>
    </border>
    <border>
      <left style="hair">
        <color indexed="64"/>
      </left>
      <right/>
      <top/>
      <bottom/>
      <diagonal/>
    </border>
    <border>
      <left style="hair">
        <color indexed="64"/>
      </left>
      <right style="thin">
        <color indexed="64"/>
      </right>
      <top style="hair">
        <color indexed="64"/>
      </top>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style="hair">
        <color indexed="64"/>
      </left>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diagonal/>
    </border>
    <border>
      <left style="thin">
        <color indexed="64"/>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46">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7" borderId="1" applyNumberFormat="0" applyAlignment="0" applyProtection="0"/>
    <xf numFmtId="0" fontId="4" fillId="20" borderId="2" applyNumberFormat="0" applyAlignment="0" applyProtection="0"/>
    <xf numFmtId="0" fontId="5" fillId="20" borderId="1" applyNumberFormat="0" applyAlignment="0" applyProtection="0"/>
    <xf numFmtId="0" fontId="6" fillId="0" borderId="3" applyNumberFormat="0" applyFill="0" applyAlignment="0" applyProtection="0"/>
    <xf numFmtId="0" fontId="7" fillId="0" borderId="4" applyNumberFormat="0" applyFill="0" applyAlignment="0" applyProtection="0"/>
    <xf numFmtId="0" fontId="8" fillId="0" borderId="5" applyNumberFormat="0" applyFill="0" applyAlignment="0" applyProtection="0"/>
    <xf numFmtId="0" fontId="8" fillId="0" borderId="0" applyNumberFormat="0" applyFill="0" applyBorder="0" applyAlignment="0" applyProtection="0"/>
    <xf numFmtId="0" fontId="9" fillId="0" borderId="6" applyNumberFormat="0" applyFill="0" applyAlignment="0" applyProtection="0"/>
    <xf numFmtId="0" fontId="10" fillId="21" borderId="7" applyNumberFormat="0" applyAlignment="0" applyProtection="0"/>
    <xf numFmtId="0" fontId="11" fillId="0" borderId="0" applyNumberFormat="0" applyFill="0" applyBorder="0" applyAlignment="0" applyProtection="0"/>
    <xf numFmtId="0" fontId="12" fillId="22" borderId="0" applyNumberFormat="0" applyBorder="0" applyAlignment="0" applyProtection="0"/>
    <xf numFmtId="0" fontId="13" fillId="3" borderId="0" applyNumberFormat="0" applyBorder="0" applyAlignment="0" applyProtection="0"/>
    <xf numFmtId="0" fontId="14" fillId="0" borderId="0" applyNumberFormat="0" applyFill="0" applyBorder="0" applyAlignment="0" applyProtection="0"/>
    <xf numFmtId="0" fontId="1" fillId="23" borderId="8" applyNumberFormat="0" applyFont="0" applyAlignment="0" applyProtection="0"/>
    <xf numFmtId="0" fontId="15" fillId="0" borderId="9"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 fillId="0" borderId="0"/>
    <xf numFmtId="0" fontId="25" fillId="0" borderId="0"/>
    <xf numFmtId="0" fontId="1" fillId="0" borderId="0"/>
    <xf numFmtId="43" fontId="51" fillId="0" borderId="0" applyFont="0" applyFill="0" applyBorder="0" applyAlignment="0" applyProtection="0"/>
  </cellStyleXfs>
  <cellXfs count="397">
    <xf numFmtId="0" fontId="0" fillId="0" borderId="0" xfId="0"/>
    <xf numFmtId="0" fontId="20" fillId="0" borderId="0" xfId="0" applyFont="1"/>
    <xf numFmtId="0" fontId="20" fillId="0" borderId="0" xfId="0" applyFont="1" applyAlignment="1">
      <alignment vertical="center"/>
    </xf>
    <xf numFmtId="49" fontId="20" fillId="0" borderId="11" xfId="0" applyNumberFormat="1" applyFont="1" applyBorder="1" applyAlignment="1">
      <alignment horizontal="center" vertical="center" wrapText="1"/>
    </xf>
    <xf numFmtId="0" fontId="23" fillId="0" borderId="0" xfId="0" applyFont="1"/>
    <xf numFmtId="0" fontId="20" fillId="0" borderId="0" xfId="0" applyFont="1" applyAlignment="1">
      <alignment horizontal="center" wrapText="1"/>
    </xf>
    <xf numFmtId="0" fontId="22" fillId="0" borderId="0" xfId="0" applyFont="1"/>
    <xf numFmtId="164" fontId="20" fillId="24" borderId="11" xfId="42" applyNumberFormat="1" applyFont="1" applyFill="1" applyBorder="1" applyAlignment="1">
      <alignment horizontal="right" vertical="center" wrapText="1"/>
    </xf>
    <xf numFmtId="0" fontId="21" fillId="0" borderId="0" xfId="0" applyFont="1" applyAlignment="1">
      <alignment horizontal="center" vertical="center"/>
    </xf>
    <xf numFmtId="0" fontId="22" fillId="0" borderId="0" xfId="43" applyFont="1"/>
    <xf numFmtId="0" fontId="22" fillId="0" borderId="0" xfId="43" applyFont="1" applyAlignment="1">
      <alignment horizontal="center"/>
    </xf>
    <xf numFmtId="164" fontId="22" fillId="24" borderId="11" xfId="43" applyNumberFormat="1" applyFont="1" applyFill="1" applyBorder="1" applyAlignment="1">
      <alignment horizontal="right" vertical="center" wrapText="1"/>
    </xf>
    <xf numFmtId="0" fontId="27" fillId="0" borderId="13" xfId="0" applyFont="1" applyBorder="1" applyAlignment="1">
      <alignment horizontal="center" vertical="center" wrapText="1"/>
    </xf>
    <xf numFmtId="49" fontId="22" fillId="0" borderId="11" xfId="0" applyNumberFormat="1" applyFont="1" applyBorder="1" applyAlignment="1">
      <alignment horizontal="center" vertical="center" wrapText="1"/>
    </xf>
    <xf numFmtId="164" fontId="22" fillId="24" borderId="11" xfId="42" applyNumberFormat="1" applyFont="1" applyFill="1" applyBorder="1" applyAlignment="1">
      <alignment horizontal="right" vertical="center" wrapText="1"/>
    </xf>
    <xf numFmtId="49" fontId="22" fillId="0" borderId="11" xfId="0" applyNumberFormat="1" applyFont="1" applyBorder="1" applyAlignment="1">
      <alignment horizontal="left" vertical="center" wrapText="1"/>
    </xf>
    <xf numFmtId="164" fontId="22" fillId="25" borderId="11" xfId="42" applyNumberFormat="1" applyFont="1" applyFill="1" applyBorder="1" applyAlignment="1">
      <alignment horizontal="right" vertical="center" wrapText="1"/>
    </xf>
    <xf numFmtId="0" fontId="22" fillId="0" borderId="11" xfId="42" applyFont="1" applyBorder="1" applyAlignment="1">
      <alignment horizontal="center" vertical="center" wrapText="1"/>
    </xf>
    <xf numFmtId="0" fontId="22" fillId="0" borderId="11" xfId="0" applyFont="1" applyBorder="1" applyAlignment="1">
      <alignment horizontal="center" vertical="center" wrapText="1"/>
    </xf>
    <xf numFmtId="0" fontId="22" fillId="0" borderId="0" xfId="0" applyFont="1" applyAlignment="1">
      <alignment vertical="center"/>
    </xf>
    <xf numFmtId="164" fontId="22" fillId="24" borderId="11" xfId="0" applyNumberFormat="1" applyFont="1" applyFill="1" applyBorder="1" applyAlignment="1">
      <alignment horizontal="right" vertical="center" wrapText="1"/>
    </xf>
    <xf numFmtId="164" fontId="22" fillId="0" borderId="11" xfId="0" applyNumberFormat="1" applyFont="1" applyBorder="1" applyAlignment="1">
      <alignment horizontal="center" vertical="center" wrapText="1"/>
    </xf>
    <xf numFmtId="49" fontId="22" fillId="0" borderId="11" xfId="0" applyNumberFormat="1" applyFont="1" applyBorder="1" applyAlignment="1">
      <alignment vertical="center" wrapText="1"/>
    </xf>
    <xf numFmtId="164" fontId="22" fillId="0" borderId="11" xfId="0" applyNumberFormat="1" applyFont="1" applyBorder="1" applyAlignment="1">
      <alignment horizontal="right" vertical="center" wrapText="1"/>
    </xf>
    <xf numFmtId="49" fontId="22" fillId="0" borderId="11" xfId="42" applyNumberFormat="1" applyFont="1" applyBorder="1" applyAlignment="1">
      <alignment horizontal="center" vertical="center" wrapText="1"/>
    </xf>
    <xf numFmtId="164" fontId="27" fillId="0" borderId="11" xfId="42" applyNumberFormat="1" applyFont="1" applyBorder="1" applyAlignment="1">
      <alignment horizontal="center" vertical="center" wrapText="1"/>
    </xf>
    <xf numFmtId="0" fontId="22" fillId="0" borderId="11" xfId="42" applyFont="1" applyBorder="1" applyAlignment="1">
      <alignment vertical="center" wrapText="1"/>
    </xf>
    <xf numFmtId="0" fontId="27" fillId="0" borderId="11" xfId="42" applyFont="1" applyBorder="1" applyAlignment="1">
      <alignment horizontal="center" vertical="center" wrapText="1"/>
    </xf>
    <xf numFmtId="49" fontId="27" fillId="0" borderId="11" xfId="42" applyNumberFormat="1" applyFont="1" applyBorder="1" applyAlignment="1">
      <alignment horizontal="center" vertical="center" wrapText="1"/>
    </xf>
    <xf numFmtId="165" fontId="22" fillId="24" borderId="11" xfId="42" applyNumberFormat="1" applyFont="1" applyFill="1" applyBorder="1" applyAlignment="1">
      <alignment horizontal="right" vertical="center" wrapText="1"/>
    </xf>
    <xf numFmtId="0" fontId="27" fillId="0" borderId="11" xfId="0" applyFont="1" applyBorder="1" applyAlignment="1">
      <alignment horizontal="center" wrapText="1"/>
    </xf>
    <xf numFmtId="49" fontId="22" fillId="0" borderId="14" xfId="0" applyNumberFormat="1" applyFont="1" applyBorder="1" applyAlignment="1">
      <alignment horizontal="center" vertical="center" wrapText="1"/>
    </xf>
    <xf numFmtId="0" fontId="22" fillId="0" borderId="0" xfId="0" applyFont="1" applyAlignment="1">
      <alignment vertical="center" wrapText="1"/>
    </xf>
    <xf numFmtId="0" fontId="21" fillId="0" borderId="11" xfId="0" applyFont="1" applyBorder="1" applyAlignment="1">
      <alignment horizontal="center" vertical="center" wrapText="1"/>
    </xf>
    <xf numFmtId="0" fontId="21" fillId="0" borderId="11" xfId="42" applyFont="1" applyBorder="1" applyAlignment="1">
      <alignment horizontal="center" vertical="center" wrapText="1"/>
    </xf>
    <xf numFmtId="0" fontId="21" fillId="0" borderId="13" xfId="0" applyFont="1" applyBorder="1" applyAlignment="1">
      <alignment horizontal="center" vertical="center" wrapText="1"/>
    </xf>
    <xf numFmtId="166" fontId="22" fillId="0" borderId="11" xfId="0" applyNumberFormat="1" applyFont="1" applyBorder="1" applyAlignment="1">
      <alignment horizontal="center" vertical="center" wrapText="1"/>
    </xf>
    <xf numFmtId="0" fontId="22" fillId="0" borderId="11" xfId="43" applyFont="1" applyBorder="1" applyAlignment="1">
      <alignment horizontal="center" vertical="center" wrapText="1"/>
    </xf>
    <xf numFmtId="49" fontId="28" fillId="0" borderId="11" xfId="0" applyNumberFormat="1" applyFont="1" applyBorder="1" applyAlignment="1">
      <alignment horizontal="center" vertical="center" wrapText="1"/>
    </xf>
    <xf numFmtId="164" fontId="28" fillId="24" borderId="11" xfId="42" applyNumberFormat="1" applyFont="1" applyFill="1" applyBorder="1" applyAlignment="1">
      <alignment horizontal="right" vertical="center" wrapText="1"/>
    </xf>
    <xf numFmtId="49" fontId="28" fillId="0" borderId="11" xfId="0" applyNumberFormat="1" applyFont="1" applyBorder="1" applyAlignment="1">
      <alignment horizontal="left" vertical="center" wrapText="1"/>
    </xf>
    <xf numFmtId="0" fontId="28" fillId="0" borderId="11" xfId="42" applyFont="1" applyBorder="1" applyAlignment="1">
      <alignment horizontal="center" vertical="center" wrapText="1"/>
    </xf>
    <xf numFmtId="0" fontId="28" fillId="0" borderId="11" xfId="0" applyFont="1" applyBorder="1" applyAlignment="1">
      <alignment horizontal="center" vertical="center" wrapText="1"/>
    </xf>
    <xf numFmtId="0" fontId="29" fillId="0" borderId="11" xfId="0" applyFont="1" applyBorder="1" applyAlignment="1">
      <alignment horizontal="center" vertical="center" wrapText="1"/>
    </xf>
    <xf numFmtId="0" fontId="27" fillId="0" borderId="11" xfId="0" applyFont="1" applyBorder="1" applyAlignment="1">
      <alignment horizontal="center" vertical="center" wrapText="1"/>
    </xf>
    <xf numFmtId="0" fontId="27" fillId="0" borderId="11" xfId="43" applyFont="1" applyBorder="1" applyAlignment="1">
      <alignment horizontal="center" vertical="top" wrapText="1"/>
    </xf>
    <xf numFmtId="164" fontId="28" fillId="0" borderId="0" xfId="42" applyNumberFormat="1" applyFont="1" applyAlignment="1">
      <alignment horizontal="right" vertical="center" wrapText="1"/>
    </xf>
    <xf numFmtId="0" fontId="29" fillId="0" borderId="0" xfId="0" applyFont="1" applyAlignment="1">
      <alignment horizontal="center" vertical="center" wrapText="1"/>
    </xf>
    <xf numFmtId="0" fontId="29" fillId="0" borderId="0" xfId="0" applyFont="1" applyAlignment="1">
      <alignment horizontal="center" wrapText="1"/>
    </xf>
    <xf numFmtId="0" fontId="28" fillId="0" borderId="0" xfId="42" applyFont="1" applyAlignment="1">
      <alignment horizontal="center" vertical="center" wrapText="1"/>
    </xf>
    <xf numFmtId="0" fontId="28" fillId="0" borderId="0" xfId="0" applyFont="1" applyAlignment="1">
      <alignment horizontal="center" vertical="center" wrapText="1"/>
    </xf>
    <xf numFmtId="0" fontId="29" fillId="0" borderId="11" xfId="0" applyFont="1" applyBorder="1" applyAlignment="1">
      <alignment horizontal="center" wrapText="1"/>
    </xf>
    <xf numFmtId="164" fontId="34" fillId="27" borderId="11" xfId="42" applyNumberFormat="1" applyFont="1" applyFill="1" applyBorder="1" applyAlignment="1">
      <alignment horizontal="left" vertical="center" wrapText="1"/>
    </xf>
    <xf numFmtId="0" fontId="22" fillId="0" borderId="0" xfId="0" applyFont="1" applyAlignment="1">
      <alignment horizontal="center"/>
    </xf>
    <xf numFmtId="0" fontId="38" fillId="0" borderId="11" xfId="0" applyFont="1" applyBorder="1" applyAlignment="1">
      <alignment horizontal="center" vertical="center"/>
    </xf>
    <xf numFmtId="0" fontId="20" fillId="0" borderId="11" xfId="0" applyFont="1" applyBorder="1"/>
    <xf numFmtId="0" fontId="31" fillId="0" borderId="11" xfId="0" applyFont="1" applyBorder="1" applyAlignment="1">
      <alignment horizontal="center" vertical="center" wrapText="1"/>
    </xf>
    <xf numFmtId="0" fontId="21" fillId="0" borderId="11" xfId="0" applyFont="1" applyBorder="1" applyAlignment="1">
      <alignment horizontal="center" vertical="center"/>
    </xf>
    <xf numFmtId="0" fontId="40" fillId="0" borderId="11" xfId="0" applyFont="1" applyBorder="1" applyAlignment="1">
      <alignment horizontal="center" vertical="center"/>
    </xf>
    <xf numFmtId="164" fontId="30" fillId="26" borderId="11" xfId="42" applyNumberFormat="1" applyFont="1" applyFill="1" applyBorder="1" applyAlignment="1">
      <alignment horizontal="center" vertical="center" wrapText="1"/>
    </xf>
    <xf numFmtId="0" fontId="19" fillId="0" borderId="0" xfId="0" applyFont="1" applyAlignment="1">
      <alignment vertical="center"/>
    </xf>
    <xf numFmtId="0" fontId="20" fillId="24" borderId="11" xfId="0" applyFont="1" applyFill="1" applyBorder="1" applyAlignment="1">
      <alignment horizontal="center" vertical="center"/>
    </xf>
    <xf numFmtId="0" fontId="20" fillId="0" borderId="24" xfId="0" applyFont="1" applyBorder="1" applyAlignment="1">
      <alignment horizontal="right" vertical="center"/>
    </xf>
    <xf numFmtId="0" fontId="20" fillId="24" borderId="11" xfId="0" applyFont="1" applyFill="1" applyBorder="1" applyAlignment="1">
      <alignment horizontal="left" vertical="center"/>
    </xf>
    <xf numFmtId="0" fontId="45" fillId="0" borderId="0" xfId="0" applyFont="1" applyAlignment="1">
      <alignment vertical="center"/>
    </xf>
    <xf numFmtId="14" fontId="20" fillId="24" borderId="10" xfId="0" applyNumberFormat="1" applyFont="1" applyFill="1" applyBorder="1" applyAlignment="1">
      <alignment horizontal="center" vertical="center"/>
    </xf>
    <xf numFmtId="0" fontId="20" fillId="0" borderId="24" xfId="44" applyFont="1" applyBorder="1" applyAlignment="1">
      <alignment horizontal="center"/>
    </xf>
    <xf numFmtId="0" fontId="22" fillId="24" borderId="11" xfId="0" applyFont="1" applyFill="1" applyBorder="1" applyAlignment="1">
      <alignment horizontal="left" vertical="center"/>
    </xf>
    <xf numFmtId="0" fontId="27" fillId="0" borderId="11" xfId="43" applyFont="1" applyBorder="1" applyAlignment="1">
      <alignment horizontal="center" vertical="center" wrapText="1"/>
    </xf>
    <xf numFmtId="0" fontId="26" fillId="0" borderId="13" xfId="43" applyFont="1" applyBorder="1" applyAlignment="1">
      <alignment horizontal="center" vertical="center" wrapText="1"/>
    </xf>
    <xf numFmtId="0" fontId="21" fillId="0" borderId="0" xfId="0" applyFont="1" applyAlignment="1">
      <alignment vertical="center"/>
    </xf>
    <xf numFmtId="0" fontId="20" fillId="0" borderId="0" xfId="0" applyFont="1" applyAlignment="1">
      <alignment horizontal="center" vertical="top"/>
    </xf>
    <xf numFmtId="0" fontId="20" fillId="0" borderId="0" xfId="0" applyFont="1" applyAlignment="1">
      <alignment horizontal="left" vertical="center" wrapText="1"/>
    </xf>
    <xf numFmtId="0" fontId="20" fillId="0" borderId="10" xfId="44" applyFont="1" applyBorder="1"/>
    <xf numFmtId="0" fontId="20" fillId="0" borderId="0" xfId="0" applyFont="1" applyAlignment="1">
      <alignment horizontal="left" vertical="center" indent="1"/>
    </xf>
    <xf numFmtId="14" fontId="20" fillId="0" borderId="0" xfId="0" applyNumberFormat="1" applyFont="1" applyAlignment="1">
      <alignment horizontal="center" vertical="center"/>
    </xf>
    <xf numFmtId="49" fontId="20" fillId="0" borderId="14" xfId="0" applyNumberFormat="1" applyFont="1" applyBorder="1" applyAlignment="1">
      <alignment horizontal="center" vertical="center" wrapText="1"/>
    </xf>
    <xf numFmtId="0" fontId="20" fillId="0" borderId="22" xfId="0" applyFont="1" applyBorder="1"/>
    <xf numFmtId="0" fontId="20" fillId="0" borderId="17" xfId="0" applyFont="1" applyBorder="1"/>
    <xf numFmtId="0" fontId="20" fillId="0" borderId="19" xfId="0" applyFont="1" applyBorder="1"/>
    <xf numFmtId="0" fontId="20" fillId="0" borderId="24" xfId="0" applyFont="1" applyBorder="1" applyAlignment="1">
      <alignment horizontal="left" vertical="center"/>
    </xf>
    <xf numFmtId="0" fontId="20" fillId="0" borderId="0" xfId="44" applyFont="1"/>
    <xf numFmtId="0" fontId="20" fillId="0" borderId="16" xfId="0" applyFont="1" applyBorder="1"/>
    <xf numFmtId="0" fontId="20" fillId="0" borderId="24" xfId="0" applyFont="1" applyBorder="1"/>
    <xf numFmtId="0" fontId="20" fillId="0" borderId="0" xfId="44" applyFont="1" applyAlignment="1">
      <alignment horizontal="left"/>
    </xf>
    <xf numFmtId="0" fontId="20" fillId="0" borderId="0" xfId="44" applyFont="1" applyAlignment="1">
      <alignment horizontal="center"/>
    </xf>
    <xf numFmtId="0" fontId="20" fillId="0" borderId="24" xfId="44" applyFont="1" applyBorder="1"/>
    <xf numFmtId="0" fontId="20" fillId="0" borderId="23" xfId="44" applyFont="1" applyBorder="1"/>
    <xf numFmtId="0" fontId="20" fillId="0" borderId="18" xfId="0" applyFont="1" applyBorder="1"/>
    <xf numFmtId="0" fontId="20" fillId="0" borderId="10" xfId="0" applyFont="1" applyBorder="1"/>
    <xf numFmtId="0" fontId="22" fillId="0" borderId="0" xfId="43" applyFont="1" applyAlignment="1">
      <alignment vertical="center" wrapText="1"/>
    </xf>
    <xf numFmtId="0" fontId="22" fillId="0" borderId="0" xfId="43" applyFont="1" applyAlignment="1">
      <alignment horizontal="right" vertical="center"/>
    </xf>
    <xf numFmtId="0" fontId="22" fillId="24" borderId="10" xfId="43" applyFont="1" applyFill="1" applyBorder="1" applyAlignment="1">
      <alignment horizontal="left"/>
    </xf>
    <xf numFmtId="0" fontId="27" fillId="0" borderId="0" xfId="43" applyFont="1"/>
    <xf numFmtId="0" fontId="22" fillId="0" borderId="0" xfId="43" applyFont="1" applyAlignment="1">
      <alignment horizontal="right" vertical="center" wrapText="1"/>
    </xf>
    <xf numFmtId="0" fontId="22" fillId="0" borderId="0" xfId="43" applyFont="1" applyAlignment="1">
      <alignment horizontal="left"/>
    </xf>
    <xf numFmtId="0" fontId="22" fillId="0" borderId="0" xfId="43" applyFont="1" applyAlignment="1">
      <alignment horizontal="center" vertical="center" wrapText="1"/>
    </xf>
    <xf numFmtId="0" fontId="27" fillId="0" borderId="12" xfId="43" applyFont="1" applyBorder="1" applyAlignment="1">
      <alignment horizontal="left" vertical="center" wrapText="1"/>
    </xf>
    <xf numFmtId="0" fontId="46" fillId="0" borderId="0" xfId="0" applyFont="1" applyAlignment="1">
      <alignment horizontal="left"/>
    </xf>
    <xf numFmtId="0" fontId="46" fillId="0" borderId="0" xfId="0" applyFont="1" applyAlignment="1">
      <alignment horizontal="left" wrapText="1"/>
    </xf>
    <xf numFmtId="164" fontId="20" fillId="24" borderId="0" xfId="42" applyNumberFormat="1" applyFont="1" applyFill="1" applyAlignment="1">
      <alignment horizontal="right" vertical="center" wrapText="1"/>
    </xf>
    <xf numFmtId="0" fontId="22" fillId="0" borderId="14" xfId="43" applyFont="1" applyBorder="1" applyAlignment="1">
      <alignment horizontal="center" vertical="center" wrapText="1"/>
    </xf>
    <xf numFmtId="0" fontId="24" fillId="0" borderId="0" xfId="43" applyFont="1"/>
    <xf numFmtId="0" fontId="24" fillId="0" borderId="10" xfId="43" applyFont="1" applyBorder="1"/>
    <xf numFmtId="0" fontId="24" fillId="0" borderId="17" xfId="42" applyFont="1" applyBorder="1" applyAlignment="1">
      <alignment horizontal="center" vertical="center"/>
    </xf>
    <xf numFmtId="0" fontId="24" fillId="0" borderId="17" xfId="43" applyFont="1" applyBorder="1" applyAlignment="1">
      <alignment vertical="top"/>
    </xf>
    <xf numFmtId="0" fontId="49" fillId="0" borderId="0" xfId="0" applyFont="1"/>
    <xf numFmtId="0" fontId="22" fillId="0" borderId="0" xfId="43" applyFont="1" applyAlignment="1">
      <alignment horizontal="right"/>
    </xf>
    <xf numFmtId="0" fontId="27" fillId="0" borderId="0" xfId="43" applyFont="1" applyAlignment="1">
      <alignment horizontal="right"/>
    </xf>
    <xf numFmtId="0" fontId="26" fillId="0" borderId="0" xfId="43" applyFont="1" applyAlignment="1">
      <alignment horizontal="right"/>
    </xf>
    <xf numFmtId="0" fontId="24" fillId="0" borderId="0" xfId="43" applyFont="1" applyAlignment="1">
      <alignment vertical="center"/>
    </xf>
    <xf numFmtId="0" fontId="50" fillId="0" borderId="0" xfId="0" applyFont="1"/>
    <xf numFmtId="0" fontId="20" fillId="0" borderId="0" xfId="0" applyFont="1" applyAlignment="1">
      <alignment horizontal="center" vertical="center"/>
    </xf>
    <xf numFmtId="0" fontId="22" fillId="0" borderId="0" xfId="0" applyFont="1" applyAlignment="1">
      <alignment horizontal="right"/>
    </xf>
    <xf numFmtId="164" fontId="28" fillId="24" borderId="13" xfId="42" applyNumberFormat="1" applyFont="1" applyFill="1" applyBorder="1" applyAlignment="1">
      <alignment horizontal="center" vertical="center" wrapText="1"/>
    </xf>
    <xf numFmtId="164" fontId="31" fillId="0" borderId="11" xfId="42" applyNumberFormat="1" applyFont="1" applyBorder="1" applyAlignment="1">
      <alignment horizontal="center" vertical="center" wrapText="1"/>
    </xf>
    <xf numFmtId="164" fontId="37" fillId="26" borderId="11" xfId="42" applyNumberFormat="1" applyFont="1" applyFill="1" applyBorder="1" applyAlignment="1">
      <alignment horizontal="center" vertical="center" wrapText="1"/>
    </xf>
    <xf numFmtId="0" fontId="47" fillId="0" borderId="11" xfId="0" applyFont="1" applyBorder="1" applyAlignment="1">
      <alignment horizontal="center" vertical="center" wrapText="1"/>
    </xf>
    <xf numFmtId="164" fontId="28" fillId="0" borderId="11" xfId="42" applyNumberFormat="1" applyFont="1" applyBorder="1" applyAlignment="1">
      <alignment horizontal="center" vertical="center" wrapText="1"/>
    </xf>
    <xf numFmtId="164" fontId="30" fillId="0" borderId="11" xfId="42" applyNumberFormat="1" applyFont="1" applyBorder="1" applyAlignment="1">
      <alignment horizontal="center" vertical="center" wrapText="1"/>
    </xf>
    <xf numFmtId="0" fontId="38" fillId="0" borderId="14" xfId="0" applyFont="1" applyBorder="1" applyAlignment="1">
      <alignment horizontal="center" vertical="center" wrapText="1"/>
    </xf>
    <xf numFmtId="0" fontId="20" fillId="0" borderId="11" xfId="0" applyFont="1" applyBorder="1" applyAlignment="1">
      <alignment horizontal="center" vertical="center"/>
    </xf>
    <xf numFmtId="164" fontId="36" fillId="0" borderId="11" xfId="42" applyNumberFormat="1" applyFont="1" applyBorder="1" applyAlignment="1">
      <alignment horizontal="center" vertical="center" wrapText="1"/>
    </xf>
    <xf numFmtId="164" fontId="39" fillId="0" borderId="11" xfId="42" applyNumberFormat="1" applyFont="1" applyBorder="1" applyAlignment="1">
      <alignment horizontal="center" vertical="center" wrapText="1"/>
    </xf>
    <xf numFmtId="0" fontId="22" fillId="0" borderId="0" xfId="0" applyFont="1" applyAlignment="1">
      <alignment horizontal="center" vertical="center"/>
    </xf>
    <xf numFmtId="0" fontId="22" fillId="0" borderId="11" xfId="0" applyFont="1" applyBorder="1" applyAlignment="1">
      <alignment horizontal="center" vertical="center"/>
    </xf>
    <xf numFmtId="164" fontId="39" fillId="26" borderId="11" xfId="42" applyNumberFormat="1" applyFont="1" applyFill="1" applyBorder="1" applyAlignment="1">
      <alignment horizontal="center" vertical="center" wrapText="1"/>
    </xf>
    <xf numFmtId="0" fontId="59" fillId="0" borderId="0" xfId="0" applyFont="1" applyAlignment="1">
      <alignment vertical="center"/>
    </xf>
    <xf numFmtId="0" fontId="61" fillId="0" borderId="0" xfId="0" applyFont="1" applyAlignment="1">
      <alignment horizontal="center" vertical="center"/>
    </xf>
    <xf numFmtId="0" fontId="0" fillId="0" borderId="0" xfId="0" applyAlignment="1">
      <alignment horizontal="center" vertical="center"/>
    </xf>
    <xf numFmtId="0" fontId="46" fillId="0" borderId="0" xfId="0" applyFont="1" applyAlignment="1">
      <alignment horizontal="center" vertical="center"/>
    </xf>
    <xf numFmtId="0" fontId="42" fillId="0" borderId="0" xfId="0" applyFont="1" applyAlignment="1">
      <alignment horizontal="center" vertical="center" wrapText="1"/>
    </xf>
    <xf numFmtId="0" fontId="49" fillId="0" borderId="0" xfId="0" applyFont="1" applyAlignment="1">
      <alignment horizontal="center" vertical="center"/>
    </xf>
    <xf numFmtId="0" fontId="23" fillId="0" borderId="0" xfId="0" applyFont="1" applyAlignment="1">
      <alignment horizontal="center" vertical="center"/>
    </xf>
    <xf numFmtId="0" fontId="23" fillId="0" borderId="11" xfId="0" applyFont="1" applyBorder="1" applyAlignment="1">
      <alignment horizontal="center" vertical="center"/>
    </xf>
    <xf numFmtId="164" fontId="32" fillId="26" borderId="11" xfId="42" applyNumberFormat="1" applyFont="1" applyFill="1" applyBorder="1" applyAlignment="1">
      <alignment horizontal="center" vertical="center" wrapText="1"/>
    </xf>
    <xf numFmtId="166" fontId="28" fillId="0" borderId="0" xfId="42" applyNumberFormat="1" applyFont="1" applyAlignment="1">
      <alignment horizontal="right" vertical="center" wrapText="1"/>
    </xf>
    <xf numFmtId="0" fontId="53" fillId="0" borderId="0" xfId="0" applyFont="1" applyAlignment="1">
      <alignment vertical="center"/>
    </xf>
    <xf numFmtId="0" fontId="52" fillId="0" borderId="0" xfId="0" applyFont="1" applyAlignment="1">
      <alignment horizontal="center" vertical="center" wrapText="1"/>
    </xf>
    <xf numFmtId="0" fontId="54" fillId="0" borderId="0" xfId="0" applyFont="1" applyAlignment="1">
      <alignment horizontal="center" vertical="center" wrapText="1"/>
    </xf>
    <xf numFmtId="0" fontId="38" fillId="0" borderId="0" xfId="0" applyFont="1" applyAlignment="1">
      <alignment horizontal="center" vertical="center"/>
    </xf>
    <xf numFmtId="0" fontId="30" fillId="26" borderId="0" xfId="42" applyFont="1" applyFill="1" applyAlignment="1">
      <alignment horizontal="center" vertical="center" wrapText="1"/>
    </xf>
    <xf numFmtId="0" fontId="37" fillId="26" borderId="0" xfId="42" applyFont="1" applyFill="1" applyAlignment="1">
      <alignment horizontal="center" vertical="center" wrapText="1"/>
    </xf>
    <xf numFmtId="0" fontId="30" fillId="0" borderId="0" xfId="42" applyFont="1" applyAlignment="1">
      <alignment horizontal="center" vertical="center" wrapText="1"/>
    </xf>
    <xf numFmtId="0" fontId="37" fillId="0" borderId="0" xfId="42" applyFont="1" applyAlignment="1">
      <alignment horizontal="center" vertical="center" wrapText="1"/>
    </xf>
    <xf numFmtId="49" fontId="64" fillId="0" borderId="11" xfId="0" quotePrefix="1" applyNumberFormat="1" applyFont="1" applyBorder="1" applyAlignment="1">
      <alignment horizontal="center" vertical="center" wrapText="1"/>
    </xf>
    <xf numFmtId="0" fontId="55" fillId="0" borderId="10" xfId="0" applyFont="1" applyBorder="1" applyAlignment="1">
      <alignment horizontal="center" vertical="center"/>
    </xf>
    <xf numFmtId="0" fontId="60" fillId="0" borderId="0" xfId="0" applyFont="1" applyAlignment="1">
      <alignment horizontal="center" vertical="center" wrapText="1"/>
    </xf>
    <xf numFmtId="167" fontId="65" fillId="0" borderId="11" xfId="0" applyNumberFormat="1" applyFont="1" applyBorder="1" applyAlignment="1">
      <alignment horizontal="left" vertical="center" wrapText="1" indent="1"/>
    </xf>
    <xf numFmtId="164" fontId="68" fillId="26" borderId="11" xfId="42" applyNumberFormat="1" applyFont="1" applyFill="1" applyBorder="1" applyAlignment="1">
      <alignment horizontal="center" vertical="center" wrapText="1"/>
    </xf>
    <xf numFmtId="164" fontId="68" fillId="0" borderId="11" xfId="42" applyNumberFormat="1" applyFont="1" applyBorder="1" applyAlignment="1">
      <alignment horizontal="center" vertical="center" wrapText="1"/>
    </xf>
    <xf numFmtId="0" fontId="20" fillId="24" borderId="10" xfId="0" applyFont="1" applyFill="1" applyBorder="1" applyAlignment="1">
      <alignment horizontal="center" vertical="center"/>
    </xf>
    <xf numFmtId="0" fontId="20" fillId="24" borderId="10" xfId="44" applyFont="1" applyFill="1" applyBorder="1" applyAlignment="1">
      <alignment horizontal="center" vertical="center"/>
    </xf>
    <xf numFmtId="0" fontId="20" fillId="0" borderId="0" xfId="0" applyFont="1" applyAlignment="1">
      <alignment horizontal="right" vertical="center"/>
    </xf>
    <xf numFmtId="0" fontId="45" fillId="0" borderId="0" xfId="0" applyFont="1" applyAlignment="1">
      <alignment horizontal="center" vertical="top"/>
    </xf>
    <xf numFmtId="0" fontId="20" fillId="0" borderId="0" xfId="0" applyFont="1" applyAlignment="1">
      <alignment horizontal="left" vertical="center"/>
    </xf>
    <xf numFmtId="164" fontId="20" fillId="0" borderId="0" xfId="0" applyNumberFormat="1" applyFont="1" applyAlignment="1">
      <alignment horizontal="center" vertical="center"/>
    </xf>
    <xf numFmtId="164" fontId="22" fillId="0" borderId="0" xfId="42" applyNumberFormat="1" applyFont="1" applyAlignment="1">
      <alignment vertical="center" wrapText="1"/>
    </xf>
    <xf numFmtId="0" fontId="55" fillId="0" borderId="0" xfId="0" applyFont="1"/>
    <xf numFmtId="0" fontId="77" fillId="0" borderId="0" xfId="0" applyFont="1" applyAlignment="1">
      <alignment vertical="center"/>
    </xf>
    <xf numFmtId="166" fontId="22" fillId="25" borderId="11" xfId="0" applyNumberFormat="1" applyFont="1" applyFill="1" applyBorder="1" applyAlignment="1">
      <alignment horizontal="center" vertical="center" wrapText="1"/>
    </xf>
    <xf numFmtId="0" fontId="78" fillId="0" borderId="0" xfId="0" applyFont="1" applyAlignment="1">
      <alignment horizontal="center" vertical="top"/>
    </xf>
    <xf numFmtId="0" fontId="22" fillId="0" borderId="11" xfId="0" applyFont="1" applyBorder="1" applyAlignment="1">
      <alignment horizontal="left" vertical="center"/>
    </xf>
    <xf numFmtId="0" fontId="22" fillId="0" borderId="11" xfId="0" applyFont="1" applyBorder="1" applyAlignment="1">
      <alignment horizontal="right" vertical="center"/>
    </xf>
    <xf numFmtId="0" fontId="78" fillId="0" borderId="11" xfId="0" applyFont="1" applyBorder="1" applyAlignment="1">
      <alignment horizontal="center" vertical="top"/>
    </xf>
    <xf numFmtId="164" fontId="20" fillId="24" borderId="11" xfId="0" applyNumberFormat="1" applyFont="1" applyFill="1" applyBorder="1" applyAlignment="1" applyProtection="1">
      <alignment horizontal="center" vertical="center" wrapText="1"/>
      <protection hidden="1"/>
    </xf>
    <xf numFmtId="0" fontId="22" fillId="24" borderId="11" xfId="0" applyFont="1" applyFill="1" applyBorder="1" applyAlignment="1">
      <alignment horizontal="left" vertical="center"/>
    </xf>
    <xf numFmtId="164" fontId="31" fillId="0" borderId="11" xfId="42" applyNumberFormat="1" applyFont="1" applyBorder="1" applyAlignment="1">
      <alignment horizontal="center" vertical="center" wrapText="1"/>
    </xf>
    <xf numFmtId="164" fontId="31" fillId="0" borderId="11" xfId="42" applyNumberFormat="1" applyFont="1" applyBorder="1" applyAlignment="1">
      <alignment horizontal="center" vertical="center" wrapText="1"/>
    </xf>
    <xf numFmtId="164" fontId="31" fillId="0" borderId="20" xfId="42" applyNumberFormat="1" applyFont="1" applyBorder="1" applyAlignment="1">
      <alignment horizontal="center" vertical="center" wrapText="1"/>
    </xf>
    <xf numFmtId="164" fontId="31" fillId="0" borderId="15" xfId="42" applyNumberFormat="1" applyFont="1" applyBorder="1" applyAlignment="1">
      <alignment horizontal="center" vertical="center" wrapText="1"/>
    </xf>
    <xf numFmtId="0" fontId="27" fillId="0" borderId="11" xfId="43" applyFont="1" applyBorder="1" applyAlignment="1">
      <alignment horizontal="center" vertical="center" wrapText="1"/>
    </xf>
    <xf numFmtId="0" fontId="27" fillId="0" borderId="12" xfId="43" applyFont="1" applyBorder="1" applyAlignment="1">
      <alignment horizontal="left" vertical="center" wrapText="1"/>
    </xf>
    <xf numFmtId="0" fontId="26" fillId="0" borderId="13" xfId="43" applyFont="1" applyBorder="1" applyAlignment="1">
      <alignment horizontal="center" vertical="center" wrapText="1"/>
    </xf>
    <xf numFmtId="164" fontId="63" fillId="26" borderId="11" xfId="42" applyNumberFormat="1" applyFont="1" applyFill="1" applyBorder="1" applyAlignment="1">
      <alignment horizontal="center" vertical="center" wrapText="1"/>
    </xf>
    <xf numFmtId="164" fontId="79" fillId="26" borderId="11" xfId="42" applyNumberFormat="1" applyFont="1" applyFill="1" applyBorder="1" applyAlignment="1">
      <alignment horizontal="center" vertical="center" wrapText="1"/>
    </xf>
    <xf numFmtId="0" fontId="20" fillId="0" borderId="11" xfId="0" applyFont="1" applyBorder="1" applyAlignment="1">
      <alignment horizontal="left" vertical="center" wrapText="1"/>
    </xf>
    <xf numFmtId="0" fontId="21" fillId="0" borderId="20"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5" xfId="0" applyFont="1" applyBorder="1" applyAlignment="1">
      <alignment horizontal="center" vertical="center" wrapText="1"/>
    </xf>
    <xf numFmtId="0" fontId="20" fillId="0" borderId="24" xfId="44" applyFont="1" applyBorder="1" applyAlignment="1">
      <alignment horizontal="left" vertical="center"/>
    </xf>
    <xf numFmtId="0" fontId="20" fillId="0" borderId="0" xfId="44" applyFont="1" applyAlignment="1">
      <alignment horizontal="left" vertical="center"/>
    </xf>
    <xf numFmtId="0" fontId="20" fillId="24" borderId="10" xfId="0" applyFont="1" applyFill="1" applyBorder="1" applyAlignment="1">
      <alignment horizontal="center" vertical="center"/>
    </xf>
    <xf numFmtId="0" fontId="20" fillId="24" borderId="18" xfId="0" applyFont="1" applyFill="1" applyBorder="1" applyAlignment="1">
      <alignment horizontal="center" vertical="center"/>
    </xf>
    <xf numFmtId="0" fontId="20" fillId="24" borderId="10" xfId="44" applyFont="1" applyFill="1" applyBorder="1" applyAlignment="1">
      <alignment horizontal="center" vertical="center"/>
    </xf>
    <xf numFmtId="0" fontId="20" fillId="24" borderId="18" xfId="44" applyFont="1" applyFill="1" applyBorder="1" applyAlignment="1">
      <alignment horizontal="center" vertical="center"/>
    </xf>
    <xf numFmtId="0" fontId="20" fillId="0" borderId="0" xfId="0" applyFont="1" applyAlignment="1">
      <alignment horizontal="right" vertical="center" wrapText="1"/>
    </xf>
    <xf numFmtId="0" fontId="20" fillId="0" borderId="0" xfId="0" applyFont="1" applyAlignment="1">
      <alignment horizontal="right" vertical="center"/>
    </xf>
    <xf numFmtId="0" fontId="20" fillId="0" borderId="0" xfId="0" applyFont="1" applyAlignment="1">
      <alignment horizontal="center" vertical="center"/>
    </xf>
    <xf numFmtId="0" fontId="19" fillId="0" borderId="0" xfId="0" applyFont="1" applyAlignment="1">
      <alignment horizontal="center" vertical="center"/>
    </xf>
    <xf numFmtId="0" fontId="22" fillId="0" borderId="11" xfId="0" applyFont="1" applyBorder="1" applyAlignment="1">
      <alignment horizontal="right" vertical="center"/>
    </xf>
    <xf numFmtId="0" fontId="45" fillId="0" borderId="0" xfId="0" applyFont="1" applyAlignment="1">
      <alignment horizontal="center" vertical="top"/>
    </xf>
    <xf numFmtId="0" fontId="21" fillId="0" borderId="0" xfId="0" applyFont="1" applyAlignment="1">
      <alignment horizontal="center" vertical="center"/>
    </xf>
    <xf numFmtId="164" fontId="20" fillId="24" borderId="11" xfId="0" applyNumberFormat="1" applyFont="1" applyFill="1" applyBorder="1" applyAlignment="1">
      <alignment horizontal="right" vertical="center"/>
    </xf>
    <xf numFmtId="0" fontId="45" fillId="0" borderId="17" xfId="0" applyFont="1" applyBorder="1" applyAlignment="1">
      <alignment horizontal="center" vertical="top"/>
    </xf>
    <xf numFmtId="0" fontId="20" fillId="0" borderId="20"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5" xfId="0" applyFont="1" applyBorder="1" applyAlignment="1">
      <alignment horizontal="center" vertical="center" wrapText="1"/>
    </xf>
    <xf numFmtId="0" fontId="22" fillId="0" borderId="11" xfId="0" applyFont="1" applyBorder="1" applyAlignment="1">
      <alignment horizontal="right" vertical="center" wrapText="1"/>
    </xf>
    <xf numFmtId="0" fontId="22" fillId="0" borderId="11" xfId="0" applyFont="1" applyBorder="1" applyAlignment="1">
      <alignment horizontal="center" vertical="center" wrapText="1"/>
    </xf>
    <xf numFmtId="0" fontId="22" fillId="0" borderId="11" xfId="0" applyFont="1" applyBorder="1" applyAlignment="1">
      <alignment horizontal="left" vertical="center"/>
    </xf>
    <xf numFmtId="0" fontId="22" fillId="0" borderId="11" xfId="0" applyFont="1" applyBorder="1" applyAlignment="1">
      <alignment horizontal="center" vertical="center"/>
    </xf>
    <xf numFmtId="0" fontId="21" fillId="0" borderId="10" xfId="0" applyFont="1" applyBorder="1" applyAlignment="1">
      <alignment horizontal="center" vertical="center" wrapText="1"/>
    </xf>
    <xf numFmtId="0" fontId="21" fillId="0" borderId="11" xfId="0" applyFont="1" applyBorder="1" applyAlignment="1">
      <alignment horizontal="center" vertical="center"/>
    </xf>
    <xf numFmtId="164" fontId="37" fillId="0" borderId="20" xfId="42" applyNumberFormat="1" applyFont="1" applyBorder="1" applyAlignment="1">
      <alignment horizontal="center" vertical="center" wrapText="1"/>
    </xf>
    <xf numFmtId="164" fontId="37" fillId="0" borderId="15" xfId="42" applyNumberFormat="1" applyFont="1" applyBorder="1" applyAlignment="1">
      <alignment horizontal="center" vertical="center" wrapText="1"/>
    </xf>
    <xf numFmtId="0" fontId="28" fillId="0" borderId="20" xfId="0" applyFont="1" applyBorder="1" applyAlignment="1">
      <alignment horizontal="left" vertical="center" wrapText="1"/>
    </xf>
    <xf numFmtId="0" fontId="28" fillId="0" borderId="12" xfId="0" applyFont="1" applyBorder="1" applyAlignment="1">
      <alignment horizontal="left" vertical="center" wrapText="1"/>
    </xf>
    <xf numFmtId="0" fontId="28" fillId="0" borderId="15" xfId="0" applyFont="1" applyBorder="1" applyAlignment="1">
      <alignment horizontal="left" vertical="center" wrapText="1"/>
    </xf>
    <xf numFmtId="0" fontId="28" fillId="26" borderId="11" xfId="0" applyFont="1" applyFill="1" applyBorder="1" applyAlignment="1">
      <alignment horizontal="left" vertical="center" wrapText="1"/>
    </xf>
    <xf numFmtId="0" fontId="28" fillId="26" borderId="20" xfId="0" applyFont="1" applyFill="1" applyBorder="1" applyAlignment="1">
      <alignment horizontal="left" vertical="center" wrapText="1"/>
    </xf>
    <xf numFmtId="0" fontId="28" fillId="26" borderId="12" xfId="0" applyFont="1" applyFill="1" applyBorder="1" applyAlignment="1">
      <alignment horizontal="left" vertical="center" wrapText="1"/>
    </xf>
    <xf numFmtId="0" fontId="28" fillId="26" borderId="15" xfId="0" applyFont="1" applyFill="1" applyBorder="1" applyAlignment="1">
      <alignment horizontal="left" vertical="center" wrapText="1"/>
    </xf>
    <xf numFmtId="167" fontId="57" fillId="0" borderId="0" xfId="0" applyNumberFormat="1" applyFont="1" applyAlignment="1">
      <alignment horizontal="center" vertical="center"/>
    </xf>
    <xf numFmtId="0" fontId="38" fillId="0" borderId="20" xfId="0" applyFont="1" applyBorder="1" applyAlignment="1">
      <alignment horizontal="center" vertical="center"/>
    </xf>
    <xf numFmtId="0" fontId="38" fillId="0" borderId="15" xfId="0" applyFont="1" applyBorder="1" applyAlignment="1">
      <alignment horizontal="center" vertical="center"/>
    </xf>
    <xf numFmtId="0" fontId="28" fillId="0" borderId="22" xfId="0" applyFont="1" applyBorder="1" applyAlignment="1">
      <alignment horizontal="left" vertical="center" wrapText="1"/>
    </xf>
    <xf numFmtId="0" fontId="28" fillId="0" borderId="17" xfId="0" applyFont="1" applyBorder="1" applyAlignment="1">
      <alignment horizontal="left" vertical="center" wrapText="1"/>
    </xf>
    <xf numFmtId="0" fontId="28" fillId="0" borderId="19" xfId="0" applyFont="1" applyBorder="1" applyAlignment="1">
      <alignment horizontal="left" vertical="center" wrapText="1"/>
    </xf>
    <xf numFmtId="0" fontId="29" fillId="0" borderId="10" xfId="0" applyFont="1" applyBorder="1" applyAlignment="1">
      <alignment horizontal="center" vertical="center" wrapText="1"/>
    </xf>
    <xf numFmtId="0" fontId="29" fillId="0" borderId="11" xfId="0" applyFont="1" applyBorder="1" applyAlignment="1">
      <alignment horizontal="center" wrapText="1"/>
    </xf>
    <xf numFmtId="0" fontId="29" fillId="0" borderId="11" xfId="0" applyFont="1" applyBorder="1" applyAlignment="1">
      <alignment horizontal="center" vertical="center" wrapText="1"/>
    </xf>
    <xf numFmtId="0" fontId="22" fillId="24" borderId="20" xfId="0" applyFont="1" applyFill="1" applyBorder="1" applyAlignment="1">
      <alignment horizontal="center" vertical="center"/>
    </xf>
    <xf numFmtId="0" fontId="22" fillId="24" borderId="12" xfId="0" applyFont="1" applyFill="1" applyBorder="1" applyAlignment="1">
      <alignment horizontal="center" vertical="center"/>
    </xf>
    <xf numFmtId="0" fontId="22" fillId="24" borderId="15" xfId="0" applyFont="1" applyFill="1" applyBorder="1" applyAlignment="1">
      <alignment horizontal="center" vertical="center"/>
    </xf>
    <xf numFmtId="0" fontId="22" fillId="24" borderId="20" xfId="0" applyFont="1" applyFill="1" applyBorder="1" applyAlignment="1">
      <alignment horizontal="left" vertical="center" wrapText="1"/>
    </xf>
    <xf numFmtId="0" fontId="22" fillId="24" borderId="12" xfId="0" applyFont="1" applyFill="1" applyBorder="1" applyAlignment="1">
      <alignment horizontal="left" vertical="center" wrapText="1"/>
    </xf>
    <xf numFmtId="0" fontId="22" fillId="24" borderId="15" xfId="0" applyFont="1" applyFill="1" applyBorder="1" applyAlignment="1">
      <alignment horizontal="left" vertical="center" wrapText="1"/>
    </xf>
    <xf numFmtId="0" fontId="22" fillId="24" borderId="11" xfId="0" applyFont="1" applyFill="1" applyBorder="1" applyAlignment="1">
      <alignment horizontal="left" vertical="center"/>
    </xf>
    <xf numFmtId="0" fontId="20" fillId="26" borderId="11" xfId="0" applyFont="1" applyFill="1" applyBorder="1" applyAlignment="1">
      <alignment horizontal="left" vertical="center" wrapText="1"/>
    </xf>
    <xf numFmtId="0" fontId="27" fillId="0" borderId="0" xfId="0" applyFont="1" applyAlignment="1">
      <alignment horizontal="center" vertical="center" wrapText="1"/>
    </xf>
    <xf numFmtId="0" fontId="27" fillId="0" borderId="11" xfId="0" applyFont="1" applyBorder="1" applyAlignment="1">
      <alignment horizontal="center" vertical="center" wrapText="1"/>
    </xf>
    <xf numFmtId="0" fontId="27" fillId="0" borderId="11" xfId="0" applyFont="1" applyBorder="1" applyAlignment="1">
      <alignment horizontal="center" wrapText="1"/>
    </xf>
    <xf numFmtId="164" fontId="31" fillId="0" borderId="11" xfId="42" applyNumberFormat="1" applyFont="1" applyBorder="1" applyAlignment="1">
      <alignment horizontal="center" vertical="center" wrapText="1"/>
    </xf>
    <xf numFmtId="0" fontId="22" fillId="26" borderId="20" xfId="0" applyFont="1" applyFill="1" applyBorder="1" applyAlignment="1">
      <alignment horizontal="left" vertical="center" wrapText="1"/>
    </xf>
    <xf numFmtId="0" fontId="22" fillId="26" borderId="12" xfId="0" applyFont="1" applyFill="1" applyBorder="1" applyAlignment="1">
      <alignment horizontal="left" vertical="center" wrapText="1"/>
    </xf>
    <xf numFmtId="0" fontId="22" fillId="26" borderId="15" xfId="0" applyFont="1" applyFill="1" applyBorder="1" applyAlignment="1">
      <alignment horizontal="left" vertical="center" wrapText="1"/>
    </xf>
    <xf numFmtId="0" fontId="22" fillId="26" borderId="20" xfId="42" applyFont="1" applyFill="1" applyBorder="1" applyAlignment="1">
      <alignment horizontal="left" vertical="center" wrapText="1"/>
    </xf>
    <xf numFmtId="0" fontId="22" fillId="26" borderId="12" xfId="42" applyFont="1" applyFill="1" applyBorder="1" applyAlignment="1">
      <alignment horizontal="left" vertical="center" wrapText="1"/>
    </xf>
    <xf numFmtId="0" fontId="22" fillId="26" borderId="15" xfId="42" applyFont="1" applyFill="1" applyBorder="1" applyAlignment="1">
      <alignment horizontal="left" vertical="center" wrapText="1"/>
    </xf>
    <xf numFmtId="0" fontId="22" fillId="26" borderId="11" xfId="0" applyFont="1" applyFill="1" applyBorder="1" applyAlignment="1">
      <alignment horizontal="left" vertical="center" wrapText="1"/>
    </xf>
    <xf numFmtId="0" fontId="22" fillId="26" borderId="11" xfId="42" applyFont="1" applyFill="1" applyBorder="1" applyAlignment="1">
      <alignment horizontal="left" vertical="center" wrapText="1"/>
    </xf>
    <xf numFmtId="0" fontId="21" fillId="0" borderId="11" xfId="0" applyFont="1" applyBorder="1" applyAlignment="1">
      <alignment horizontal="center" vertical="center" wrapText="1"/>
    </xf>
    <xf numFmtId="0" fontId="27" fillId="0" borderId="13" xfId="0" applyFont="1" applyBorder="1" applyAlignment="1">
      <alignment horizontal="center" vertical="center" wrapText="1"/>
    </xf>
    <xf numFmtId="0" fontId="22" fillId="26" borderId="13" xfId="42" applyFont="1" applyFill="1" applyBorder="1" applyAlignment="1">
      <alignment horizontal="left" vertical="center" wrapText="1"/>
    </xf>
    <xf numFmtId="0" fontId="22" fillId="0" borderId="20" xfId="0" applyFont="1" applyBorder="1" applyAlignment="1">
      <alignment horizontal="left" vertical="center" wrapText="1"/>
    </xf>
    <xf numFmtId="0" fontId="22" fillId="0" borderId="12" xfId="0" applyFont="1" applyBorder="1" applyAlignment="1">
      <alignment horizontal="left" vertical="center" wrapText="1"/>
    </xf>
    <xf numFmtId="0" fontId="22" fillId="0" borderId="15" xfId="0" applyFont="1" applyBorder="1" applyAlignment="1">
      <alignment horizontal="left" vertical="center" wrapText="1"/>
    </xf>
    <xf numFmtId="0" fontId="22" fillId="0" borderId="11" xfId="0" applyFont="1" applyBorder="1" applyAlignment="1">
      <alignment horizontal="left" vertical="center" wrapText="1"/>
    </xf>
    <xf numFmtId="0" fontId="22" fillId="0" borderId="0" xfId="0" applyFont="1" applyAlignment="1">
      <alignment horizontal="center"/>
    </xf>
    <xf numFmtId="0" fontId="61" fillId="0" borderId="0" xfId="0" applyFont="1" applyAlignment="1">
      <alignment horizontal="center" vertical="center"/>
    </xf>
    <xf numFmtId="0" fontId="71" fillId="0" borderId="22" xfId="0" applyFont="1" applyBorder="1" applyAlignment="1">
      <alignment horizontal="center" vertical="center" wrapText="1"/>
    </xf>
    <xf numFmtId="0" fontId="71" fillId="0" borderId="19" xfId="0" applyFont="1" applyBorder="1" applyAlignment="1">
      <alignment horizontal="center" vertical="center" wrapText="1"/>
    </xf>
    <xf numFmtId="0" fontId="71" fillId="0" borderId="23" xfId="0" applyFont="1" applyBorder="1" applyAlignment="1">
      <alignment horizontal="center" vertical="center" wrapText="1"/>
    </xf>
    <xf numFmtId="0" fontId="71" fillId="0" borderId="18" xfId="0" applyFont="1" applyBorder="1" applyAlignment="1">
      <alignment horizontal="center" vertical="center" wrapText="1"/>
    </xf>
    <xf numFmtId="0" fontId="24" fillId="24" borderId="10" xfId="43" applyFont="1" applyFill="1" applyBorder="1" applyAlignment="1">
      <alignment horizontal="left" indent="1"/>
    </xf>
    <xf numFmtId="0" fontId="24" fillId="0" borderId="17" xfId="43" applyFont="1" applyBorder="1" applyAlignment="1">
      <alignment horizontal="center" vertical="top"/>
    </xf>
    <xf numFmtId="0" fontId="26" fillId="0" borderId="13" xfId="43" applyFont="1" applyBorder="1" applyAlignment="1">
      <alignment horizontal="center" vertical="center" wrapText="1"/>
    </xf>
    <xf numFmtId="0" fontId="26" fillId="0" borderId="14" xfId="43" applyFont="1" applyBorder="1" applyAlignment="1">
      <alignment horizontal="center" vertical="center" wrapText="1"/>
    </xf>
    <xf numFmtId="0" fontId="26" fillId="0" borderId="13" xfId="43" applyFont="1" applyBorder="1" applyAlignment="1">
      <alignment horizontal="center" vertical="center"/>
    </xf>
    <xf numFmtId="0" fontId="26" fillId="0" borderId="14" xfId="43" applyFont="1" applyBorder="1" applyAlignment="1">
      <alignment horizontal="center" vertical="center"/>
    </xf>
    <xf numFmtId="0" fontId="26" fillId="0" borderId="19" xfId="43" applyFont="1" applyBorder="1" applyAlignment="1">
      <alignment horizontal="center" vertical="center" wrapText="1"/>
    </xf>
    <xf numFmtId="0" fontId="26" fillId="0" borderId="16" xfId="43" applyFont="1" applyBorder="1" applyAlignment="1">
      <alignment horizontal="center" vertical="center" wrapText="1"/>
    </xf>
    <xf numFmtId="0" fontId="26" fillId="0" borderId="20" xfId="43" applyFont="1" applyBorder="1" applyAlignment="1">
      <alignment horizontal="left" vertical="center" wrapText="1"/>
    </xf>
    <xf numFmtId="0" fontId="26" fillId="0" borderId="15" xfId="43" applyFont="1" applyBorder="1" applyAlignment="1">
      <alignment horizontal="left" vertical="center" wrapText="1"/>
    </xf>
    <xf numFmtId="0" fontId="47" fillId="0" borderId="0" xfId="43" applyFont="1" applyAlignment="1">
      <alignment horizontal="left" vertical="center" wrapText="1"/>
    </xf>
    <xf numFmtId="0" fontId="48" fillId="0" borderId="0" xfId="43" applyFont="1" applyAlignment="1">
      <alignment horizontal="left" vertical="center" wrapText="1"/>
    </xf>
    <xf numFmtId="0" fontId="26" fillId="0" borderId="0" xfId="43" applyFont="1" applyAlignment="1">
      <alignment horizontal="center" vertical="center" wrapText="1"/>
    </xf>
    <xf numFmtId="0" fontId="26" fillId="0" borderId="0" xfId="43" applyFont="1" applyAlignment="1">
      <alignment horizontal="center" vertical="center"/>
    </xf>
    <xf numFmtId="0" fontId="26" fillId="0" borderId="11" xfId="43" applyFont="1" applyBorder="1" applyAlignment="1">
      <alignment horizontal="center" vertical="center" wrapText="1"/>
    </xf>
    <xf numFmtId="0" fontId="27" fillId="0" borderId="20" xfId="43" applyFont="1" applyBorder="1" applyAlignment="1">
      <alignment horizontal="left" vertical="center" wrapText="1"/>
    </xf>
    <xf numFmtId="0" fontId="27" fillId="0" borderId="12" xfId="43" applyFont="1" applyBorder="1" applyAlignment="1">
      <alignment horizontal="left" vertical="center" wrapText="1"/>
    </xf>
    <xf numFmtId="0" fontId="27" fillId="0" borderId="15" xfId="43" applyFont="1" applyBorder="1" applyAlignment="1">
      <alignment horizontal="left" vertical="center" wrapText="1"/>
    </xf>
    <xf numFmtId="0" fontId="47" fillId="0" borderId="0" xfId="0" applyFont="1" applyAlignment="1">
      <alignment horizontal="left" vertical="center" wrapText="1"/>
    </xf>
    <xf numFmtId="0" fontId="26" fillId="0" borderId="20" xfId="43" applyFont="1" applyBorder="1" applyAlignment="1">
      <alignment horizontal="center" vertical="center" wrapText="1"/>
    </xf>
    <xf numFmtId="0" fontId="26" fillId="0" borderId="15" xfId="43" applyFont="1" applyBorder="1" applyAlignment="1">
      <alignment horizontal="center" vertical="center" wrapText="1"/>
    </xf>
    <xf numFmtId="0" fontId="72" fillId="0" borderId="13" xfId="0" applyFont="1" applyBorder="1" applyAlignment="1">
      <alignment horizontal="center" vertical="center" wrapText="1"/>
    </xf>
    <xf numFmtId="0" fontId="73" fillId="0" borderId="21" xfId="0" applyFont="1" applyBorder="1" applyAlignment="1">
      <alignment horizontal="center" vertical="center" wrapText="1"/>
    </xf>
    <xf numFmtId="0" fontId="73" fillId="0" borderId="14" xfId="0" applyFont="1" applyBorder="1" applyAlignment="1">
      <alignment horizontal="center" vertical="center" wrapText="1"/>
    </xf>
    <xf numFmtId="0" fontId="27" fillId="0" borderId="10" xfId="43" applyFont="1" applyBorder="1" applyAlignment="1">
      <alignment horizontal="center" vertical="center" wrapText="1"/>
    </xf>
    <xf numFmtId="0" fontId="27" fillId="0" borderId="11" xfId="43" applyFont="1" applyBorder="1" applyAlignment="1">
      <alignment horizontal="center" vertical="center" wrapText="1"/>
    </xf>
    <xf numFmtId="0" fontId="27" fillId="0" borderId="13" xfId="43" applyFont="1" applyBorder="1" applyAlignment="1">
      <alignment horizontal="center" vertical="center" wrapText="1"/>
    </xf>
    <xf numFmtId="0" fontId="27" fillId="0" borderId="14" xfId="43" applyFont="1" applyBorder="1" applyAlignment="1">
      <alignment horizontal="center" vertical="center" wrapText="1"/>
    </xf>
    <xf numFmtId="2" fontId="27" fillId="0" borderId="13" xfId="43" applyNumberFormat="1" applyFont="1" applyBorder="1" applyAlignment="1">
      <alignment horizontal="center" vertical="center" wrapText="1"/>
    </xf>
    <xf numFmtId="2" fontId="27" fillId="0" borderId="14" xfId="43" applyNumberFormat="1" applyFont="1" applyBorder="1" applyAlignment="1">
      <alignment horizontal="center" vertical="center" wrapText="1"/>
    </xf>
    <xf numFmtId="0" fontId="27" fillId="0" borderId="19" xfId="43" applyFont="1" applyBorder="1" applyAlignment="1">
      <alignment horizontal="center" vertical="center" wrapText="1"/>
    </xf>
    <xf numFmtId="0" fontId="27" fillId="0" borderId="18" xfId="43" applyFont="1" applyBorder="1" applyAlignment="1">
      <alignment horizontal="center" vertical="center" wrapText="1"/>
    </xf>
    <xf numFmtId="0" fontId="27" fillId="0" borderId="20" xfId="43" applyFont="1" applyBorder="1" applyAlignment="1">
      <alignment horizontal="center" vertical="center" wrapText="1"/>
    </xf>
    <xf numFmtId="0" fontId="27" fillId="0" borderId="15" xfId="43" applyFont="1" applyBorder="1" applyAlignment="1">
      <alignment horizontal="center" vertical="center" wrapText="1"/>
    </xf>
    <xf numFmtId="0" fontId="74" fillId="0" borderId="13" xfId="0" applyFont="1" applyBorder="1" applyAlignment="1">
      <alignment horizontal="center" vertical="center" wrapText="1"/>
    </xf>
    <xf numFmtId="0" fontId="76" fillId="0" borderId="21" xfId="0" applyFont="1" applyBorder="1" applyAlignment="1">
      <alignment horizontal="center" vertical="center" wrapText="1"/>
    </xf>
    <xf numFmtId="0" fontId="76" fillId="0" borderId="14" xfId="0" applyFont="1" applyBorder="1" applyAlignment="1">
      <alignment horizontal="center" vertical="center" wrapText="1"/>
    </xf>
    <xf numFmtId="0" fontId="26" fillId="26" borderId="0" xfId="43" applyFont="1" applyFill="1" applyAlignment="1">
      <alignment horizontal="center" vertical="center" wrapText="1"/>
    </xf>
    <xf numFmtId="0" fontId="26" fillId="26" borderId="13" xfId="43" applyFont="1" applyFill="1" applyBorder="1" applyAlignment="1">
      <alignment horizontal="center" vertical="center" wrapText="1"/>
    </xf>
    <xf numFmtId="0" fontId="26" fillId="26" borderId="14" xfId="43" applyFont="1" applyFill="1" applyBorder="1" applyAlignment="1">
      <alignment horizontal="center" vertical="center" wrapText="1"/>
    </xf>
    <xf numFmtId="0" fontId="24" fillId="0" borderId="20" xfId="0" applyFont="1" applyBorder="1" applyAlignment="1">
      <alignment horizontal="left" vertical="center" wrapText="1"/>
    </xf>
    <xf numFmtId="0" fontId="24" fillId="0" borderId="12" xfId="0" applyFont="1" applyBorder="1" applyAlignment="1">
      <alignment horizontal="left" vertical="center" wrapText="1"/>
    </xf>
    <xf numFmtId="0" fontId="24" fillId="0" borderId="15" xfId="0" applyFont="1" applyBorder="1" applyAlignment="1">
      <alignment horizontal="left" vertical="center" wrapText="1"/>
    </xf>
    <xf numFmtId="0" fontId="24" fillId="0" borderId="11" xfId="0" applyFont="1" applyBorder="1" applyAlignment="1">
      <alignment horizontal="left" vertical="center" wrapText="1"/>
    </xf>
    <xf numFmtId="0" fontId="26" fillId="0" borderId="10" xfId="0" applyFont="1" applyBorder="1" applyAlignment="1">
      <alignment horizontal="center" vertical="center" wrapText="1"/>
    </xf>
    <xf numFmtId="0" fontId="26" fillId="0" borderId="10" xfId="0" applyFont="1" applyBorder="1" applyAlignment="1">
      <alignment horizontal="center" vertical="center"/>
    </xf>
    <xf numFmtId="0" fontId="27" fillId="0" borderId="20" xfId="0" applyFont="1" applyBorder="1" applyAlignment="1">
      <alignment horizontal="center" wrapText="1"/>
    </xf>
    <xf numFmtId="0" fontId="27" fillId="0" borderId="12" xfId="0" applyFont="1" applyBorder="1" applyAlignment="1">
      <alignment horizontal="center" wrapText="1"/>
    </xf>
    <xf numFmtId="0" fontId="27" fillId="0" borderId="15" xfId="0" applyFont="1" applyBorder="1" applyAlignment="1">
      <alignment horizontal="center" wrapText="1"/>
    </xf>
    <xf numFmtId="0" fontId="24" fillId="0" borderId="11" xfId="0" applyFont="1" applyBorder="1" applyAlignment="1">
      <alignment horizontal="left" vertical="top" wrapText="1"/>
    </xf>
    <xf numFmtId="0" fontId="80" fillId="28" borderId="25" xfId="0" applyFont="1" applyFill="1" applyBorder="1" applyAlignment="1">
      <alignment horizontal="left" vertical="center" wrapText="1"/>
    </xf>
    <xf numFmtId="0" fontId="80" fillId="28" borderId="26" xfId="0" applyFont="1" applyFill="1" applyBorder="1" applyAlignment="1">
      <alignment horizontal="left" vertical="center" wrapText="1"/>
    </xf>
    <xf numFmtId="0" fontId="80" fillId="28" borderId="27" xfId="0" applyFont="1" applyFill="1" applyBorder="1" applyAlignment="1">
      <alignment horizontal="left" vertical="center" wrapText="1"/>
    </xf>
    <xf numFmtId="0" fontId="22" fillId="26" borderId="28" xfId="0" applyFont="1" applyFill="1" applyBorder="1" applyAlignment="1">
      <alignment horizontal="left" vertical="center" wrapText="1"/>
    </xf>
    <xf numFmtId="0" fontId="22" fillId="26" borderId="29" xfId="0" applyFont="1" applyFill="1" applyBorder="1" applyAlignment="1">
      <alignment horizontal="left" vertical="center" wrapText="1"/>
    </xf>
    <xf numFmtId="0" fontId="22" fillId="26" borderId="30" xfId="0" applyFont="1" applyFill="1" applyBorder="1" applyAlignment="1">
      <alignment horizontal="left" vertical="center" wrapText="1"/>
    </xf>
    <xf numFmtId="0" fontId="80" fillId="28" borderId="31" xfId="0" applyFont="1" applyFill="1" applyBorder="1" applyAlignment="1">
      <alignment horizontal="left" vertical="center" wrapText="1"/>
    </xf>
    <xf numFmtId="164" fontId="22" fillId="26" borderId="11" xfId="42" applyNumberFormat="1" applyFont="1" applyFill="1" applyBorder="1" applyAlignment="1">
      <alignment horizontal="right" vertical="center" wrapText="1"/>
    </xf>
    <xf numFmtId="164" fontId="31" fillId="0" borderId="22" xfId="42" applyNumberFormat="1" applyFont="1" applyBorder="1" applyAlignment="1">
      <alignment horizontal="center" vertical="center" wrapText="1"/>
    </xf>
    <xf numFmtId="164" fontId="31" fillId="0" borderId="19" xfId="42" applyNumberFormat="1" applyFont="1" applyBorder="1" applyAlignment="1">
      <alignment horizontal="center" vertical="center" wrapText="1"/>
    </xf>
    <xf numFmtId="164" fontId="31" fillId="0" borderId="23" xfId="42" applyNumberFormat="1" applyFont="1" applyBorder="1" applyAlignment="1">
      <alignment horizontal="center" vertical="center" wrapText="1"/>
    </xf>
    <xf numFmtId="164" fontId="31" fillId="0" borderId="18" xfId="42" applyNumberFormat="1" applyFont="1" applyBorder="1" applyAlignment="1">
      <alignment horizontal="center" vertical="center" wrapText="1"/>
    </xf>
    <xf numFmtId="164" fontId="31" fillId="0" borderId="13" xfId="42" applyNumberFormat="1" applyFont="1" applyBorder="1" applyAlignment="1">
      <alignment horizontal="center" vertical="center" wrapText="1"/>
    </xf>
    <xf numFmtId="164" fontId="31" fillId="0" borderId="14" xfId="42" applyNumberFormat="1" applyFont="1" applyBorder="1" applyAlignment="1">
      <alignment horizontal="center" vertical="center" wrapText="1"/>
    </xf>
    <xf numFmtId="164" fontId="31" fillId="0" borderId="24" xfId="42" applyNumberFormat="1" applyFont="1" applyBorder="1" applyAlignment="1">
      <alignment horizontal="center" vertical="center" wrapText="1"/>
    </xf>
    <xf numFmtId="164" fontId="31" fillId="0" borderId="16" xfId="42" applyNumberFormat="1" applyFont="1" applyBorder="1" applyAlignment="1">
      <alignment horizontal="center" vertical="center" wrapText="1"/>
    </xf>
    <xf numFmtId="0" fontId="39" fillId="0" borderId="13" xfId="0" applyFont="1" applyBorder="1" applyAlignment="1">
      <alignment vertical="center" wrapText="1"/>
    </xf>
    <xf numFmtId="0" fontId="39" fillId="0" borderId="21" xfId="0" applyFont="1" applyBorder="1" applyAlignment="1">
      <alignment vertical="center" wrapText="1"/>
    </xf>
    <xf numFmtId="0" fontId="39" fillId="0" borderId="14" xfId="0" applyFont="1" applyBorder="1" applyAlignment="1">
      <alignment vertical="center" wrapText="1"/>
    </xf>
    <xf numFmtId="0" fontId="27" fillId="0" borderId="12" xfId="43" applyFont="1" applyBorder="1" applyAlignment="1">
      <alignment horizontal="center" vertical="center" wrapText="1"/>
    </xf>
    <xf numFmtId="0" fontId="22" fillId="0" borderId="20" xfId="43" applyFont="1" applyBorder="1" applyAlignment="1">
      <alignment horizontal="left" vertical="center" wrapText="1"/>
    </xf>
    <xf numFmtId="0" fontId="0" fillId="0" borderId="0" xfId="0" applyAlignment="1">
      <alignment horizontal="right" vertical="center"/>
    </xf>
    <xf numFmtId="0" fontId="81" fillId="0" borderId="0" xfId="42" applyFont="1" applyAlignment="1">
      <alignment horizontal="center" vertical="center" wrapText="1"/>
    </xf>
    <xf numFmtId="0" fontId="84" fillId="0" borderId="13" xfId="42" applyFont="1" applyBorder="1" applyAlignment="1">
      <alignment horizontal="center" vertical="center" wrapText="1"/>
    </xf>
    <xf numFmtId="0" fontId="84" fillId="29" borderId="32" xfId="42" applyFont="1" applyFill="1" applyBorder="1" applyAlignment="1">
      <alignment horizontal="center" vertical="center" wrapText="1"/>
    </xf>
    <xf numFmtId="0" fontId="84" fillId="0" borderId="33" xfId="42" applyFont="1" applyBorder="1" applyAlignment="1">
      <alignment horizontal="center" vertical="center" wrapText="1"/>
    </xf>
    <xf numFmtId="0" fontId="84" fillId="0" borderId="34" xfId="42" applyFont="1" applyBorder="1" applyAlignment="1">
      <alignment horizontal="center" vertical="center" wrapText="1"/>
    </xf>
    <xf numFmtId="0" fontId="84" fillId="0" borderId="35" xfId="42" applyFont="1" applyBorder="1" applyAlignment="1">
      <alignment horizontal="center" vertical="center" wrapText="1"/>
    </xf>
    <xf numFmtId="0" fontId="84" fillId="0" borderId="21" xfId="42" applyFont="1" applyBorder="1" applyAlignment="1">
      <alignment horizontal="center" vertical="center" wrapText="1"/>
    </xf>
    <xf numFmtId="0" fontId="84" fillId="29" borderId="36" xfId="42" applyFont="1" applyFill="1" applyBorder="1" applyAlignment="1">
      <alignment horizontal="center" vertical="center" wrapText="1"/>
    </xf>
    <xf numFmtId="0" fontId="85" fillId="0" borderId="37" xfId="42" applyFont="1" applyBorder="1" applyAlignment="1">
      <alignment horizontal="center" vertical="center" wrapText="1"/>
    </xf>
    <xf numFmtId="0" fontId="86" fillId="0" borderId="38" xfId="42" applyFont="1" applyBorder="1" applyAlignment="1">
      <alignment horizontal="center" vertical="center" wrapText="1"/>
    </xf>
    <xf numFmtId="0" fontId="87" fillId="0" borderId="39" xfId="42" applyFont="1" applyBorder="1" applyAlignment="1">
      <alignment horizontal="center" vertical="center" wrapText="1"/>
    </xf>
    <xf numFmtId="0" fontId="87" fillId="0" borderId="40" xfId="42" applyFont="1" applyBorder="1" applyAlignment="1">
      <alignment horizontal="center" vertical="center" wrapText="1"/>
    </xf>
    <xf numFmtId="0" fontId="88" fillId="0" borderId="41" xfId="42" applyFont="1" applyBorder="1" applyAlignment="1">
      <alignment horizontal="center" vertical="center" wrapText="1"/>
    </xf>
    <xf numFmtId="0" fontId="86" fillId="0" borderId="42" xfId="42" applyFont="1" applyBorder="1" applyAlignment="1">
      <alignment horizontal="center" vertical="center" wrapText="1"/>
    </xf>
    <xf numFmtId="0" fontId="85" fillId="0" borderId="43" xfId="42" applyFont="1" applyBorder="1" applyAlignment="1">
      <alignment horizontal="center" vertical="center" wrapText="1"/>
    </xf>
    <xf numFmtId="0" fontId="86" fillId="0" borderId="44" xfId="42" applyFont="1" applyBorder="1" applyAlignment="1">
      <alignment horizontal="center" vertical="center" wrapText="1"/>
    </xf>
    <xf numFmtId="0" fontId="87" fillId="0" borderId="45" xfId="42" applyFont="1" applyBorder="1" applyAlignment="1">
      <alignment horizontal="center" vertical="center" wrapText="1"/>
    </xf>
    <xf numFmtId="0" fontId="87" fillId="0" borderId="46" xfId="42" applyFont="1" applyBorder="1" applyAlignment="1">
      <alignment horizontal="center" vertical="center" wrapText="1"/>
    </xf>
    <xf numFmtId="0" fontId="88" fillId="0" borderId="43" xfId="42" applyFont="1" applyBorder="1" applyAlignment="1">
      <alignment horizontal="center" vertical="center" wrapText="1"/>
    </xf>
    <xf numFmtId="0" fontId="86" fillId="0" borderId="47" xfId="42" applyFont="1" applyBorder="1" applyAlignment="1">
      <alignment horizontal="center" vertical="center" wrapText="1"/>
    </xf>
    <xf numFmtId="0" fontId="84" fillId="29" borderId="48" xfId="42" applyFont="1" applyFill="1" applyBorder="1" applyAlignment="1">
      <alignment horizontal="center" vertical="center" wrapText="1"/>
    </xf>
    <xf numFmtId="0" fontId="85" fillId="0" borderId="49" xfId="42" applyFont="1" applyBorder="1" applyAlignment="1">
      <alignment horizontal="center" vertical="center" wrapText="1"/>
    </xf>
    <xf numFmtId="0" fontId="86" fillId="0" borderId="45" xfId="42" applyFont="1" applyBorder="1" applyAlignment="1">
      <alignment horizontal="center" vertical="center" wrapText="1"/>
    </xf>
    <xf numFmtId="0" fontId="87" fillId="0" borderId="50" xfId="42" applyFont="1" applyBorder="1" applyAlignment="1">
      <alignment horizontal="center" vertical="center" wrapText="1"/>
    </xf>
    <xf numFmtId="0" fontId="87" fillId="0" borderId="51" xfId="42" applyFont="1" applyBorder="1" applyAlignment="1">
      <alignment horizontal="center" vertical="center" wrapText="1"/>
    </xf>
    <xf numFmtId="0" fontId="88" fillId="0" borderId="49" xfId="42" applyFont="1" applyBorder="1" applyAlignment="1">
      <alignment horizontal="center" vertical="center" wrapText="1"/>
    </xf>
    <xf numFmtId="0" fontId="86" fillId="0" borderId="52" xfId="42" applyFont="1" applyBorder="1" applyAlignment="1">
      <alignment horizontal="center" vertical="center" wrapText="1"/>
    </xf>
    <xf numFmtId="0" fontId="89" fillId="0" borderId="33" xfId="42" applyFont="1" applyBorder="1" applyAlignment="1">
      <alignment horizontal="center" vertical="center"/>
    </xf>
    <xf numFmtId="0" fontId="89" fillId="0" borderId="53" xfId="42" applyFont="1" applyBorder="1" applyAlignment="1">
      <alignment horizontal="center" vertical="center"/>
    </xf>
    <xf numFmtId="166" fontId="89" fillId="29" borderId="20" xfId="42" applyNumberFormat="1" applyFont="1" applyFill="1" applyBorder="1" applyAlignment="1">
      <alignment horizontal="center" vertical="center" wrapText="1"/>
    </xf>
    <xf numFmtId="166" fontId="90" fillId="0" borderId="33" xfId="42" applyNumberFormat="1" applyFont="1" applyBorder="1" applyAlignment="1">
      <alignment horizontal="center" vertical="center" wrapText="1"/>
    </xf>
    <xf numFmtId="166" fontId="91" fillId="0" borderId="34" xfId="42" applyNumberFormat="1" applyFont="1" applyBorder="1" applyAlignment="1">
      <alignment horizontal="center" vertical="center" wrapText="1"/>
    </xf>
    <xf numFmtId="166" fontId="92" fillId="0" borderId="34" xfId="42" applyNumberFormat="1" applyFont="1" applyBorder="1" applyAlignment="1">
      <alignment horizontal="center" vertical="center" wrapText="1"/>
    </xf>
    <xf numFmtId="166" fontId="92" fillId="0" borderId="53" xfId="42" applyNumberFormat="1" applyFont="1" applyBorder="1" applyAlignment="1">
      <alignment horizontal="center" vertical="center" wrapText="1"/>
    </xf>
    <xf numFmtId="166" fontId="89" fillId="0" borderId="33" xfId="42" applyNumberFormat="1" applyFont="1" applyBorder="1" applyAlignment="1">
      <alignment horizontal="center" vertical="center" wrapText="1"/>
    </xf>
    <xf numFmtId="166" fontId="91" fillId="0" borderId="35" xfId="42" applyNumberFormat="1" applyFont="1" applyBorder="1" applyAlignment="1">
      <alignment horizontal="center" vertical="center" wrapText="1"/>
    </xf>
    <xf numFmtId="0" fontId="84" fillId="0" borderId="54" xfId="42" applyFont="1" applyBorder="1" applyAlignment="1">
      <alignment horizontal="center" vertical="center"/>
    </xf>
    <xf numFmtId="0" fontId="90" fillId="0" borderId="54" xfId="42" applyFont="1" applyBorder="1" applyAlignment="1">
      <alignment vertical="center" wrapText="1"/>
    </xf>
    <xf numFmtId="166" fontId="84" fillId="29" borderId="54" xfId="45" applyNumberFormat="1" applyFont="1" applyFill="1" applyBorder="1" applyAlignment="1">
      <alignment horizontal="center" vertical="center" wrapText="1"/>
    </xf>
    <xf numFmtId="166" fontId="85" fillId="0" borderId="37" xfId="45" applyNumberFormat="1" applyFont="1" applyFill="1" applyBorder="1" applyAlignment="1">
      <alignment horizontal="center" vertical="center" wrapText="1"/>
    </xf>
    <xf numFmtId="166" fontId="86" fillId="0" borderId="38" xfId="45" applyNumberFormat="1" applyFont="1" applyFill="1" applyBorder="1" applyAlignment="1">
      <alignment horizontal="center" vertical="center" wrapText="1"/>
    </xf>
    <xf numFmtId="166" fontId="93" fillId="0" borderId="38" xfId="45" applyNumberFormat="1" applyFont="1" applyBorder="1" applyAlignment="1">
      <alignment horizontal="center" vertical="center" wrapText="1"/>
    </xf>
    <xf numFmtId="166" fontId="93" fillId="0" borderId="55" xfId="45" applyNumberFormat="1" applyFont="1" applyBorder="1" applyAlignment="1">
      <alignment horizontal="center" vertical="center" wrapText="1"/>
    </xf>
    <xf numFmtId="166" fontId="84" fillId="0" borderId="37" xfId="45" applyNumberFormat="1" applyFont="1" applyBorder="1" applyAlignment="1">
      <alignment horizontal="center" vertical="center" wrapText="1"/>
    </xf>
    <xf numFmtId="166" fontId="86" fillId="0" borderId="42" xfId="45" applyNumberFormat="1" applyFont="1" applyBorder="1" applyAlignment="1">
      <alignment horizontal="center" vertical="center" wrapText="1"/>
    </xf>
    <xf numFmtId="0" fontId="84" fillId="0" borderId="56" xfId="42" applyFont="1" applyBorder="1" applyAlignment="1">
      <alignment horizontal="center" vertical="center"/>
    </xf>
    <xf numFmtId="0" fontId="84" fillId="0" borderId="56" xfId="42" applyFont="1" applyBorder="1" applyAlignment="1">
      <alignment vertical="center" wrapText="1"/>
    </xf>
    <xf numFmtId="166" fontId="84" fillId="29" borderId="56" xfId="45" applyNumberFormat="1" applyFont="1" applyFill="1" applyBorder="1" applyAlignment="1">
      <alignment horizontal="center" vertical="center" wrapText="1"/>
    </xf>
    <xf numFmtId="166" fontId="85" fillId="0" borderId="43" xfId="45" applyNumberFormat="1" applyFont="1" applyFill="1" applyBorder="1" applyAlignment="1">
      <alignment horizontal="center" vertical="center" wrapText="1"/>
    </xf>
    <xf numFmtId="166" fontId="86" fillId="0" borderId="44" xfId="45" applyNumberFormat="1" applyFont="1" applyFill="1" applyBorder="1" applyAlignment="1">
      <alignment horizontal="center" vertical="center" wrapText="1"/>
    </xf>
    <xf numFmtId="166" fontId="93" fillId="0" borderId="44" xfId="45" applyNumberFormat="1" applyFont="1" applyBorder="1" applyAlignment="1">
      <alignment horizontal="center" vertical="center" wrapText="1"/>
    </xf>
    <xf numFmtId="166" fontId="84" fillId="0" borderId="43" xfId="45" applyNumberFormat="1" applyFont="1" applyBorder="1" applyAlignment="1">
      <alignment horizontal="center" vertical="center" wrapText="1"/>
    </xf>
    <xf numFmtId="166" fontId="86" fillId="0" borderId="47" xfId="45" applyNumberFormat="1" applyFont="1" applyBorder="1" applyAlignment="1">
      <alignment horizontal="center" vertical="center" wrapText="1"/>
    </xf>
    <xf numFmtId="0" fontId="84" fillId="0" borderId="57" xfId="42" applyFont="1" applyBorder="1" applyAlignment="1">
      <alignment horizontal="center" vertical="center"/>
    </xf>
    <xf numFmtId="166" fontId="84" fillId="29" borderId="57" xfId="45" applyNumberFormat="1" applyFont="1" applyFill="1" applyBorder="1" applyAlignment="1">
      <alignment horizontal="center" vertical="center" wrapText="1"/>
    </xf>
    <xf numFmtId="166" fontId="85" fillId="0" borderId="49" xfId="45" applyNumberFormat="1" applyFont="1" applyFill="1" applyBorder="1" applyAlignment="1">
      <alignment horizontal="center" vertical="center" wrapText="1"/>
    </xf>
    <xf numFmtId="166" fontId="86" fillId="0" borderId="45" xfId="45" applyNumberFormat="1" applyFont="1" applyFill="1" applyBorder="1" applyAlignment="1">
      <alignment horizontal="center" vertical="center" wrapText="1"/>
    </xf>
    <xf numFmtId="166" fontId="93" fillId="0" borderId="45" xfId="45" applyNumberFormat="1" applyFont="1" applyBorder="1" applyAlignment="1">
      <alignment horizontal="center" vertical="center" wrapText="1"/>
    </xf>
    <xf numFmtId="166" fontId="84" fillId="0" borderId="49" xfId="45" applyNumberFormat="1" applyFont="1" applyBorder="1" applyAlignment="1">
      <alignment horizontal="center" vertical="center" wrapText="1"/>
    </xf>
    <xf numFmtId="166" fontId="86" fillId="0" borderId="52" xfId="45" applyNumberFormat="1" applyFont="1" applyBorder="1" applyAlignment="1">
      <alignment horizontal="center" vertical="center" wrapText="1"/>
    </xf>
    <xf numFmtId="0" fontId="84" fillId="0" borderId="57" xfId="42" applyFont="1" applyBorder="1" applyAlignment="1">
      <alignment vertical="center" wrapText="1"/>
    </xf>
    <xf numFmtId="0" fontId="84" fillId="0" borderId="58" xfId="42" applyFont="1" applyBorder="1" applyAlignment="1">
      <alignment vertical="center" wrapText="1"/>
    </xf>
    <xf numFmtId="0" fontId="84" fillId="0" borderId="58" xfId="42" applyFont="1" applyBorder="1" applyAlignment="1">
      <alignment horizontal="center" vertical="center"/>
    </xf>
    <xf numFmtId="166" fontId="84" fillId="29" borderId="58" xfId="45" applyNumberFormat="1" applyFont="1" applyFill="1" applyBorder="1" applyAlignment="1">
      <alignment horizontal="center" vertical="center" wrapText="1"/>
    </xf>
    <xf numFmtId="166" fontId="85" fillId="0" borderId="59" xfId="45" applyNumberFormat="1" applyFont="1" applyFill="1" applyBorder="1" applyAlignment="1">
      <alignment horizontal="center" vertical="center" wrapText="1"/>
    </xf>
    <xf numFmtId="166" fontId="86" fillId="0" borderId="60" xfId="45" applyNumberFormat="1" applyFont="1" applyFill="1" applyBorder="1" applyAlignment="1">
      <alignment horizontal="center" vertical="center" wrapText="1"/>
    </xf>
    <xf numFmtId="166" fontId="93" fillId="0" borderId="60" xfId="45" applyNumberFormat="1" applyFont="1" applyBorder="1" applyAlignment="1">
      <alignment horizontal="center" vertical="center" wrapText="1"/>
    </xf>
    <xf numFmtId="166" fontId="93" fillId="0" borderId="61" xfId="45" applyNumberFormat="1" applyFont="1" applyBorder="1" applyAlignment="1">
      <alignment horizontal="center" vertical="center" wrapText="1"/>
    </xf>
    <xf numFmtId="166" fontId="84" fillId="0" borderId="59" xfId="45" applyNumberFormat="1" applyFont="1" applyBorder="1" applyAlignment="1">
      <alignment horizontal="center" vertical="center" wrapText="1"/>
    </xf>
    <xf numFmtId="166" fontId="86" fillId="0" borderId="62" xfId="45" applyNumberFormat="1" applyFont="1" applyBorder="1" applyAlignment="1">
      <alignment horizontal="center" vertical="center" wrapText="1"/>
    </xf>
  </cellXfs>
  <cellStyles count="46">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2" xfId="14" builtinId="36" customBuiltin="1"/>
    <cellStyle name="60% — акцент3" xfId="15" builtinId="40" customBuiltin="1"/>
    <cellStyle name="60% — акцент4" xfId="16" builtinId="44" customBuiltin="1"/>
    <cellStyle name="60% — акцент5" xfId="17" builtinId="48" customBuiltin="1"/>
    <cellStyle name="60% — акцент6" xfId="18" builtinId="52" customBuiltin="1"/>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25" builtinId="20" customBuiltin="1"/>
    <cellStyle name="Вывод" xfId="26" builtinId="21" customBuiltin="1"/>
    <cellStyle name="Вычисление" xfId="27" builtinId="22" customBuiltin="1"/>
    <cellStyle name="Заголовок 1" xfId="28" builtinId="16" customBuiltin="1"/>
    <cellStyle name="Заголовок 2" xfId="29" builtinId="17" customBuiltin="1"/>
    <cellStyle name="Заголовок 3" xfId="30" builtinId="18" customBuiltin="1"/>
    <cellStyle name="Заголовок 4" xfId="31" builtinId="19" customBuiltin="1"/>
    <cellStyle name="Итог" xfId="32" builtinId="25" customBuiltin="1"/>
    <cellStyle name="Контрольная ячейка" xfId="33" builtinId="23" customBuiltin="1"/>
    <cellStyle name="Название" xfId="34" builtinId="15" customBuiltin="1"/>
    <cellStyle name="Нейтральный" xfId="35" builtinId="28" customBuiltin="1"/>
    <cellStyle name="Обычный" xfId="0" builtinId="0"/>
    <cellStyle name="Обычный 2" xfId="42" xr:uid="{00000000-0005-0000-0000-000024000000}"/>
    <cellStyle name="Обычный_10006ru" xfId="43" xr:uid="{00000000-0005-0000-0000-000025000000}"/>
    <cellStyle name="Обычный_ru" xfId="44" xr:uid="{00000000-0005-0000-0000-000026000000}"/>
    <cellStyle name="Плохой" xfId="36" builtinId="27" customBuiltin="1"/>
    <cellStyle name="Пояснение" xfId="37" builtinId="53" customBuiltin="1"/>
    <cellStyle name="Примечание" xfId="38" builtinId="10" customBuiltin="1"/>
    <cellStyle name="Связанная ячейка" xfId="39" builtinId="24" customBuiltin="1"/>
    <cellStyle name="Текст предупреждения" xfId="40" builtinId="11" customBuiltin="1"/>
    <cellStyle name="Финансовый 2" xfId="45" xr:uid="{00000000-0005-0000-0000-00002C000000}"/>
    <cellStyle name="Хороший" xfId="41" builtinId="26" customBuiltin="1"/>
  </cellStyles>
  <dxfs count="0"/>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lbek.shukurov\Desktop\&#1052;&#1080;&#1085;%20&#1070;%20&#1086;&#1090;&#1095;&#1105;&#1090;%20&#1053;&#1044;&#1057;\60227u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01"/>
      <sheetName val="list02"/>
      <sheetName val="list03"/>
      <sheetName val="list04"/>
      <sheetName val="list05"/>
      <sheetName val="list06"/>
      <sheetName val="list07"/>
      <sheetName val="list08"/>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0DBE9-0195-4826-93FC-15FC7E5DC39E}">
  <dimension ref="A1:K16"/>
  <sheetViews>
    <sheetView tabSelected="1" workbookViewId="0">
      <selection activeCell="C9" sqref="C9"/>
    </sheetView>
  </sheetViews>
  <sheetFormatPr defaultRowHeight="15" x14ac:dyDescent="0.25"/>
  <cols>
    <col min="1" max="1" width="4" bestFit="1" customWidth="1"/>
    <col min="2" max="2" width="32.140625" customWidth="1"/>
    <col min="3" max="3" width="15.28515625" customWidth="1"/>
    <col min="5" max="5" width="5" bestFit="1" customWidth="1"/>
    <col min="11" max="11" width="4" bestFit="1" customWidth="1"/>
  </cols>
  <sheetData>
    <row r="1" spans="1:11" ht="18.75" x14ac:dyDescent="0.25">
      <c r="A1" s="327" t="s">
        <v>440</v>
      </c>
      <c r="B1" s="327"/>
      <c r="C1" s="327"/>
      <c r="D1" s="327"/>
      <c r="E1" s="327"/>
      <c r="F1" s="327"/>
      <c r="G1" s="327"/>
      <c r="H1" s="327"/>
      <c r="I1" s="327"/>
      <c r="J1" s="327"/>
      <c r="K1" s="327"/>
    </row>
    <row r="2" spans="1:11" x14ac:dyDescent="0.25">
      <c r="A2" s="328" t="s">
        <v>152</v>
      </c>
      <c r="B2" s="328" t="s">
        <v>441</v>
      </c>
      <c r="C2" s="329" t="s">
        <v>442</v>
      </c>
      <c r="D2" s="330" t="s">
        <v>443</v>
      </c>
      <c r="E2" s="331"/>
      <c r="F2" s="331"/>
      <c r="G2" s="331"/>
      <c r="H2" s="331"/>
      <c r="I2" s="331"/>
      <c r="J2" s="331"/>
      <c r="K2" s="332"/>
    </row>
    <row r="3" spans="1:11" ht="15" customHeight="1" x14ac:dyDescent="0.25">
      <c r="A3" s="333"/>
      <c r="B3" s="333"/>
      <c r="C3" s="334"/>
      <c r="D3" s="335" t="s">
        <v>444</v>
      </c>
      <c r="E3" s="336" t="s">
        <v>445</v>
      </c>
      <c r="F3" s="337" t="s">
        <v>443</v>
      </c>
      <c r="G3" s="338"/>
      <c r="H3" s="338"/>
      <c r="I3" s="338"/>
      <c r="J3" s="339" t="s">
        <v>446</v>
      </c>
      <c r="K3" s="340" t="s">
        <v>445</v>
      </c>
    </row>
    <row r="4" spans="1:11" ht="38.25" customHeight="1" x14ac:dyDescent="0.25">
      <c r="A4" s="333"/>
      <c r="B4" s="333"/>
      <c r="C4" s="334"/>
      <c r="D4" s="341"/>
      <c r="E4" s="342"/>
      <c r="F4" s="343" t="s">
        <v>447</v>
      </c>
      <c r="G4" s="343" t="s">
        <v>448</v>
      </c>
      <c r="H4" s="343" t="s">
        <v>449</v>
      </c>
      <c r="I4" s="344" t="s">
        <v>450</v>
      </c>
      <c r="J4" s="345"/>
      <c r="K4" s="346"/>
    </row>
    <row r="5" spans="1:11" ht="43.5" customHeight="1" x14ac:dyDescent="0.25">
      <c r="A5" s="333"/>
      <c r="B5" s="333"/>
      <c r="C5" s="347"/>
      <c r="D5" s="348"/>
      <c r="E5" s="349"/>
      <c r="F5" s="350"/>
      <c r="G5" s="350"/>
      <c r="H5" s="350"/>
      <c r="I5" s="351"/>
      <c r="J5" s="352"/>
      <c r="K5" s="353"/>
    </row>
    <row r="6" spans="1:11" x14ac:dyDescent="0.25">
      <c r="A6" s="354" t="s">
        <v>451</v>
      </c>
      <c r="B6" s="355"/>
      <c r="C6" s="356">
        <v>239</v>
      </c>
      <c r="D6" s="357">
        <f>SUM(D7:D16)</f>
        <v>223</v>
      </c>
      <c r="E6" s="358">
        <f t="shared" ref="E6:E16" si="0">+D6/C6*100</f>
        <v>93.305439330543933</v>
      </c>
      <c r="F6" s="359">
        <f>SUM(F7:F16)</f>
        <v>63</v>
      </c>
      <c r="G6" s="359">
        <f>SUM(G7:G16)</f>
        <v>16</v>
      </c>
      <c r="H6" s="359">
        <f>SUM(H7:H16)</f>
        <v>14</v>
      </c>
      <c r="I6" s="360">
        <f>SUM(I7:I16)</f>
        <v>130</v>
      </c>
      <c r="J6" s="361">
        <f>SUM(J7:J16)</f>
        <v>16</v>
      </c>
      <c r="K6" s="362">
        <f t="shared" ref="K6:K16" si="1">+J6/C6*100</f>
        <v>6.6945606694560666</v>
      </c>
    </row>
    <row r="7" spans="1:11" x14ac:dyDescent="0.25">
      <c r="A7" s="363">
        <v>1</v>
      </c>
      <c r="B7" s="364" t="s">
        <v>452</v>
      </c>
      <c r="C7" s="365">
        <v>3</v>
      </c>
      <c r="D7" s="366">
        <v>3</v>
      </c>
      <c r="E7" s="367">
        <f t="shared" si="0"/>
        <v>100</v>
      </c>
      <c r="F7" s="368">
        <v>2</v>
      </c>
      <c r="G7" s="368"/>
      <c r="H7" s="368"/>
      <c r="I7" s="369">
        <f>+D7-F7-G7-H7</f>
        <v>1</v>
      </c>
      <c r="J7" s="370"/>
      <c r="K7" s="371"/>
    </row>
    <row r="8" spans="1:11" ht="40.5" x14ac:dyDescent="0.25">
      <c r="A8" s="372">
        <v>2</v>
      </c>
      <c r="B8" s="373" t="s">
        <v>453</v>
      </c>
      <c r="C8" s="374">
        <v>30</v>
      </c>
      <c r="D8" s="375">
        <v>25</v>
      </c>
      <c r="E8" s="376">
        <f t="shared" si="0"/>
        <v>83.333333333333343</v>
      </c>
      <c r="F8" s="377">
        <v>17</v>
      </c>
      <c r="G8" s="377">
        <v>3</v>
      </c>
      <c r="H8" s="377"/>
      <c r="I8" s="369">
        <v>5</v>
      </c>
      <c r="J8" s="378">
        <v>5</v>
      </c>
      <c r="K8" s="379">
        <f t="shared" si="1"/>
        <v>16.666666666666664</v>
      </c>
    </row>
    <row r="9" spans="1:11" ht="53.25" x14ac:dyDescent="0.25">
      <c r="A9" s="372">
        <v>3</v>
      </c>
      <c r="B9" s="373" t="s">
        <v>454</v>
      </c>
      <c r="C9" s="374">
        <v>78</v>
      </c>
      <c r="D9" s="375">
        <v>78</v>
      </c>
      <c r="E9" s="376">
        <f t="shared" si="0"/>
        <v>100</v>
      </c>
      <c r="F9" s="377">
        <v>8</v>
      </c>
      <c r="G9" s="377">
        <v>4</v>
      </c>
      <c r="H9" s="377"/>
      <c r="I9" s="369">
        <v>66</v>
      </c>
      <c r="J9" s="378"/>
      <c r="K9" s="379"/>
    </row>
    <row r="10" spans="1:11" ht="40.5" x14ac:dyDescent="0.25">
      <c r="A10" s="372">
        <v>4</v>
      </c>
      <c r="B10" s="373" t="s">
        <v>455</v>
      </c>
      <c r="C10" s="374">
        <v>76</v>
      </c>
      <c r="D10" s="375">
        <v>70</v>
      </c>
      <c r="E10" s="376">
        <f t="shared" si="0"/>
        <v>92.10526315789474</v>
      </c>
      <c r="F10" s="377">
        <v>14</v>
      </c>
      <c r="G10" s="377">
        <v>6</v>
      </c>
      <c r="H10" s="377">
        <v>4</v>
      </c>
      <c r="I10" s="369">
        <v>46</v>
      </c>
      <c r="J10" s="378">
        <v>6</v>
      </c>
      <c r="K10" s="379">
        <f t="shared" si="1"/>
        <v>7.8947368421052628</v>
      </c>
    </row>
    <row r="11" spans="1:11" ht="27.75" x14ac:dyDescent="0.25">
      <c r="A11" s="380">
        <v>5</v>
      </c>
      <c r="B11" s="373" t="s">
        <v>456</v>
      </c>
      <c r="C11" s="381">
        <v>20</v>
      </c>
      <c r="D11" s="382">
        <v>18</v>
      </c>
      <c r="E11" s="383">
        <f t="shared" si="0"/>
        <v>90</v>
      </c>
      <c r="F11" s="384">
        <v>14</v>
      </c>
      <c r="G11" s="384"/>
      <c r="H11" s="384"/>
      <c r="I11" s="369">
        <v>4</v>
      </c>
      <c r="J11" s="385">
        <v>2</v>
      </c>
      <c r="K11" s="386">
        <f t="shared" si="1"/>
        <v>10</v>
      </c>
    </row>
    <row r="12" spans="1:11" ht="40.5" x14ac:dyDescent="0.25">
      <c r="A12" s="380">
        <v>6</v>
      </c>
      <c r="B12" s="373" t="s">
        <v>457</v>
      </c>
      <c r="C12" s="381">
        <f>+D12+J12</f>
        <v>5</v>
      </c>
      <c r="D12" s="382">
        <f t="shared" ref="D12:D13" si="2">+F12+G12</f>
        <v>5</v>
      </c>
      <c r="E12" s="383">
        <f t="shared" si="0"/>
        <v>100</v>
      </c>
      <c r="F12" s="384">
        <v>5</v>
      </c>
      <c r="G12" s="384"/>
      <c r="H12" s="384"/>
      <c r="I12" s="369">
        <v>0</v>
      </c>
      <c r="J12" s="385"/>
      <c r="K12" s="386"/>
    </row>
    <row r="13" spans="1:11" ht="40.5" x14ac:dyDescent="0.25">
      <c r="A13" s="380">
        <v>7</v>
      </c>
      <c r="B13" s="387" t="s">
        <v>458</v>
      </c>
      <c r="C13" s="381">
        <f>+D13+J13</f>
        <v>3</v>
      </c>
      <c r="D13" s="382">
        <f t="shared" si="2"/>
        <v>3</v>
      </c>
      <c r="E13" s="383">
        <f t="shared" si="0"/>
        <v>100</v>
      </c>
      <c r="F13" s="384">
        <v>3</v>
      </c>
      <c r="G13" s="384"/>
      <c r="H13" s="384"/>
      <c r="I13" s="369">
        <v>0</v>
      </c>
      <c r="J13" s="385"/>
      <c r="K13" s="386"/>
    </row>
    <row r="14" spans="1:11" ht="30" x14ac:dyDescent="0.25">
      <c r="A14" s="380">
        <v>8</v>
      </c>
      <c r="B14" s="388" t="s">
        <v>459</v>
      </c>
      <c r="C14" s="381">
        <v>5</v>
      </c>
      <c r="D14" s="382">
        <v>5</v>
      </c>
      <c r="E14" s="383">
        <f t="shared" si="0"/>
        <v>100</v>
      </c>
      <c r="F14" s="384"/>
      <c r="G14" s="384"/>
      <c r="H14" s="384">
        <v>5</v>
      </c>
      <c r="I14" s="369">
        <v>0</v>
      </c>
      <c r="J14" s="385"/>
      <c r="K14" s="386"/>
    </row>
    <row r="15" spans="1:11" ht="30" x14ac:dyDescent="0.25">
      <c r="A15" s="380">
        <v>9</v>
      </c>
      <c r="B15" s="388" t="s">
        <v>460</v>
      </c>
      <c r="C15" s="381">
        <f>+D15+J15</f>
        <v>5</v>
      </c>
      <c r="D15" s="382">
        <v>5</v>
      </c>
      <c r="E15" s="383">
        <f t="shared" si="0"/>
        <v>100</v>
      </c>
      <c r="F15" s="384"/>
      <c r="G15" s="384"/>
      <c r="H15" s="384">
        <v>5</v>
      </c>
      <c r="I15" s="369">
        <v>0</v>
      </c>
      <c r="J15" s="385"/>
      <c r="K15" s="386"/>
    </row>
    <row r="16" spans="1:11" ht="42.75" x14ac:dyDescent="0.25">
      <c r="A16" s="389">
        <v>10</v>
      </c>
      <c r="B16" s="388" t="s">
        <v>461</v>
      </c>
      <c r="C16" s="390">
        <f>+D16+J16</f>
        <v>14</v>
      </c>
      <c r="D16" s="391">
        <v>11</v>
      </c>
      <c r="E16" s="392">
        <f t="shared" si="0"/>
        <v>78.571428571428569</v>
      </c>
      <c r="F16" s="393"/>
      <c r="G16" s="393">
        <v>3</v>
      </c>
      <c r="H16" s="393"/>
      <c r="I16" s="394">
        <v>8</v>
      </c>
      <c r="J16" s="395">
        <v>3</v>
      </c>
      <c r="K16" s="396">
        <f t="shared" si="1"/>
        <v>21.428571428571427</v>
      </c>
    </row>
  </sheetData>
  <mergeCells count="15">
    <mergeCell ref="F4:F5"/>
    <mergeCell ref="G4:G5"/>
    <mergeCell ref="H4:H5"/>
    <mergeCell ref="I4:I5"/>
    <mergeCell ref="A6:B6"/>
    <mergeCell ref="A1:K1"/>
    <mergeCell ref="A2:A5"/>
    <mergeCell ref="B2:B5"/>
    <mergeCell ref="C2:C5"/>
    <mergeCell ref="D2:K2"/>
    <mergeCell ref="D3:D5"/>
    <mergeCell ref="E3:E5"/>
    <mergeCell ref="F3:I3"/>
    <mergeCell ref="J3:J5"/>
    <mergeCell ref="K3:K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C48"/>
  <sheetViews>
    <sheetView topLeftCell="B1" zoomScale="85" zoomScaleNormal="85" workbookViewId="0">
      <selection activeCell="C26" sqref="C26"/>
    </sheetView>
  </sheetViews>
  <sheetFormatPr defaultColWidth="9.28515625" defaultRowHeight="12.75" x14ac:dyDescent="0.2"/>
  <cols>
    <col min="1" max="1" width="8.42578125" style="1" hidden="1" customWidth="1"/>
    <col min="2" max="2" width="8.42578125" style="1" customWidth="1"/>
    <col min="3" max="3" width="9.7109375" style="1" customWidth="1"/>
    <col min="4" max="4" width="15.42578125" style="1" customWidth="1"/>
    <col min="5" max="5" width="7" style="1" customWidth="1"/>
    <col min="6" max="6" width="7.7109375" style="1" customWidth="1"/>
    <col min="7" max="7" width="16.140625" style="1" customWidth="1"/>
    <col min="8" max="8" width="13.28515625" style="1" customWidth="1"/>
    <col min="9" max="9" width="9.85546875" style="1" customWidth="1"/>
    <col min="10" max="10" width="11.140625" style="1" customWidth="1"/>
    <col min="11" max="11" width="11" style="1" customWidth="1"/>
    <col min="12" max="12" width="10" style="1" customWidth="1"/>
    <col min="13" max="13" width="21.140625" style="1" customWidth="1"/>
    <col min="14" max="14" width="8.28515625" style="1" customWidth="1"/>
    <col min="15" max="15" width="77.28515625" style="1" customWidth="1"/>
    <col min="16" max="19" width="9.28515625" style="1"/>
    <col min="20" max="20" width="12.5703125" style="1" customWidth="1"/>
    <col min="21" max="21" width="12" style="1" bestFit="1" customWidth="1"/>
    <col min="22" max="24" width="9.28515625" style="1"/>
    <col min="25" max="25" width="12.5703125" style="1" bestFit="1" customWidth="1"/>
    <col min="26" max="26" width="12" style="1" bestFit="1" customWidth="1"/>
    <col min="27" max="16384" width="9.28515625" style="1"/>
  </cols>
  <sheetData>
    <row r="2" spans="1:14" s="6" customFormat="1" x14ac:dyDescent="0.2">
      <c r="A2" s="19"/>
      <c r="B2" s="19"/>
      <c r="C2" s="1"/>
      <c r="D2" s="1"/>
      <c r="E2" s="1"/>
      <c r="F2" s="1"/>
      <c r="G2" s="1"/>
      <c r="H2" s="1"/>
      <c r="I2" s="1"/>
      <c r="J2" s="1"/>
      <c r="K2" s="1"/>
      <c r="L2" s="1"/>
      <c r="M2" s="1"/>
      <c r="N2" s="189"/>
    </row>
    <row r="3" spans="1:14" ht="18" x14ac:dyDescent="0.2">
      <c r="C3" s="19"/>
      <c r="D3" s="124"/>
      <c r="E3" s="124"/>
      <c r="F3" s="124"/>
      <c r="G3" s="124"/>
      <c r="H3" s="124"/>
      <c r="I3" s="159"/>
      <c r="J3" s="159"/>
      <c r="K3" s="159"/>
      <c r="L3" s="159"/>
      <c r="M3" s="159"/>
      <c r="N3" s="189"/>
    </row>
    <row r="4" spans="1:14" x14ac:dyDescent="0.2">
      <c r="A4" s="60"/>
      <c r="B4" s="60"/>
      <c r="C4" s="153" t="s">
        <v>214</v>
      </c>
      <c r="D4" s="151"/>
      <c r="E4" s="1" t="s">
        <v>211</v>
      </c>
      <c r="F4" s="1" t="s">
        <v>211</v>
      </c>
      <c r="G4" s="187" t="s">
        <v>215</v>
      </c>
      <c r="H4" s="187"/>
      <c r="I4" s="187"/>
      <c r="J4" s="182"/>
      <c r="K4" s="182"/>
      <c r="L4" s="182"/>
      <c r="M4" s="70" t="s">
        <v>216</v>
      </c>
      <c r="N4" s="189"/>
    </row>
    <row r="5" spans="1:14" x14ac:dyDescent="0.2">
      <c r="A5" s="60"/>
      <c r="B5" s="60"/>
      <c r="C5" s="60"/>
      <c r="D5" s="112"/>
      <c r="E5" s="112"/>
      <c r="F5" s="112"/>
      <c r="G5" s="112"/>
      <c r="H5" s="112"/>
      <c r="I5" s="112"/>
      <c r="J5" s="112"/>
      <c r="K5" s="112"/>
      <c r="L5" s="112"/>
      <c r="N5" s="189"/>
    </row>
    <row r="6" spans="1:14" x14ac:dyDescent="0.2">
      <c r="A6" s="60"/>
      <c r="B6" s="60"/>
      <c r="C6" s="60"/>
      <c r="D6" s="153" t="s">
        <v>217</v>
      </c>
      <c r="E6" s="61"/>
      <c r="F6" s="61"/>
      <c r="G6" s="62" t="s">
        <v>218</v>
      </c>
      <c r="H6" s="61"/>
      <c r="I6" s="63"/>
      <c r="J6" s="2" t="s">
        <v>219</v>
      </c>
      <c r="K6" s="2"/>
      <c r="L6" s="61"/>
      <c r="M6" s="155" t="s">
        <v>309</v>
      </c>
      <c r="N6" s="189"/>
    </row>
    <row r="7" spans="1:14" x14ac:dyDescent="0.2">
      <c r="A7" s="60"/>
      <c r="B7" s="60"/>
      <c r="C7" s="60"/>
      <c r="D7" s="191" t="s">
        <v>221</v>
      </c>
      <c r="E7" s="191"/>
      <c r="F7" s="191"/>
      <c r="G7" s="191"/>
      <c r="H7" s="191"/>
      <c r="I7" s="191"/>
      <c r="J7" s="155"/>
      <c r="K7" s="61" t="str">
        <f>IF(OR(AND(ISBLANK(H12),ISBLANK(J12)),AND(H12=0,J12=0),AND(H12&gt;0,J12&gt;0),H12&gt;1,J12&gt;1),"Ошибка",".")</f>
        <v>Ошибка</v>
      </c>
      <c r="L7" s="155"/>
      <c r="M7" s="155"/>
      <c r="N7" s="189"/>
    </row>
    <row r="8" spans="1:14" x14ac:dyDescent="0.2">
      <c r="A8" s="60"/>
      <c r="B8" s="60"/>
      <c r="C8" s="60"/>
      <c r="D8" s="71"/>
      <c r="E8" s="71"/>
      <c r="F8" s="71"/>
      <c r="G8" s="71"/>
      <c r="H8" s="71"/>
      <c r="I8" s="155"/>
      <c r="J8" s="155"/>
      <c r="K8" s="155"/>
      <c r="L8" s="155"/>
      <c r="M8" s="155"/>
      <c r="N8" s="189"/>
    </row>
    <row r="9" spans="1:14" ht="12.75" customHeight="1" x14ac:dyDescent="0.2">
      <c r="A9" s="60"/>
      <c r="B9" s="60"/>
      <c r="C9" s="60"/>
      <c r="D9" s="192" t="s">
        <v>222</v>
      </c>
      <c r="E9" s="192"/>
      <c r="F9" s="192"/>
      <c r="G9" s="192"/>
      <c r="H9" s="192"/>
      <c r="I9" s="192"/>
      <c r="J9" s="192"/>
      <c r="K9" s="192"/>
      <c r="L9" s="192"/>
      <c r="M9" s="192"/>
      <c r="N9" s="189"/>
    </row>
    <row r="10" spans="1:14" x14ac:dyDescent="0.2">
      <c r="A10" s="60"/>
      <c r="B10" s="60"/>
      <c r="C10" s="186" t="s">
        <v>223</v>
      </c>
      <c r="D10" s="186"/>
      <c r="E10" s="186"/>
      <c r="F10" s="186"/>
      <c r="G10" s="182"/>
      <c r="H10" s="182"/>
      <c r="I10" s="182"/>
      <c r="J10" s="182"/>
      <c r="K10" s="182"/>
      <c r="L10" s="182"/>
      <c r="M10" s="72"/>
      <c r="N10" s="189"/>
    </row>
    <row r="11" spans="1:14" x14ac:dyDescent="0.2">
      <c r="A11" s="60"/>
      <c r="B11" s="60"/>
      <c r="C11" s="60"/>
      <c r="D11" s="112"/>
      <c r="E11" s="112"/>
      <c r="F11" s="112"/>
      <c r="G11" s="112"/>
      <c r="H11" s="112"/>
      <c r="I11" s="112"/>
      <c r="J11" s="112"/>
      <c r="K11" s="112"/>
      <c r="L11" s="112"/>
      <c r="M11" s="112"/>
      <c r="N11" s="189"/>
    </row>
    <row r="12" spans="1:14" ht="12" customHeight="1" x14ac:dyDescent="0.2">
      <c r="A12" s="60"/>
      <c r="B12" s="60"/>
      <c r="C12" s="60"/>
      <c r="D12" s="187" t="s">
        <v>224</v>
      </c>
      <c r="E12" s="187"/>
      <c r="F12" s="187"/>
      <c r="G12" s="187"/>
      <c r="H12" s="73"/>
      <c r="I12" s="155" t="s">
        <v>225</v>
      </c>
      <c r="J12" s="73"/>
      <c r="K12" s="188" t="s">
        <v>226</v>
      </c>
      <c r="L12" s="188"/>
      <c r="M12" s="2" t="s">
        <v>227</v>
      </c>
      <c r="N12" s="189"/>
    </row>
    <row r="13" spans="1:14" ht="12.75" customHeight="1" x14ac:dyDescent="0.2">
      <c r="A13" s="60"/>
      <c r="B13" s="60"/>
      <c r="C13" s="60"/>
      <c r="D13" s="153"/>
      <c r="E13" s="153"/>
      <c r="F13" s="153"/>
      <c r="G13" s="112"/>
      <c r="H13" s="112"/>
      <c r="I13" s="112"/>
      <c r="K13" s="64"/>
      <c r="L13" s="112"/>
      <c r="M13" s="74"/>
      <c r="N13" s="189"/>
    </row>
    <row r="14" spans="1:14" x14ac:dyDescent="0.2">
      <c r="A14" s="60"/>
      <c r="B14" s="60"/>
      <c r="C14" s="186" t="s">
        <v>228</v>
      </c>
      <c r="D14" s="186"/>
      <c r="E14" s="186"/>
      <c r="F14" s="186"/>
      <c r="G14" s="182"/>
      <c r="H14" s="182"/>
      <c r="I14" s="182"/>
      <c r="J14" s="182"/>
      <c r="K14" s="182"/>
      <c r="L14" s="182"/>
      <c r="M14" s="155"/>
      <c r="N14" s="189"/>
    </row>
    <row r="15" spans="1:14" x14ac:dyDescent="0.2">
      <c r="A15" s="60"/>
      <c r="B15" s="60"/>
      <c r="C15" s="60"/>
      <c r="D15" s="112"/>
      <c r="E15" s="112"/>
      <c r="F15" s="112"/>
      <c r="G15" s="112"/>
      <c r="H15" s="112"/>
      <c r="I15" s="112"/>
      <c r="J15" s="112"/>
      <c r="K15" s="112"/>
      <c r="L15" s="112"/>
      <c r="M15" s="112"/>
      <c r="N15" s="189"/>
    </row>
    <row r="16" spans="1:14" x14ac:dyDescent="0.2">
      <c r="A16" s="60"/>
      <c r="B16" s="60"/>
      <c r="C16" s="60"/>
      <c r="D16" s="187" t="s">
        <v>229</v>
      </c>
      <c r="E16" s="187"/>
      <c r="F16" s="187"/>
      <c r="G16" s="182"/>
      <c r="H16" s="182"/>
      <c r="I16" s="182"/>
      <c r="J16" s="182"/>
      <c r="K16" s="182"/>
      <c r="L16" s="182"/>
      <c r="M16" s="155"/>
      <c r="N16" s="189"/>
    </row>
    <row r="17" spans="1:25" ht="12.75" customHeight="1" x14ac:dyDescent="0.2">
      <c r="A17" s="60"/>
      <c r="B17" s="60"/>
      <c r="C17" s="60"/>
      <c r="D17" s="112"/>
      <c r="E17" s="112"/>
      <c r="F17" s="112"/>
      <c r="G17" s="112"/>
      <c r="H17" s="112"/>
      <c r="I17" s="112"/>
      <c r="J17" s="112"/>
      <c r="K17" s="112"/>
      <c r="L17" s="112"/>
      <c r="M17" s="112"/>
      <c r="N17" s="189"/>
    </row>
    <row r="18" spans="1:25" x14ac:dyDescent="0.2">
      <c r="A18" s="60"/>
      <c r="B18" s="60"/>
      <c r="C18" s="186" t="s">
        <v>230</v>
      </c>
      <c r="D18" s="186"/>
      <c r="E18" s="186"/>
      <c r="F18" s="186"/>
      <c r="G18" s="65"/>
      <c r="H18" s="75"/>
      <c r="I18" s="187" t="s">
        <v>210</v>
      </c>
      <c r="J18" s="187"/>
      <c r="K18" s="2" t="s">
        <v>212</v>
      </c>
      <c r="M18" s="112"/>
      <c r="N18" s="189"/>
    </row>
    <row r="19" spans="1:25" x14ac:dyDescent="0.2">
      <c r="A19" s="60"/>
      <c r="B19" s="60"/>
      <c r="C19" s="60"/>
      <c r="D19" s="112"/>
      <c r="E19" s="112"/>
      <c r="F19" s="112"/>
      <c r="G19" s="112"/>
      <c r="H19" s="112"/>
      <c r="I19" s="112"/>
      <c r="J19" s="112"/>
      <c r="K19" s="112"/>
      <c r="L19" s="112"/>
      <c r="M19" s="112"/>
      <c r="N19" s="189"/>
    </row>
    <row r="20" spans="1:25" x14ac:dyDescent="0.2">
      <c r="A20" s="60"/>
      <c r="B20" s="60"/>
      <c r="C20" s="60"/>
      <c r="D20" s="187" t="s">
        <v>231</v>
      </c>
      <c r="E20" s="187"/>
      <c r="F20" s="187"/>
      <c r="G20" s="182"/>
      <c r="H20" s="182"/>
      <c r="I20" s="182"/>
      <c r="J20" s="182"/>
      <c r="K20" s="182"/>
      <c r="L20" s="2"/>
      <c r="M20" s="2"/>
      <c r="N20" s="189"/>
    </row>
    <row r="21" spans="1:25" x14ac:dyDescent="0.2">
      <c r="A21" s="60"/>
      <c r="B21" s="60"/>
      <c r="C21" s="60"/>
      <c r="D21" s="112"/>
      <c r="E21" s="112"/>
      <c r="F21" s="112"/>
      <c r="G21" s="194" t="s">
        <v>232</v>
      </c>
      <c r="H21" s="194"/>
      <c r="I21" s="194"/>
      <c r="J21" s="194"/>
      <c r="K21" s="194"/>
      <c r="L21" s="112"/>
      <c r="M21" s="112"/>
      <c r="N21" s="189"/>
    </row>
    <row r="22" spans="1:25" ht="12.75" customHeight="1" x14ac:dyDescent="0.2">
      <c r="A22" s="60"/>
      <c r="B22" s="60"/>
      <c r="C22" s="60"/>
      <c r="D22" s="112"/>
      <c r="E22" s="112"/>
      <c r="F22" s="112"/>
      <c r="G22" s="154"/>
      <c r="H22" s="154"/>
      <c r="I22" s="154"/>
      <c r="J22" s="154"/>
      <c r="K22" s="154"/>
      <c r="L22" s="112"/>
      <c r="M22" s="112"/>
      <c r="N22" s="189"/>
    </row>
    <row r="23" spans="1:25" x14ac:dyDescent="0.2">
      <c r="A23" s="60"/>
      <c r="B23" s="60"/>
      <c r="C23" s="195" t="s">
        <v>285</v>
      </c>
      <c r="D23" s="196"/>
      <c r="E23" s="196"/>
      <c r="F23" s="196"/>
      <c r="G23" s="196"/>
      <c r="H23" s="196"/>
      <c r="I23" s="196"/>
      <c r="J23" s="196"/>
      <c r="K23" s="196"/>
      <c r="L23" s="196"/>
      <c r="M23" s="197"/>
      <c r="N23" s="189"/>
    </row>
    <row r="24" spans="1:25" ht="60.75" customHeight="1" x14ac:dyDescent="0.2">
      <c r="A24" s="60"/>
      <c r="B24" s="60"/>
      <c r="C24" s="60"/>
      <c r="D24" s="112"/>
      <c r="E24" s="112"/>
      <c r="F24" s="112"/>
      <c r="G24" s="154"/>
      <c r="H24" s="154"/>
      <c r="I24" s="154"/>
      <c r="J24" s="154"/>
      <c r="K24" s="154"/>
      <c r="L24" s="112"/>
      <c r="M24" s="112"/>
      <c r="N24" s="189"/>
      <c r="S24" s="188"/>
      <c r="T24" s="188"/>
      <c r="X24" s="188"/>
      <c r="Y24" s="188"/>
    </row>
    <row r="25" spans="1:25" ht="42" customHeight="1" x14ac:dyDescent="0.2">
      <c r="A25" s="60"/>
      <c r="B25" s="60"/>
      <c r="C25" s="198" t="s">
        <v>310</v>
      </c>
      <c r="D25" s="190"/>
      <c r="E25" s="61" t="str">
        <f>IF(OR(AND(J25=1,E27&lt;0),E27&gt;0,J25=1,E27=0),".",1)</f>
        <v>.</v>
      </c>
      <c r="F25" s="199" t="s">
        <v>311</v>
      </c>
      <c r="G25" s="199"/>
      <c r="H25" s="199"/>
      <c r="I25" s="199"/>
      <c r="J25" s="160"/>
      <c r="K25" s="199" t="s">
        <v>245</v>
      </c>
      <c r="L25" s="199"/>
      <c r="M25" s="199"/>
      <c r="N25" s="189"/>
      <c r="S25" s="112"/>
      <c r="T25" s="112"/>
      <c r="X25" s="112"/>
      <c r="Y25" s="112"/>
    </row>
    <row r="26" spans="1:25" ht="48.75" customHeight="1" x14ac:dyDescent="0.2">
      <c r="A26" s="60"/>
      <c r="B26" s="60"/>
      <c r="C26" s="19"/>
      <c r="D26" s="124"/>
      <c r="E26" s="124"/>
      <c r="F26" s="124"/>
      <c r="G26" s="161"/>
      <c r="H26" s="161"/>
      <c r="I26" s="161"/>
      <c r="J26" s="161"/>
      <c r="K26" s="161"/>
      <c r="L26" s="124"/>
      <c r="M26" s="124"/>
      <c r="N26" s="189"/>
      <c r="S26" s="112"/>
      <c r="T26" s="112"/>
      <c r="X26" s="112"/>
      <c r="Y26" s="112"/>
    </row>
    <row r="27" spans="1:25" x14ac:dyDescent="0.2">
      <c r="A27" s="60"/>
      <c r="B27" s="60"/>
      <c r="C27" s="190" t="s">
        <v>312</v>
      </c>
      <c r="D27" s="190"/>
      <c r="E27" s="193">
        <f>[1]list08!G29</f>
        <v>0</v>
      </c>
      <c r="F27" s="193"/>
      <c r="G27" s="162" t="s">
        <v>313</v>
      </c>
      <c r="H27" s="163" t="s">
        <v>314</v>
      </c>
      <c r="I27" s="61"/>
      <c r="J27" s="162" t="s">
        <v>220</v>
      </c>
      <c r="K27" s="61"/>
      <c r="L27" s="162" t="s">
        <v>315</v>
      </c>
      <c r="M27" s="163"/>
      <c r="N27" s="189"/>
      <c r="V27" s="112"/>
      <c r="W27" s="112"/>
    </row>
    <row r="28" spans="1:25" ht="37.5" customHeight="1" x14ac:dyDescent="0.2">
      <c r="A28" s="60"/>
      <c r="B28" s="60"/>
      <c r="C28" s="19"/>
      <c r="D28" s="124"/>
      <c r="E28" s="124"/>
      <c r="F28" s="124"/>
      <c r="G28" s="161"/>
      <c r="H28" s="161"/>
      <c r="I28" s="161"/>
      <c r="J28" s="161"/>
      <c r="K28" s="161"/>
      <c r="L28" s="124"/>
      <c r="M28" s="124"/>
      <c r="N28" s="189"/>
      <c r="O28" s="138"/>
      <c r="W28" s="112"/>
      <c r="X28" s="112"/>
    </row>
    <row r="29" spans="1:25" ht="17.25" customHeight="1" x14ac:dyDescent="0.2">
      <c r="A29" s="60"/>
      <c r="B29" s="60"/>
      <c r="C29" s="190" t="s">
        <v>246</v>
      </c>
      <c r="D29" s="190"/>
      <c r="E29" s="61" t="str">
        <f>IF(OR(AND(E27&lt;0,H29=1),J25=1),".",IF(E25=1,1,"."))</f>
        <v>.</v>
      </c>
      <c r="F29" s="200" t="s">
        <v>316</v>
      </c>
      <c r="G29" s="200"/>
      <c r="H29" s="160"/>
      <c r="I29" s="162" t="s">
        <v>317</v>
      </c>
      <c r="J29" s="164"/>
      <c r="K29" s="201" t="s">
        <v>245</v>
      </c>
      <c r="L29" s="201"/>
      <c r="M29" s="201"/>
      <c r="N29" s="189"/>
      <c r="O29" s="139"/>
      <c r="T29" s="112"/>
      <c r="U29" s="112"/>
    </row>
    <row r="30" spans="1:25" ht="15" customHeight="1" x14ac:dyDescent="0.2">
      <c r="A30" s="60"/>
      <c r="B30" s="60"/>
      <c r="C30" s="19"/>
      <c r="D30" s="124"/>
      <c r="E30" s="124"/>
      <c r="F30" s="124"/>
      <c r="G30" s="161"/>
      <c r="H30" s="161"/>
      <c r="I30" s="161"/>
      <c r="J30" s="161"/>
      <c r="K30" s="161"/>
      <c r="L30" s="124"/>
      <c r="M30" s="124"/>
      <c r="N30" s="189"/>
      <c r="O30" s="137"/>
      <c r="T30" s="156"/>
      <c r="U30" s="112"/>
    </row>
    <row r="31" spans="1:25" x14ac:dyDescent="0.2">
      <c r="A31" s="60"/>
      <c r="B31" s="60"/>
      <c r="C31" s="202" t="s">
        <v>95</v>
      </c>
      <c r="D31" s="202"/>
      <c r="E31" s="202"/>
      <c r="F31" s="202"/>
      <c r="G31" s="202"/>
      <c r="H31" s="202"/>
      <c r="I31" s="202"/>
      <c r="J31" s="202"/>
      <c r="K31" s="202"/>
      <c r="L31" s="202"/>
      <c r="M31" s="202"/>
      <c r="N31" s="189"/>
      <c r="O31" s="137"/>
    </row>
    <row r="32" spans="1:25" ht="25.5" x14ac:dyDescent="0.2">
      <c r="A32" s="60"/>
      <c r="B32" s="60"/>
      <c r="C32" s="203" t="s">
        <v>96</v>
      </c>
      <c r="D32" s="203"/>
      <c r="E32" s="203"/>
      <c r="F32" s="203"/>
      <c r="G32" s="203"/>
      <c r="H32" s="203"/>
      <c r="I32" s="203"/>
      <c r="J32" s="203"/>
      <c r="K32" s="203"/>
      <c r="L32" s="33" t="s">
        <v>97</v>
      </c>
      <c r="M32" s="57" t="s">
        <v>0</v>
      </c>
      <c r="N32" s="189"/>
      <c r="O32" s="57" t="s">
        <v>202</v>
      </c>
      <c r="Q32" s="158"/>
    </row>
    <row r="33" spans="1:29" ht="35.25" customHeight="1" x14ac:dyDescent="0.2">
      <c r="A33" s="60"/>
      <c r="B33" s="60"/>
      <c r="C33" s="176" t="s">
        <v>321</v>
      </c>
      <c r="D33" s="176"/>
      <c r="E33" s="176"/>
      <c r="F33" s="176"/>
      <c r="G33" s="176"/>
      <c r="H33" s="176"/>
      <c r="I33" s="176"/>
      <c r="J33" s="176"/>
      <c r="K33" s="176"/>
      <c r="L33" s="76" t="s">
        <v>3</v>
      </c>
      <c r="M33" s="165">
        <v>0</v>
      </c>
      <c r="N33" s="189"/>
      <c r="O33" s="56" t="s">
        <v>322</v>
      </c>
    </row>
    <row r="34" spans="1:29" ht="35.25" customHeight="1" x14ac:dyDescent="0.2">
      <c r="A34" s="60"/>
      <c r="B34" s="60"/>
      <c r="C34" s="176" t="s">
        <v>98</v>
      </c>
      <c r="D34" s="176"/>
      <c r="E34" s="176"/>
      <c r="F34" s="176"/>
      <c r="G34" s="176"/>
      <c r="H34" s="176"/>
      <c r="I34" s="176"/>
      <c r="J34" s="176"/>
      <c r="K34" s="176"/>
      <c r="L34" s="3" t="s">
        <v>8</v>
      </c>
      <c r="M34" s="165">
        <v>0</v>
      </c>
      <c r="N34" s="189"/>
      <c r="O34" s="117" t="s">
        <v>248</v>
      </c>
      <c r="T34" s="157"/>
      <c r="U34" s="157"/>
      <c r="V34" s="157"/>
      <c r="W34" s="157"/>
      <c r="X34" s="157"/>
      <c r="Y34" s="157"/>
      <c r="Z34" s="157"/>
      <c r="AA34" s="157"/>
      <c r="AB34" s="157"/>
      <c r="AC34" s="157"/>
    </row>
    <row r="35" spans="1:29" ht="35.25" customHeight="1" x14ac:dyDescent="0.2">
      <c r="A35" s="60"/>
      <c r="B35" s="60"/>
      <c r="C35" s="176" t="s">
        <v>99</v>
      </c>
      <c r="D35" s="176"/>
      <c r="E35" s="176"/>
      <c r="F35" s="176"/>
      <c r="G35" s="176"/>
      <c r="H35" s="176"/>
      <c r="I35" s="176"/>
      <c r="J35" s="176"/>
      <c r="K35" s="176"/>
      <c r="L35" s="3" t="s">
        <v>9</v>
      </c>
      <c r="M35" s="165">
        <v>0</v>
      </c>
      <c r="N35" s="189"/>
      <c r="O35" s="117" t="s">
        <v>249</v>
      </c>
    </row>
    <row r="36" spans="1:29" x14ac:dyDescent="0.2">
      <c r="A36" s="60"/>
      <c r="B36" s="60"/>
      <c r="C36" s="60"/>
      <c r="D36" s="112"/>
      <c r="E36" s="112"/>
      <c r="F36" s="112"/>
      <c r="G36" s="71"/>
      <c r="H36" s="71"/>
      <c r="I36" s="71"/>
      <c r="J36" s="112"/>
      <c r="K36" s="112"/>
      <c r="L36" s="112"/>
      <c r="M36" s="112"/>
      <c r="N36" s="189"/>
      <c r="O36" s="137"/>
    </row>
    <row r="37" spans="1:29" ht="15" customHeight="1" x14ac:dyDescent="0.2">
      <c r="A37" s="60"/>
      <c r="B37" s="60"/>
      <c r="C37" s="177" t="s">
        <v>233</v>
      </c>
      <c r="D37" s="178"/>
      <c r="E37" s="178"/>
      <c r="F37" s="178"/>
      <c r="G37" s="178"/>
      <c r="H37" s="178"/>
      <c r="I37" s="178"/>
      <c r="J37" s="178"/>
      <c r="K37" s="178"/>
      <c r="L37" s="178"/>
      <c r="M37" s="179"/>
      <c r="N37" s="189"/>
    </row>
    <row r="38" spans="1:29" x14ac:dyDescent="0.2">
      <c r="A38" s="60"/>
      <c r="B38" s="60"/>
      <c r="C38" s="77"/>
      <c r="D38" s="78"/>
      <c r="E38" s="78"/>
      <c r="F38" s="78"/>
      <c r="G38" s="79"/>
      <c r="H38" s="77"/>
      <c r="I38" s="78"/>
      <c r="J38" s="78"/>
      <c r="K38" s="78"/>
      <c r="L38" s="78"/>
      <c r="M38" s="79"/>
      <c r="N38" s="189"/>
    </row>
    <row r="39" spans="1:29" ht="16.5" customHeight="1" x14ac:dyDescent="0.2">
      <c r="A39" s="60"/>
      <c r="B39" s="60"/>
      <c r="C39" s="80" t="s">
        <v>234</v>
      </c>
      <c r="D39" s="81"/>
      <c r="E39" s="81"/>
      <c r="F39" s="81"/>
      <c r="G39" s="82"/>
      <c r="H39" s="180" t="s">
        <v>235</v>
      </c>
      <c r="I39" s="181"/>
      <c r="J39" s="81"/>
      <c r="K39" s="81"/>
      <c r="L39" s="81"/>
      <c r="M39" s="82"/>
      <c r="N39" s="189"/>
    </row>
    <row r="40" spans="1:29" ht="12.75" customHeight="1" x14ac:dyDescent="0.2">
      <c r="A40" s="60"/>
      <c r="B40" s="60"/>
      <c r="C40" s="83"/>
      <c r="D40" s="84"/>
      <c r="E40" s="84"/>
      <c r="F40" s="84"/>
      <c r="G40" s="82"/>
      <c r="H40" s="66"/>
      <c r="I40" s="85"/>
      <c r="J40" s="85"/>
      <c r="K40" s="85"/>
      <c r="M40" s="82"/>
      <c r="N40" s="189"/>
    </row>
    <row r="41" spans="1:29" ht="17.25" customHeight="1" x14ac:dyDescent="0.2">
      <c r="A41" s="60"/>
      <c r="B41" s="60"/>
      <c r="C41" s="80" t="s">
        <v>214</v>
      </c>
      <c r="D41" s="151"/>
      <c r="E41" s="81"/>
      <c r="G41" s="82"/>
      <c r="H41" s="80" t="s">
        <v>214</v>
      </c>
      <c r="I41" s="152"/>
      <c r="J41" s="85"/>
      <c r="K41" s="84"/>
      <c r="M41" s="82"/>
      <c r="N41" s="189"/>
    </row>
    <row r="42" spans="1:29" ht="8.25" customHeight="1" x14ac:dyDescent="0.2">
      <c r="A42" s="60"/>
      <c r="B42" s="60"/>
      <c r="C42" s="83"/>
      <c r="D42" s="85"/>
      <c r="E42" s="85"/>
      <c r="F42" s="85"/>
      <c r="G42" s="82"/>
      <c r="H42" s="83"/>
      <c r="I42" s="85"/>
      <c r="J42" s="85"/>
      <c r="K42" s="81"/>
      <c r="M42" s="82"/>
      <c r="N42" s="189"/>
    </row>
    <row r="43" spans="1:29" ht="12.75" customHeight="1" x14ac:dyDescent="0.2">
      <c r="A43" s="60"/>
      <c r="B43" s="60"/>
      <c r="C43" s="80" t="s">
        <v>213</v>
      </c>
      <c r="D43" s="182"/>
      <c r="E43" s="182"/>
      <c r="F43" s="182"/>
      <c r="G43" s="183"/>
      <c r="H43" s="80" t="s">
        <v>213</v>
      </c>
      <c r="I43" s="184"/>
      <c r="J43" s="184"/>
      <c r="K43" s="184"/>
      <c r="L43" s="184"/>
      <c r="M43" s="185"/>
      <c r="N43" s="189"/>
    </row>
    <row r="44" spans="1:29" x14ac:dyDescent="0.2">
      <c r="A44" s="60"/>
      <c r="B44" s="60"/>
      <c r="C44" s="83"/>
      <c r="D44" s="84"/>
      <c r="E44" s="81"/>
      <c r="F44" s="81"/>
      <c r="G44" s="82"/>
      <c r="H44" s="83"/>
      <c r="I44" s="81"/>
      <c r="J44" s="81"/>
      <c r="K44" s="81"/>
      <c r="M44" s="82"/>
      <c r="N44" s="189"/>
    </row>
    <row r="45" spans="1:29" x14ac:dyDescent="0.2">
      <c r="A45" s="60"/>
      <c r="B45" s="60"/>
      <c r="C45" s="80" t="s">
        <v>236</v>
      </c>
      <c r="D45" s="73"/>
      <c r="E45" s="81"/>
      <c r="G45" s="82"/>
      <c r="H45" s="80" t="s">
        <v>236</v>
      </c>
      <c r="I45" s="73"/>
      <c r="J45" s="85"/>
      <c r="K45" s="81"/>
      <c r="M45" s="82"/>
      <c r="N45" s="189"/>
    </row>
    <row r="46" spans="1:29" ht="7.5" customHeight="1" x14ac:dyDescent="0.2">
      <c r="A46" s="60"/>
      <c r="B46" s="60"/>
      <c r="C46" s="83"/>
      <c r="D46" s="81"/>
      <c r="E46" s="81"/>
      <c r="F46" s="81"/>
      <c r="G46" s="82"/>
      <c r="H46" s="86"/>
      <c r="I46" s="81"/>
      <c r="J46" s="81"/>
      <c r="K46" s="81"/>
      <c r="M46" s="82"/>
      <c r="N46" s="189"/>
    </row>
    <row r="47" spans="1:29" x14ac:dyDescent="0.2">
      <c r="A47" s="60"/>
      <c r="B47" s="60"/>
      <c r="C47" s="83" t="s">
        <v>318</v>
      </c>
      <c r="D47" s="152"/>
      <c r="F47" s="81"/>
      <c r="G47" s="82"/>
      <c r="H47" s="86"/>
      <c r="I47" s="81"/>
      <c r="J47" s="81"/>
      <c r="K47" s="81"/>
      <c r="M47" s="82"/>
      <c r="N47" s="189"/>
    </row>
    <row r="48" spans="1:29" ht="5.25" customHeight="1" x14ac:dyDescent="0.2">
      <c r="A48" s="60"/>
      <c r="B48" s="60"/>
      <c r="C48" s="87"/>
      <c r="D48" s="73"/>
      <c r="E48" s="73"/>
      <c r="F48" s="73"/>
      <c r="G48" s="88"/>
      <c r="H48" s="87"/>
      <c r="I48" s="89"/>
      <c r="J48" s="89"/>
      <c r="K48" s="89"/>
      <c r="L48" s="89"/>
      <c r="M48" s="88"/>
      <c r="N48" s="189"/>
    </row>
  </sheetData>
  <mergeCells count="38">
    <mergeCell ref="C29:D29"/>
    <mergeCell ref="F29:G29"/>
    <mergeCell ref="K29:M29"/>
    <mergeCell ref="C31:M31"/>
    <mergeCell ref="C32:K32"/>
    <mergeCell ref="N2:N48"/>
    <mergeCell ref="G20:K20"/>
    <mergeCell ref="S24:T24"/>
    <mergeCell ref="X24:Y24"/>
    <mergeCell ref="C33:K33"/>
    <mergeCell ref="C27:D27"/>
    <mergeCell ref="G4:I4"/>
    <mergeCell ref="J4:L4"/>
    <mergeCell ref="D7:I7"/>
    <mergeCell ref="D9:M9"/>
    <mergeCell ref="E27:F27"/>
    <mergeCell ref="G21:K21"/>
    <mergeCell ref="C23:M23"/>
    <mergeCell ref="C25:D25"/>
    <mergeCell ref="F25:I25"/>
    <mergeCell ref="K25:M25"/>
    <mergeCell ref="D16:F16"/>
    <mergeCell ref="G16:L16"/>
    <mergeCell ref="C18:F18"/>
    <mergeCell ref="I18:J18"/>
    <mergeCell ref="D20:F20"/>
    <mergeCell ref="C10:F10"/>
    <mergeCell ref="G10:L10"/>
    <mergeCell ref="D12:G12"/>
    <mergeCell ref="K12:L12"/>
    <mergeCell ref="C14:F14"/>
    <mergeCell ref="G14:L14"/>
    <mergeCell ref="C34:K34"/>
    <mergeCell ref="C35:K35"/>
    <mergeCell ref="C37:M37"/>
    <mergeCell ref="H39:I39"/>
    <mergeCell ref="D43:G43"/>
    <mergeCell ref="I43:M4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1:M23"/>
  <sheetViews>
    <sheetView zoomScaleNormal="100" zoomScaleSheetLayoutView="55" workbookViewId="0">
      <selection activeCell="F17" sqref="F17"/>
    </sheetView>
  </sheetViews>
  <sheetFormatPr defaultColWidth="9.140625" defaultRowHeight="12.75" x14ac:dyDescent="0.2"/>
  <cols>
    <col min="1" max="1" width="4.42578125" style="6" customWidth="1"/>
    <col min="2" max="2" width="27.85546875" style="6" customWidth="1"/>
    <col min="3" max="3" width="13.28515625" style="6" customWidth="1"/>
    <col min="4" max="4" width="53.140625" style="6" customWidth="1"/>
    <col min="5" max="5" width="12" style="19" customWidth="1"/>
    <col min="6" max="6" width="16.7109375" style="6" customWidth="1"/>
    <col min="7" max="7" width="12.5703125" style="6" customWidth="1"/>
    <col min="8" max="8" width="4.85546875" style="6" customWidth="1"/>
    <col min="9" max="9" width="7.28515625" style="6" customWidth="1"/>
    <col min="10" max="10" width="6.140625" style="6" customWidth="1"/>
    <col min="11" max="11" width="52.42578125" style="6" customWidth="1"/>
    <col min="12" max="12" width="50.5703125" style="6" customWidth="1"/>
    <col min="13" max="13" width="7.140625" style="6" bestFit="1" customWidth="1"/>
    <col min="14" max="16384" width="9.140625" style="6"/>
  </cols>
  <sheetData>
    <row r="1" spans="2:13" x14ac:dyDescent="0.2">
      <c r="G1" s="113" t="s">
        <v>203</v>
      </c>
    </row>
    <row r="2" spans="2:13" ht="47.25" customHeight="1" x14ac:dyDescent="0.2">
      <c r="B2" s="219" t="s">
        <v>100</v>
      </c>
      <c r="C2" s="219"/>
      <c r="D2" s="219"/>
      <c r="E2" s="219"/>
      <c r="F2" s="219"/>
      <c r="G2" s="219"/>
      <c r="H2" s="47"/>
      <c r="I2" s="47"/>
      <c r="J2" s="47"/>
      <c r="K2" s="213"/>
      <c r="L2" s="213"/>
      <c r="M2" s="47"/>
    </row>
    <row r="3" spans="2:13" ht="42.75" customHeight="1" x14ac:dyDescent="0.2">
      <c r="B3" s="221" t="s">
        <v>101</v>
      </c>
      <c r="C3" s="221"/>
      <c r="D3" s="221"/>
      <c r="E3" s="43" t="s">
        <v>102</v>
      </c>
      <c r="F3" s="43" t="s">
        <v>324</v>
      </c>
      <c r="G3" s="43" t="s">
        <v>103</v>
      </c>
      <c r="H3" s="47"/>
      <c r="I3" s="47"/>
      <c r="J3" s="47"/>
      <c r="K3" s="214" t="s">
        <v>202</v>
      </c>
      <c r="L3" s="215"/>
      <c r="M3" s="140"/>
    </row>
    <row r="4" spans="2:13" ht="15.75" x14ac:dyDescent="0.25">
      <c r="B4" s="220">
        <v>1</v>
      </c>
      <c r="C4" s="220"/>
      <c r="D4" s="220"/>
      <c r="E4" s="43">
        <v>2</v>
      </c>
      <c r="F4" s="51">
        <v>3</v>
      </c>
      <c r="G4" s="51">
        <v>4</v>
      </c>
      <c r="H4" s="48"/>
      <c r="I4" s="48"/>
      <c r="J4" s="48"/>
      <c r="K4" s="58" t="s">
        <v>208</v>
      </c>
      <c r="L4" s="57" t="s">
        <v>209</v>
      </c>
      <c r="M4" s="8"/>
    </row>
    <row r="5" spans="2:13" ht="52.5" customHeight="1" x14ac:dyDescent="0.2">
      <c r="B5" s="216" t="s">
        <v>323</v>
      </c>
      <c r="C5" s="217"/>
      <c r="D5" s="218"/>
      <c r="E5" s="38" t="s">
        <v>3</v>
      </c>
      <c r="F5" s="114"/>
      <c r="G5" s="114"/>
      <c r="H5" s="136"/>
      <c r="I5" s="136"/>
      <c r="J5" s="46"/>
      <c r="K5" s="59" t="s">
        <v>331</v>
      </c>
      <c r="L5" s="59" t="s">
        <v>331</v>
      </c>
      <c r="M5" s="141"/>
    </row>
    <row r="6" spans="2:13" ht="35.25" customHeight="1" x14ac:dyDescent="0.2">
      <c r="B6" s="206" t="s">
        <v>302</v>
      </c>
      <c r="C6" s="207"/>
      <c r="D6" s="208"/>
      <c r="E6" s="145" t="s">
        <v>4</v>
      </c>
      <c r="F6" s="114"/>
      <c r="G6" s="114"/>
      <c r="H6" s="136"/>
      <c r="I6" s="136"/>
      <c r="J6" s="46"/>
      <c r="K6" s="148" t="s">
        <v>332</v>
      </c>
      <c r="L6" s="148" t="s">
        <v>332</v>
      </c>
      <c r="M6" s="141"/>
    </row>
    <row r="7" spans="2:13" ht="30" customHeight="1" x14ac:dyDescent="0.2">
      <c r="B7" s="206" t="s">
        <v>303</v>
      </c>
      <c r="C7" s="207"/>
      <c r="D7" s="208"/>
      <c r="E7" s="145" t="s">
        <v>5</v>
      </c>
      <c r="F7" s="114"/>
      <c r="G7" s="114"/>
      <c r="H7" s="136"/>
      <c r="I7" s="136"/>
      <c r="J7" s="46"/>
      <c r="K7" s="148" t="s">
        <v>333</v>
      </c>
      <c r="L7" s="148" t="s">
        <v>333</v>
      </c>
      <c r="M7" s="141"/>
    </row>
    <row r="8" spans="2:13" ht="30" customHeight="1" x14ac:dyDescent="0.2">
      <c r="B8" s="206" t="s">
        <v>304</v>
      </c>
      <c r="C8" s="207"/>
      <c r="D8" s="208"/>
      <c r="E8" s="145" t="s">
        <v>6</v>
      </c>
      <c r="F8" s="114"/>
      <c r="G8" s="114"/>
      <c r="H8" s="136"/>
      <c r="I8" s="136"/>
      <c r="J8" s="46"/>
      <c r="K8" s="148" t="s">
        <v>334</v>
      </c>
      <c r="L8" s="148" t="s">
        <v>334</v>
      </c>
      <c r="M8" s="141"/>
    </row>
    <row r="9" spans="2:13" ht="30" customHeight="1" x14ac:dyDescent="0.2">
      <c r="B9" s="206" t="s">
        <v>305</v>
      </c>
      <c r="C9" s="207"/>
      <c r="D9" s="208"/>
      <c r="E9" s="145" t="s">
        <v>7</v>
      </c>
      <c r="F9" s="114"/>
      <c r="G9" s="114"/>
      <c r="H9" s="136"/>
      <c r="I9" s="136"/>
      <c r="J9" s="46"/>
      <c r="K9" s="148" t="s">
        <v>335</v>
      </c>
      <c r="L9" s="148" t="s">
        <v>335</v>
      </c>
      <c r="M9" s="141"/>
    </row>
    <row r="10" spans="2:13" ht="30.75" customHeight="1" x14ac:dyDescent="0.2">
      <c r="B10" s="206" t="s">
        <v>306</v>
      </c>
      <c r="C10" s="207"/>
      <c r="D10" s="208"/>
      <c r="E10" s="145" t="s">
        <v>77</v>
      </c>
      <c r="F10" s="16"/>
      <c r="G10" s="114"/>
      <c r="H10" s="136"/>
      <c r="I10" s="136"/>
      <c r="J10" s="46"/>
      <c r="K10" s="174" t="s">
        <v>336</v>
      </c>
      <c r="L10" s="116" t="s">
        <v>337</v>
      </c>
      <c r="M10" s="141"/>
    </row>
    <row r="11" spans="2:13" ht="15" x14ac:dyDescent="0.2">
      <c r="B11" s="209" t="s">
        <v>104</v>
      </c>
      <c r="C11" s="209"/>
      <c r="D11" s="209"/>
      <c r="E11" s="40"/>
      <c r="F11" s="118" t="s">
        <v>21</v>
      </c>
      <c r="G11" s="118" t="s">
        <v>21</v>
      </c>
      <c r="H11" s="136"/>
      <c r="I11" s="136"/>
      <c r="J11" s="46"/>
      <c r="K11" s="118"/>
      <c r="L11" s="118"/>
      <c r="M11" s="49"/>
    </row>
    <row r="12" spans="2:13" ht="47.25" customHeight="1" x14ac:dyDescent="0.2">
      <c r="B12" s="209" t="s">
        <v>105</v>
      </c>
      <c r="C12" s="209"/>
      <c r="D12" s="209"/>
      <c r="E12" s="38" t="s">
        <v>22</v>
      </c>
      <c r="F12" s="16"/>
      <c r="G12" s="39"/>
      <c r="H12" s="136"/>
      <c r="I12" s="136"/>
      <c r="J12" s="46"/>
      <c r="K12" s="174" t="s">
        <v>336</v>
      </c>
      <c r="L12" s="116" t="s">
        <v>338</v>
      </c>
      <c r="M12" s="142"/>
    </row>
    <row r="13" spans="2:13" ht="78.75" customHeight="1" x14ac:dyDescent="0.2">
      <c r="B13" s="209" t="s">
        <v>325</v>
      </c>
      <c r="C13" s="209"/>
      <c r="D13" s="209"/>
      <c r="E13" s="38" t="s">
        <v>23</v>
      </c>
      <c r="F13" s="39"/>
      <c r="G13" s="39"/>
      <c r="H13" s="136"/>
      <c r="I13" s="136"/>
      <c r="J13" s="46"/>
      <c r="K13" s="116" t="s">
        <v>250</v>
      </c>
      <c r="L13" s="116" t="s">
        <v>339</v>
      </c>
      <c r="M13" s="142"/>
    </row>
    <row r="14" spans="2:13" ht="15" x14ac:dyDescent="0.2">
      <c r="B14" s="209" t="s">
        <v>106</v>
      </c>
      <c r="C14" s="209"/>
      <c r="D14" s="209"/>
      <c r="E14" s="40"/>
      <c r="F14" s="118" t="s">
        <v>1</v>
      </c>
      <c r="G14" s="118" t="s">
        <v>1</v>
      </c>
      <c r="H14" s="46"/>
      <c r="I14" s="46"/>
      <c r="J14" s="46"/>
      <c r="K14" s="118"/>
      <c r="L14" s="118"/>
      <c r="M14" s="49"/>
    </row>
    <row r="15" spans="2:13" ht="63.75" customHeight="1" x14ac:dyDescent="0.2">
      <c r="B15" s="209" t="s">
        <v>107</v>
      </c>
      <c r="C15" s="209"/>
      <c r="D15" s="209"/>
      <c r="E15" s="38" t="s">
        <v>292</v>
      </c>
      <c r="F15" s="39"/>
      <c r="G15" s="41" t="s">
        <v>2</v>
      </c>
      <c r="H15" s="49"/>
      <c r="I15" s="49"/>
      <c r="J15" s="49"/>
      <c r="K15" s="119" t="s">
        <v>251</v>
      </c>
      <c r="L15" s="41" t="s">
        <v>2</v>
      </c>
      <c r="M15" s="143"/>
    </row>
    <row r="16" spans="2:13" ht="60.75" customHeight="1" x14ac:dyDescent="0.2">
      <c r="B16" s="209" t="s">
        <v>108</v>
      </c>
      <c r="C16" s="209"/>
      <c r="D16" s="209"/>
      <c r="E16" s="38" t="s">
        <v>293</v>
      </c>
      <c r="F16" s="39"/>
      <c r="G16" s="41" t="s">
        <v>2</v>
      </c>
      <c r="H16" s="49"/>
      <c r="I16" s="49"/>
      <c r="J16" s="49"/>
      <c r="K16" s="119" t="s">
        <v>252</v>
      </c>
      <c r="L16" s="41" t="s">
        <v>2</v>
      </c>
      <c r="M16" s="143"/>
    </row>
    <row r="17" spans="2:13" ht="43.5" customHeight="1" x14ac:dyDescent="0.2">
      <c r="B17" s="209" t="s">
        <v>326</v>
      </c>
      <c r="C17" s="209"/>
      <c r="D17" s="209"/>
      <c r="E17" s="38" t="s">
        <v>294</v>
      </c>
      <c r="F17" s="39"/>
      <c r="G17" s="39"/>
      <c r="H17" s="49"/>
      <c r="I17" s="49"/>
      <c r="J17" s="49"/>
      <c r="K17" s="204" t="s">
        <v>340</v>
      </c>
      <c r="L17" s="205"/>
      <c r="M17" s="144"/>
    </row>
    <row r="18" spans="2:13" ht="47.25" customHeight="1" x14ac:dyDescent="0.2">
      <c r="B18" s="209" t="s">
        <v>109</v>
      </c>
      <c r="C18" s="209"/>
      <c r="D18" s="209"/>
      <c r="E18" s="38" t="s">
        <v>24</v>
      </c>
      <c r="F18" s="39"/>
      <c r="G18" s="39"/>
      <c r="H18" s="49"/>
      <c r="I18" s="49"/>
      <c r="J18" s="49"/>
      <c r="K18" s="119" t="s">
        <v>287</v>
      </c>
      <c r="L18" s="116" t="s">
        <v>341</v>
      </c>
      <c r="M18" s="142"/>
    </row>
    <row r="19" spans="2:13" ht="39.75" customHeight="1" x14ac:dyDescent="0.2">
      <c r="B19" s="209" t="s">
        <v>327</v>
      </c>
      <c r="C19" s="209"/>
      <c r="D19" s="209"/>
      <c r="E19" s="38" t="s">
        <v>81</v>
      </c>
      <c r="F19" s="39"/>
      <c r="G19" s="39"/>
      <c r="H19" s="49"/>
      <c r="I19" s="49"/>
      <c r="J19" s="49"/>
      <c r="K19" s="119" t="s">
        <v>287</v>
      </c>
      <c r="L19" s="116" t="s">
        <v>341</v>
      </c>
      <c r="M19" s="142"/>
    </row>
    <row r="20" spans="2:13" ht="66.75" customHeight="1" x14ac:dyDescent="0.2">
      <c r="B20" s="209" t="s">
        <v>110</v>
      </c>
      <c r="C20" s="209"/>
      <c r="D20" s="209"/>
      <c r="E20" s="38" t="s">
        <v>295</v>
      </c>
      <c r="F20" s="16"/>
      <c r="G20" s="39"/>
      <c r="H20" s="49"/>
      <c r="I20" s="49"/>
      <c r="J20" s="49"/>
      <c r="K20" s="204" t="s">
        <v>308</v>
      </c>
      <c r="L20" s="205"/>
      <c r="M20" s="142"/>
    </row>
    <row r="21" spans="2:13" ht="66.75" customHeight="1" x14ac:dyDescent="0.2">
      <c r="B21" s="209" t="s">
        <v>328</v>
      </c>
      <c r="C21" s="209"/>
      <c r="D21" s="209"/>
      <c r="E21" s="38" t="s">
        <v>75</v>
      </c>
      <c r="F21" s="39"/>
      <c r="G21" s="39"/>
      <c r="H21" s="49"/>
      <c r="I21" s="49"/>
      <c r="J21" s="49"/>
      <c r="K21" s="204" t="s">
        <v>342</v>
      </c>
      <c r="L21" s="205"/>
      <c r="M21" s="142"/>
    </row>
    <row r="22" spans="2:13" ht="48" customHeight="1" x14ac:dyDescent="0.2">
      <c r="B22" s="210" t="s">
        <v>329</v>
      </c>
      <c r="C22" s="211"/>
      <c r="D22" s="212"/>
      <c r="E22" s="38" t="s">
        <v>76</v>
      </c>
      <c r="F22" s="16"/>
      <c r="G22" s="16"/>
      <c r="H22" s="49"/>
      <c r="I22" s="49"/>
      <c r="J22" s="49"/>
      <c r="K22" s="204" t="s">
        <v>319</v>
      </c>
      <c r="L22" s="205"/>
      <c r="M22" s="142"/>
    </row>
    <row r="23" spans="2:13" ht="42" customHeight="1" x14ac:dyDescent="0.2">
      <c r="B23" s="209" t="s">
        <v>330</v>
      </c>
      <c r="C23" s="209"/>
      <c r="D23" s="209"/>
      <c r="E23" s="38" t="s">
        <v>8</v>
      </c>
      <c r="F23" s="39"/>
      <c r="G23" s="42" t="s">
        <v>21</v>
      </c>
      <c r="H23" s="49"/>
      <c r="I23" s="49"/>
      <c r="J23" s="50"/>
      <c r="K23" s="116" t="s">
        <v>253</v>
      </c>
      <c r="L23" s="175" t="s">
        <v>1</v>
      </c>
      <c r="M23" s="142"/>
    </row>
  </sheetData>
  <mergeCells count="28">
    <mergeCell ref="K2:L2"/>
    <mergeCell ref="K3:L3"/>
    <mergeCell ref="B11:D11"/>
    <mergeCell ref="B12:D12"/>
    <mergeCell ref="B16:D16"/>
    <mergeCell ref="B5:D5"/>
    <mergeCell ref="B2:G2"/>
    <mergeCell ref="B15:D15"/>
    <mergeCell ref="B4:D4"/>
    <mergeCell ref="B3:D3"/>
    <mergeCell ref="B14:D14"/>
    <mergeCell ref="B6:D6"/>
    <mergeCell ref="B7:D7"/>
    <mergeCell ref="B8:D8"/>
    <mergeCell ref="K22:L22"/>
    <mergeCell ref="B9:D9"/>
    <mergeCell ref="B10:D10"/>
    <mergeCell ref="B19:D19"/>
    <mergeCell ref="B23:D23"/>
    <mergeCell ref="B20:D20"/>
    <mergeCell ref="B13:D13"/>
    <mergeCell ref="B18:D18"/>
    <mergeCell ref="B22:D22"/>
    <mergeCell ref="K17:L17"/>
    <mergeCell ref="B17:D17"/>
    <mergeCell ref="B21:D21"/>
    <mergeCell ref="K20:L20"/>
    <mergeCell ref="K21:L21"/>
  </mergeCells>
  <phoneticPr fontId="18" type="noConversion"/>
  <printOptions horizontalCentered="1"/>
  <pageMargins left="0.19685039370078741" right="0.19685039370078741" top="0.19685039370078741" bottom="0.19685039370078741" header="0.19685039370078741" footer="0.19685039370078741"/>
  <pageSetup paperSize="9" scale="3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B1:H86"/>
  <sheetViews>
    <sheetView view="pageBreakPreview" zoomScaleNormal="70" zoomScaleSheetLayoutView="100" workbookViewId="0">
      <selection activeCell="E6" sqref="E6"/>
    </sheetView>
  </sheetViews>
  <sheetFormatPr defaultColWidth="9.140625" defaultRowHeight="12.75" x14ac:dyDescent="0.2"/>
  <cols>
    <col min="1" max="1" width="3.140625" style="1" customWidth="1"/>
    <col min="2" max="2" width="20.42578125" style="1" customWidth="1"/>
    <col min="3" max="3" width="13.28515625" style="1" customWidth="1"/>
    <col min="4" max="4" width="57.5703125" style="1" customWidth="1"/>
    <col min="5" max="5" width="9.7109375" style="2" customWidth="1"/>
    <col min="6" max="6" width="13.85546875" style="1" customWidth="1"/>
    <col min="7" max="7" width="3.42578125" style="1" customWidth="1"/>
    <col min="8" max="8" width="71.7109375" style="1" customWidth="1"/>
    <col min="9" max="16384" width="9.140625" style="1"/>
  </cols>
  <sheetData>
    <row r="1" spans="2:8" x14ac:dyDescent="0.2">
      <c r="F1" s="53" t="s">
        <v>204</v>
      </c>
      <c r="G1" s="53"/>
    </row>
    <row r="2" spans="2:8" ht="30" customHeight="1" x14ac:dyDescent="0.2">
      <c r="B2" s="230" t="s">
        <v>111</v>
      </c>
      <c r="C2" s="192"/>
      <c r="D2" s="192"/>
      <c r="E2" s="192"/>
      <c r="F2" s="192"/>
      <c r="G2" s="8"/>
      <c r="H2" s="146"/>
    </row>
    <row r="3" spans="2:8" ht="42.75" customHeight="1" x14ac:dyDescent="0.2">
      <c r="B3" s="231" t="s">
        <v>112</v>
      </c>
      <c r="C3" s="231"/>
      <c r="D3" s="231"/>
      <c r="E3" s="33" t="s">
        <v>113</v>
      </c>
      <c r="F3" s="33" t="s">
        <v>114</v>
      </c>
      <c r="H3" s="120" t="s">
        <v>202</v>
      </c>
    </row>
    <row r="4" spans="2:8" x14ac:dyDescent="0.2">
      <c r="B4" s="232">
        <v>1</v>
      </c>
      <c r="C4" s="232"/>
      <c r="D4" s="232"/>
      <c r="E4" s="44">
        <v>2</v>
      </c>
      <c r="F4" s="30">
        <v>3</v>
      </c>
      <c r="H4" s="44"/>
    </row>
    <row r="5" spans="2:8" ht="50.25" customHeight="1" x14ac:dyDescent="0.2">
      <c r="B5" s="229" t="s">
        <v>115</v>
      </c>
      <c r="C5" s="229"/>
      <c r="D5" s="229"/>
      <c r="E5" s="13" t="s">
        <v>3</v>
      </c>
      <c r="F5" s="20"/>
      <c r="H5" s="115" t="s">
        <v>254</v>
      </c>
    </row>
    <row r="6" spans="2:8" ht="33.75" customHeight="1" x14ac:dyDescent="0.2">
      <c r="B6" s="229" t="s">
        <v>116</v>
      </c>
      <c r="C6" s="229"/>
      <c r="D6" s="229"/>
      <c r="E6" s="13" t="s">
        <v>8</v>
      </c>
      <c r="F6" s="20"/>
      <c r="H6" s="115" t="s">
        <v>359</v>
      </c>
    </row>
    <row r="7" spans="2:8" ht="17.100000000000001" customHeight="1" x14ac:dyDescent="0.2">
      <c r="B7" s="229" t="s">
        <v>117</v>
      </c>
      <c r="C7" s="229"/>
      <c r="D7" s="229"/>
      <c r="E7" s="22"/>
      <c r="F7" s="23"/>
      <c r="H7" s="21"/>
    </row>
    <row r="8" spans="2:8" ht="17.100000000000001" customHeight="1" x14ac:dyDescent="0.2">
      <c r="B8" s="228"/>
      <c r="C8" s="228"/>
      <c r="D8" s="228"/>
      <c r="E8" s="13" t="s">
        <v>26</v>
      </c>
      <c r="F8" s="67"/>
      <c r="H8" s="233" t="s">
        <v>255</v>
      </c>
    </row>
    <row r="9" spans="2:8" ht="17.100000000000001" customHeight="1" x14ac:dyDescent="0.2">
      <c r="B9" s="228"/>
      <c r="C9" s="228"/>
      <c r="D9" s="228"/>
      <c r="E9" s="13" t="s">
        <v>27</v>
      </c>
      <c r="F9" s="67"/>
      <c r="H9" s="233"/>
    </row>
    <row r="10" spans="2:8" ht="17.100000000000001" customHeight="1" x14ac:dyDescent="0.2">
      <c r="B10" s="228"/>
      <c r="C10" s="228"/>
      <c r="D10" s="228"/>
      <c r="E10" s="13" t="s">
        <v>28</v>
      </c>
      <c r="F10" s="67"/>
      <c r="H10" s="233"/>
    </row>
    <row r="11" spans="2:8" ht="17.100000000000001" customHeight="1" x14ac:dyDescent="0.2">
      <c r="B11" s="228"/>
      <c r="C11" s="228"/>
      <c r="D11" s="228"/>
      <c r="E11" s="13" t="s">
        <v>29</v>
      </c>
      <c r="F11" s="67"/>
      <c r="H11" s="233"/>
    </row>
    <row r="12" spans="2:8" ht="17.100000000000001" customHeight="1" x14ac:dyDescent="0.2">
      <c r="B12" s="228"/>
      <c r="C12" s="228"/>
      <c r="D12" s="228"/>
      <c r="E12" s="13" t="s">
        <v>30</v>
      </c>
      <c r="F12" s="67"/>
      <c r="H12" s="233"/>
    </row>
    <row r="13" spans="2:8" ht="17.100000000000001" customHeight="1" x14ac:dyDescent="0.2">
      <c r="B13" s="228"/>
      <c r="C13" s="228"/>
      <c r="D13" s="228"/>
      <c r="E13" s="13" t="s">
        <v>31</v>
      </c>
      <c r="F13" s="67"/>
      <c r="H13" s="233"/>
    </row>
    <row r="14" spans="2:8" ht="17.100000000000001" customHeight="1" x14ac:dyDescent="0.2">
      <c r="B14" s="228"/>
      <c r="C14" s="228"/>
      <c r="D14" s="228"/>
      <c r="E14" s="13" t="s">
        <v>32</v>
      </c>
      <c r="F14" s="67"/>
      <c r="H14" s="233"/>
    </row>
    <row r="15" spans="2:8" ht="17.100000000000001" customHeight="1" x14ac:dyDescent="0.2">
      <c r="B15" s="228"/>
      <c r="C15" s="228"/>
      <c r="D15" s="228"/>
      <c r="E15" s="13" t="s">
        <v>33</v>
      </c>
      <c r="F15" s="67"/>
      <c r="H15" s="233"/>
    </row>
    <row r="16" spans="2:8" ht="17.100000000000001" customHeight="1" x14ac:dyDescent="0.2">
      <c r="B16" s="228"/>
      <c r="C16" s="228"/>
      <c r="D16" s="228"/>
      <c r="E16" s="13" t="s">
        <v>34</v>
      </c>
      <c r="F16" s="67"/>
      <c r="H16" s="233"/>
    </row>
    <row r="17" spans="2:8" ht="17.100000000000001" customHeight="1" x14ac:dyDescent="0.2">
      <c r="B17" s="228"/>
      <c r="C17" s="228"/>
      <c r="D17" s="228"/>
      <c r="E17" s="13" t="s">
        <v>42</v>
      </c>
      <c r="F17" s="67"/>
      <c r="H17" s="233"/>
    </row>
    <row r="18" spans="2:8" ht="17.100000000000001" customHeight="1" x14ac:dyDescent="0.2">
      <c r="B18" s="228"/>
      <c r="C18" s="228"/>
      <c r="D18" s="228"/>
      <c r="E18" s="13" t="s">
        <v>35</v>
      </c>
      <c r="F18" s="67"/>
      <c r="H18" s="233"/>
    </row>
    <row r="19" spans="2:8" ht="17.100000000000001" customHeight="1" x14ac:dyDescent="0.2">
      <c r="B19" s="228"/>
      <c r="C19" s="228"/>
      <c r="D19" s="228"/>
      <c r="E19" s="13" t="s">
        <v>43</v>
      </c>
      <c r="F19" s="67"/>
      <c r="H19" s="233"/>
    </row>
    <row r="20" spans="2:8" ht="17.100000000000001" customHeight="1" x14ac:dyDescent="0.2">
      <c r="B20" s="228"/>
      <c r="C20" s="228"/>
      <c r="D20" s="228"/>
      <c r="E20" s="13" t="s">
        <v>44</v>
      </c>
      <c r="F20" s="67"/>
      <c r="H20" s="233"/>
    </row>
    <row r="21" spans="2:8" ht="17.100000000000001" customHeight="1" x14ac:dyDescent="0.2">
      <c r="B21" s="228"/>
      <c r="C21" s="228"/>
      <c r="D21" s="228"/>
      <c r="E21" s="13" t="s">
        <v>45</v>
      </c>
      <c r="F21" s="67"/>
      <c r="H21" s="233"/>
    </row>
    <row r="22" spans="2:8" ht="17.100000000000001" customHeight="1" x14ac:dyDescent="0.2">
      <c r="B22" s="222"/>
      <c r="C22" s="223"/>
      <c r="D22" s="224"/>
      <c r="E22" s="13" t="s">
        <v>46</v>
      </c>
      <c r="F22" s="166"/>
      <c r="H22" s="233"/>
    </row>
    <row r="23" spans="2:8" ht="17.100000000000001" customHeight="1" x14ac:dyDescent="0.2">
      <c r="B23" s="222"/>
      <c r="C23" s="223"/>
      <c r="D23" s="224"/>
      <c r="E23" s="13" t="s">
        <v>343</v>
      </c>
      <c r="F23" s="166"/>
      <c r="H23" s="233"/>
    </row>
    <row r="24" spans="2:8" ht="17.100000000000001" customHeight="1" x14ac:dyDescent="0.2">
      <c r="B24" s="222"/>
      <c r="C24" s="223"/>
      <c r="D24" s="224"/>
      <c r="E24" s="13" t="s">
        <v>344</v>
      </c>
      <c r="F24" s="166"/>
      <c r="H24" s="233"/>
    </row>
    <row r="25" spans="2:8" ht="17.100000000000001" customHeight="1" x14ac:dyDescent="0.2">
      <c r="B25" s="222"/>
      <c r="C25" s="223"/>
      <c r="D25" s="224"/>
      <c r="E25" s="13" t="s">
        <v>345</v>
      </c>
      <c r="F25" s="166"/>
      <c r="H25" s="233"/>
    </row>
    <row r="26" spans="2:8" ht="17.100000000000001" customHeight="1" x14ac:dyDescent="0.2">
      <c r="B26" s="222"/>
      <c r="C26" s="223"/>
      <c r="D26" s="224"/>
      <c r="E26" s="13" t="s">
        <v>346</v>
      </c>
      <c r="F26" s="166"/>
      <c r="H26" s="233"/>
    </row>
    <row r="27" spans="2:8" ht="17.100000000000001" customHeight="1" x14ac:dyDescent="0.2">
      <c r="B27" s="222"/>
      <c r="C27" s="223"/>
      <c r="D27" s="224"/>
      <c r="E27" s="13" t="s">
        <v>347</v>
      </c>
      <c r="F27" s="166"/>
      <c r="H27" s="233"/>
    </row>
    <row r="28" spans="2:8" ht="17.100000000000001" customHeight="1" x14ac:dyDescent="0.2">
      <c r="B28" s="222"/>
      <c r="C28" s="223"/>
      <c r="D28" s="224"/>
      <c r="E28" s="13" t="s">
        <v>348</v>
      </c>
      <c r="F28" s="166"/>
      <c r="H28" s="233"/>
    </row>
    <row r="29" spans="2:8" ht="17.100000000000001" customHeight="1" x14ac:dyDescent="0.2">
      <c r="B29" s="222"/>
      <c r="C29" s="223"/>
      <c r="D29" s="224"/>
      <c r="E29" s="13" t="s">
        <v>349</v>
      </c>
      <c r="F29" s="166"/>
      <c r="H29" s="233"/>
    </row>
    <row r="30" spans="2:8" ht="17.100000000000001" customHeight="1" x14ac:dyDescent="0.2">
      <c r="B30" s="222"/>
      <c r="C30" s="223"/>
      <c r="D30" s="224"/>
      <c r="E30" s="13" t="s">
        <v>350</v>
      </c>
      <c r="F30" s="166"/>
      <c r="H30" s="233"/>
    </row>
    <row r="31" spans="2:8" ht="17.100000000000001" customHeight="1" x14ac:dyDescent="0.2">
      <c r="B31" s="222"/>
      <c r="C31" s="223"/>
      <c r="D31" s="224"/>
      <c r="E31" s="13" t="s">
        <v>351</v>
      </c>
      <c r="F31" s="166"/>
      <c r="H31" s="233"/>
    </row>
    <row r="32" spans="2:8" ht="17.100000000000001" customHeight="1" x14ac:dyDescent="0.2">
      <c r="B32" s="222"/>
      <c r="C32" s="223"/>
      <c r="D32" s="224"/>
      <c r="E32" s="13" t="s">
        <v>352</v>
      </c>
      <c r="F32" s="166"/>
      <c r="H32" s="233"/>
    </row>
    <row r="33" spans="2:8" ht="17.100000000000001" customHeight="1" x14ac:dyDescent="0.2">
      <c r="B33" s="222"/>
      <c r="C33" s="223"/>
      <c r="D33" s="224"/>
      <c r="E33" s="13" t="s">
        <v>353</v>
      </c>
      <c r="F33" s="166"/>
      <c r="H33" s="233"/>
    </row>
    <row r="34" spans="2:8" ht="17.100000000000001" customHeight="1" x14ac:dyDescent="0.2">
      <c r="B34" s="222"/>
      <c r="C34" s="223"/>
      <c r="D34" s="224"/>
      <c r="E34" s="13" t="s">
        <v>354</v>
      </c>
      <c r="F34" s="166"/>
      <c r="H34" s="233"/>
    </row>
    <row r="35" spans="2:8" ht="17.100000000000001" customHeight="1" x14ac:dyDescent="0.2">
      <c r="B35" s="222"/>
      <c r="C35" s="223"/>
      <c r="D35" s="224"/>
      <c r="E35" s="13" t="s">
        <v>355</v>
      </c>
      <c r="F35" s="166"/>
      <c r="H35" s="233"/>
    </row>
    <row r="36" spans="2:8" ht="17.100000000000001" customHeight="1" x14ac:dyDescent="0.2">
      <c r="B36" s="228"/>
      <c r="C36" s="228"/>
      <c r="D36" s="228"/>
      <c r="E36" s="13" t="s">
        <v>356</v>
      </c>
      <c r="F36" s="67"/>
      <c r="H36" s="233"/>
    </row>
    <row r="37" spans="2:8" ht="92.25" customHeight="1" x14ac:dyDescent="0.2">
      <c r="B37" s="225" t="s">
        <v>358</v>
      </c>
      <c r="C37" s="226"/>
      <c r="D37" s="227"/>
      <c r="E37" s="13" t="s">
        <v>357</v>
      </c>
      <c r="F37" s="166"/>
      <c r="H37" s="167"/>
    </row>
    <row r="38" spans="2:8" ht="26.1" customHeight="1" x14ac:dyDescent="0.2">
      <c r="B38" s="229" t="s">
        <v>118</v>
      </c>
      <c r="C38" s="229"/>
      <c r="D38" s="229"/>
      <c r="E38" s="13" t="s">
        <v>9</v>
      </c>
      <c r="F38" s="67"/>
      <c r="H38" s="115" t="s">
        <v>256</v>
      </c>
    </row>
    <row r="39" spans="2:8" ht="13.5" customHeight="1" x14ac:dyDescent="0.2">
      <c r="B39" s="229" t="s">
        <v>119</v>
      </c>
      <c r="C39" s="229"/>
      <c r="D39" s="229"/>
      <c r="E39" s="22"/>
      <c r="F39" s="23"/>
      <c r="H39" s="21"/>
    </row>
    <row r="40" spans="2:8" ht="12.75" customHeight="1" x14ac:dyDescent="0.2">
      <c r="B40" s="228"/>
      <c r="C40" s="228"/>
      <c r="D40" s="228"/>
      <c r="E40" s="13" t="s">
        <v>10</v>
      </c>
      <c r="F40" s="67"/>
      <c r="H40" s="233" t="s">
        <v>255</v>
      </c>
    </row>
    <row r="41" spans="2:8" x14ac:dyDescent="0.2">
      <c r="B41" s="228"/>
      <c r="C41" s="228"/>
      <c r="D41" s="228"/>
      <c r="E41" s="13" t="s">
        <v>11</v>
      </c>
      <c r="F41" s="67"/>
      <c r="H41" s="233"/>
    </row>
    <row r="42" spans="2:8" x14ac:dyDescent="0.2">
      <c r="B42" s="228"/>
      <c r="C42" s="228"/>
      <c r="D42" s="228"/>
      <c r="E42" s="13" t="s">
        <v>12</v>
      </c>
      <c r="F42" s="67"/>
      <c r="H42" s="233"/>
    </row>
    <row r="43" spans="2:8" x14ac:dyDescent="0.2">
      <c r="B43" s="228"/>
      <c r="C43" s="228"/>
      <c r="D43" s="228"/>
      <c r="E43" s="13" t="s">
        <v>13</v>
      </c>
      <c r="F43" s="67"/>
      <c r="H43" s="233"/>
    </row>
    <row r="44" spans="2:8" x14ac:dyDescent="0.2">
      <c r="B44" s="228"/>
      <c r="C44" s="228"/>
      <c r="D44" s="228"/>
      <c r="E44" s="13" t="s">
        <v>36</v>
      </c>
      <c r="F44" s="67"/>
      <c r="H44" s="233"/>
    </row>
    <row r="45" spans="2:8" x14ac:dyDescent="0.2">
      <c r="B45" s="228"/>
      <c r="C45" s="228"/>
      <c r="D45" s="228"/>
      <c r="E45" s="13" t="s">
        <v>37</v>
      </c>
      <c r="F45" s="67"/>
      <c r="H45" s="233"/>
    </row>
    <row r="46" spans="2:8" x14ac:dyDescent="0.2">
      <c r="B46" s="228"/>
      <c r="C46" s="228"/>
      <c r="D46" s="228"/>
      <c r="E46" s="13" t="s">
        <v>38</v>
      </c>
      <c r="F46" s="67"/>
      <c r="H46" s="233"/>
    </row>
    <row r="47" spans="2:8" x14ac:dyDescent="0.2">
      <c r="B47" s="228"/>
      <c r="C47" s="228"/>
      <c r="D47" s="228"/>
      <c r="E47" s="13" t="s">
        <v>39</v>
      </c>
      <c r="F47" s="67"/>
      <c r="H47" s="233"/>
    </row>
    <row r="48" spans="2:8" x14ac:dyDescent="0.2">
      <c r="B48" s="228"/>
      <c r="C48" s="228"/>
      <c r="D48" s="228"/>
      <c r="E48" s="13" t="s">
        <v>40</v>
      </c>
      <c r="F48" s="67"/>
      <c r="H48" s="233"/>
    </row>
    <row r="49" spans="2:8" x14ac:dyDescent="0.2">
      <c r="B49" s="228"/>
      <c r="C49" s="228"/>
      <c r="D49" s="228"/>
      <c r="E49" s="13" t="s">
        <v>41</v>
      </c>
      <c r="F49" s="67"/>
      <c r="H49" s="233"/>
    </row>
    <row r="50" spans="2:8" x14ac:dyDescent="0.2">
      <c r="B50" s="228"/>
      <c r="C50" s="228"/>
      <c r="D50" s="228"/>
      <c r="E50" s="13" t="s">
        <v>47</v>
      </c>
      <c r="F50" s="67"/>
      <c r="H50" s="233"/>
    </row>
    <row r="51" spans="2:8" x14ac:dyDescent="0.2">
      <c r="B51" s="228"/>
      <c r="C51" s="228"/>
      <c r="D51" s="228"/>
      <c r="E51" s="13" t="s">
        <v>48</v>
      </c>
      <c r="F51" s="67"/>
      <c r="H51" s="233"/>
    </row>
    <row r="52" spans="2:8" x14ac:dyDescent="0.2">
      <c r="B52" s="228"/>
      <c r="C52" s="228"/>
      <c r="D52" s="228"/>
      <c r="E52" s="13" t="s">
        <v>49</v>
      </c>
      <c r="F52" s="67"/>
      <c r="H52" s="233"/>
    </row>
    <row r="53" spans="2:8" x14ac:dyDescent="0.2">
      <c r="B53" s="228"/>
      <c r="C53" s="228"/>
      <c r="D53" s="228"/>
      <c r="E53" s="13" t="s">
        <v>50</v>
      </c>
      <c r="F53" s="67"/>
      <c r="H53" s="233"/>
    </row>
    <row r="54" spans="2:8" x14ac:dyDescent="0.2">
      <c r="B54" s="228"/>
      <c r="C54" s="228"/>
      <c r="D54" s="228"/>
      <c r="E54" s="13" t="s">
        <v>51</v>
      </c>
      <c r="F54" s="67"/>
      <c r="H54" s="233"/>
    </row>
    <row r="55" spans="2:8" x14ac:dyDescent="0.2">
      <c r="B55" s="228"/>
      <c r="C55" s="228"/>
      <c r="D55" s="228"/>
      <c r="E55" s="13" t="s">
        <v>52</v>
      </c>
      <c r="F55" s="67"/>
      <c r="H55" s="233"/>
    </row>
    <row r="56" spans="2:8" x14ac:dyDescent="0.2">
      <c r="B56" s="228"/>
      <c r="C56" s="228"/>
      <c r="D56" s="228"/>
      <c r="E56" s="13" t="s">
        <v>53</v>
      </c>
      <c r="F56" s="67"/>
      <c r="H56" s="233"/>
    </row>
    <row r="57" spans="2:8" x14ac:dyDescent="0.2">
      <c r="B57" s="228"/>
      <c r="C57" s="228"/>
      <c r="D57" s="228"/>
      <c r="E57" s="13" t="s">
        <v>54</v>
      </c>
      <c r="F57" s="67"/>
      <c r="H57" s="233"/>
    </row>
    <row r="58" spans="2:8" x14ac:dyDescent="0.2">
      <c r="B58" s="228"/>
      <c r="C58" s="228"/>
      <c r="D58" s="228"/>
      <c r="E58" s="13" t="s">
        <v>55</v>
      </c>
      <c r="F58" s="67"/>
      <c r="H58" s="233"/>
    </row>
    <row r="59" spans="2:8" x14ac:dyDescent="0.2">
      <c r="B59" s="228"/>
      <c r="C59" s="228"/>
      <c r="D59" s="228"/>
      <c r="E59" s="13" t="s">
        <v>56</v>
      </c>
      <c r="F59" s="67"/>
      <c r="H59" s="233"/>
    </row>
    <row r="60" spans="2:8" x14ac:dyDescent="0.2">
      <c r="B60" s="228"/>
      <c r="C60" s="228"/>
      <c r="D60" s="228"/>
      <c r="E60" s="13" t="s">
        <v>57</v>
      </c>
      <c r="F60" s="67"/>
      <c r="H60" s="233"/>
    </row>
    <row r="61" spans="2:8" x14ac:dyDescent="0.2">
      <c r="B61" s="228"/>
      <c r="C61" s="228"/>
      <c r="D61" s="228"/>
      <c r="E61" s="13" t="s">
        <v>58</v>
      </c>
      <c r="F61" s="67"/>
      <c r="H61" s="233"/>
    </row>
    <row r="62" spans="2:8" x14ac:dyDescent="0.2">
      <c r="B62" s="228"/>
      <c r="C62" s="228"/>
      <c r="D62" s="228"/>
      <c r="E62" s="13" t="s">
        <v>59</v>
      </c>
      <c r="F62" s="67"/>
      <c r="H62" s="233"/>
    </row>
    <row r="63" spans="2:8" x14ac:dyDescent="0.2">
      <c r="B63" s="228"/>
      <c r="C63" s="228"/>
      <c r="D63" s="228"/>
      <c r="E63" s="13" t="s">
        <v>60</v>
      </c>
      <c r="F63" s="67"/>
      <c r="H63" s="233"/>
    </row>
    <row r="64" spans="2:8" x14ac:dyDescent="0.2">
      <c r="B64" s="228"/>
      <c r="C64" s="228"/>
      <c r="D64" s="228"/>
      <c r="E64" s="13" t="s">
        <v>61</v>
      </c>
      <c r="F64" s="67"/>
      <c r="H64" s="233"/>
    </row>
    <row r="65" spans="2:8" x14ac:dyDescent="0.2">
      <c r="B65" s="228"/>
      <c r="C65" s="228"/>
      <c r="D65" s="228"/>
      <c r="E65" s="13" t="s">
        <v>62</v>
      </c>
      <c r="F65" s="67"/>
      <c r="H65" s="233"/>
    </row>
    <row r="66" spans="2:8" x14ac:dyDescent="0.2">
      <c r="B66" s="228"/>
      <c r="C66" s="228"/>
      <c r="D66" s="228"/>
      <c r="E66" s="13" t="s">
        <v>63</v>
      </c>
      <c r="F66" s="67"/>
      <c r="H66" s="233"/>
    </row>
    <row r="67" spans="2:8" x14ac:dyDescent="0.2">
      <c r="B67" s="228"/>
      <c r="C67" s="228"/>
      <c r="D67" s="228"/>
      <c r="E67" s="13" t="s">
        <v>64</v>
      </c>
      <c r="F67" s="67"/>
      <c r="H67" s="233"/>
    </row>
    <row r="68" spans="2:8" x14ac:dyDescent="0.2">
      <c r="B68" s="228"/>
      <c r="C68" s="228"/>
      <c r="D68" s="228"/>
      <c r="E68" s="13" t="s">
        <v>65</v>
      </c>
      <c r="F68" s="67"/>
      <c r="H68" s="233"/>
    </row>
    <row r="69" spans="2:8" x14ac:dyDescent="0.2">
      <c r="B69" s="228"/>
      <c r="C69" s="228"/>
      <c r="D69" s="228"/>
      <c r="E69" s="13" t="s">
        <v>66</v>
      </c>
      <c r="F69" s="67"/>
      <c r="H69" s="233"/>
    </row>
    <row r="70" spans="2:8" ht="67.5" customHeight="1" x14ac:dyDescent="0.2">
      <c r="B70" s="229" t="s">
        <v>120</v>
      </c>
      <c r="C70" s="229"/>
      <c r="D70" s="229"/>
      <c r="E70" s="24" t="s">
        <v>14</v>
      </c>
      <c r="F70" s="14"/>
      <c r="H70" s="122" t="s">
        <v>257</v>
      </c>
    </row>
    <row r="71" spans="2:8" ht="15" customHeight="1" x14ac:dyDescent="0.2">
      <c r="B71" s="229" t="s">
        <v>106</v>
      </c>
      <c r="C71" s="229"/>
      <c r="D71" s="229"/>
      <c r="E71" s="24"/>
      <c r="F71" s="17"/>
      <c r="H71" s="115"/>
    </row>
    <row r="72" spans="2:8" ht="47.25" customHeight="1" x14ac:dyDescent="0.2">
      <c r="B72" s="229" t="s">
        <v>121</v>
      </c>
      <c r="C72" s="229"/>
      <c r="D72" s="229"/>
      <c r="E72" s="24" t="s">
        <v>25</v>
      </c>
      <c r="F72" s="14"/>
      <c r="H72" s="149" t="s">
        <v>296</v>
      </c>
    </row>
    <row r="73" spans="2:8" ht="43.5" customHeight="1" x14ac:dyDescent="0.2">
      <c r="B73" s="229" t="s">
        <v>122</v>
      </c>
      <c r="C73" s="229"/>
      <c r="D73" s="229"/>
      <c r="E73" s="24" t="s">
        <v>67</v>
      </c>
      <c r="F73" s="14"/>
      <c r="H73" s="150" t="s">
        <v>297</v>
      </c>
    </row>
    <row r="74" spans="2:8" ht="50.25" customHeight="1" x14ac:dyDescent="0.2">
      <c r="B74" s="229" t="s">
        <v>123</v>
      </c>
      <c r="C74" s="229"/>
      <c r="D74" s="229"/>
      <c r="E74" s="24" t="s">
        <v>68</v>
      </c>
      <c r="F74" s="14"/>
      <c r="H74" s="150" t="s">
        <v>298</v>
      </c>
    </row>
    <row r="75" spans="2:8" ht="57.75" customHeight="1" x14ac:dyDescent="0.2">
      <c r="B75" s="229" t="s">
        <v>124</v>
      </c>
      <c r="C75" s="229"/>
      <c r="D75" s="229"/>
      <c r="E75" s="24" t="s">
        <v>69</v>
      </c>
      <c r="F75" s="14"/>
      <c r="H75" s="150" t="s">
        <v>300</v>
      </c>
    </row>
    <row r="76" spans="2:8" ht="36" customHeight="1" x14ac:dyDescent="0.2">
      <c r="B76" s="229" t="s">
        <v>360</v>
      </c>
      <c r="C76" s="229"/>
      <c r="D76" s="229"/>
      <c r="E76" s="24" t="s">
        <v>70</v>
      </c>
      <c r="F76" s="14"/>
      <c r="H76" s="150" t="s">
        <v>361</v>
      </c>
    </row>
    <row r="77" spans="2:8" ht="64.5" customHeight="1" x14ac:dyDescent="0.2">
      <c r="B77" s="229" t="s">
        <v>125</v>
      </c>
      <c r="C77" s="229"/>
      <c r="D77" s="229"/>
      <c r="E77" s="24" t="s">
        <v>71</v>
      </c>
      <c r="F77" s="14"/>
      <c r="H77" s="149" t="s">
        <v>299</v>
      </c>
    </row>
    <row r="78" spans="2:8" ht="31.5" customHeight="1" x14ac:dyDescent="0.2">
      <c r="B78" s="176" t="s">
        <v>126</v>
      </c>
      <c r="C78" s="176"/>
      <c r="D78" s="176"/>
      <c r="E78" s="24" t="s">
        <v>74</v>
      </c>
      <c r="F78" s="14"/>
      <c r="H78" s="122" t="s">
        <v>259</v>
      </c>
    </row>
    <row r="79" spans="2:8" ht="15" customHeight="1" x14ac:dyDescent="0.2">
      <c r="B79" s="176" t="s">
        <v>127</v>
      </c>
      <c r="C79" s="176"/>
      <c r="D79" s="176"/>
      <c r="E79" s="17"/>
      <c r="F79" s="17"/>
      <c r="H79" s="17"/>
    </row>
    <row r="80" spans="2:8" ht="15" customHeight="1" x14ac:dyDescent="0.2">
      <c r="B80" s="228"/>
      <c r="C80" s="228"/>
      <c r="D80" s="228"/>
      <c r="E80" s="24" t="s">
        <v>88</v>
      </c>
      <c r="F80" s="20"/>
      <c r="H80" s="233" t="s">
        <v>258</v>
      </c>
    </row>
    <row r="81" spans="2:8" ht="15" customHeight="1" x14ac:dyDescent="0.2">
      <c r="B81" s="228"/>
      <c r="C81" s="228"/>
      <c r="D81" s="228"/>
      <c r="E81" s="24" t="s">
        <v>89</v>
      </c>
      <c r="F81" s="20"/>
      <c r="H81" s="233"/>
    </row>
    <row r="82" spans="2:8" ht="15" customHeight="1" x14ac:dyDescent="0.2">
      <c r="B82" s="228"/>
      <c r="C82" s="228"/>
      <c r="D82" s="228"/>
      <c r="E82" s="24" t="s">
        <v>90</v>
      </c>
      <c r="F82" s="20"/>
      <c r="H82" s="233"/>
    </row>
    <row r="83" spans="2:8" ht="15" customHeight="1" x14ac:dyDescent="0.2">
      <c r="B83" s="228"/>
      <c r="C83" s="228"/>
      <c r="D83" s="228"/>
      <c r="E83" s="24" t="s">
        <v>91</v>
      </c>
      <c r="F83" s="20"/>
      <c r="H83" s="233"/>
    </row>
    <row r="84" spans="2:8" ht="15" customHeight="1" x14ac:dyDescent="0.2">
      <c r="B84" s="228"/>
      <c r="C84" s="228"/>
      <c r="D84" s="228"/>
      <c r="E84" s="24" t="s">
        <v>92</v>
      </c>
      <c r="F84" s="20"/>
      <c r="H84" s="233"/>
    </row>
    <row r="85" spans="2:8" ht="15" customHeight="1" x14ac:dyDescent="0.2">
      <c r="B85" s="228"/>
      <c r="C85" s="228"/>
      <c r="D85" s="228"/>
      <c r="E85" s="24" t="s">
        <v>93</v>
      </c>
      <c r="F85" s="20"/>
      <c r="H85" s="233"/>
    </row>
    <row r="86" spans="2:8" ht="15" customHeight="1" x14ac:dyDescent="0.2">
      <c r="B86" s="228"/>
      <c r="C86" s="228"/>
      <c r="D86" s="228"/>
      <c r="E86" s="24" t="s">
        <v>94</v>
      </c>
      <c r="F86" s="20"/>
      <c r="H86" s="233"/>
    </row>
  </sheetData>
  <mergeCells count="88">
    <mergeCell ref="H8:H36"/>
    <mergeCell ref="H40:H69"/>
    <mergeCell ref="B66:D66"/>
    <mergeCell ref="B59:D59"/>
    <mergeCell ref="B60:D60"/>
    <mergeCell ref="B61:D61"/>
    <mergeCell ref="B62:D62"/>
    <mergeCell ref="B63:D63"/>
    <mergeCell ref="B67:D67"/>
    <mergeCell ref="B68:D68"/>
    <mergeCell ref="B69:D69"/>
    <mergeCell ref="B58:D58"/>
    <mergeCell ref="B46:D46"/>
    <mergeCell ref="B45:D45"/>
    <mergeCell ref="B48:D48"/>
    <mergeCell ref="B64:D64"/>
    <mergeCell ref="B84:D84"/>
    <mergeCell ref="B86:D86"/>
    <mergeCell ref="B85:D85"/>
    <mergeCell ref="H80:H86"/>
    <mergeCell ref="B73:D73"/>
    <mergeCell ref="B82:D82"/>
    <mergeCell ref="B83:D83"/>
    <mergeCell ref="B80:D80"/>
    <mergeCell ref="B81:D81"/>
    <mergeCell ref="B71:D71"/>
    <mergeCell ref="B79:D79"/>
    <mergeCell ref="B78:D78"/>
    <mergeCell ref="B77:D77"/>
    <mergeCell ref="B72:D72"/>
    <mergeCell ref="B74:D74"/>
    <mergeCell ref="B75:D75"/>
    <mergeCell ref="B76:D76"/>
    <mergeCell ref="B65:D65"/>
    <mergeCell ref="B70:D70"/>
    <mergeCell ref="B54:D54"/>
    <mergeCell ref="B55:D55"/>
    <mergeCell ref="B56:D56"/>
    <mergeCell ref="B57:D57"/>
    <mergeCell ref="B42:D42"/>
    <mergeCell ref="B41:D41"/>
    <mergeCell ref="B40:D40"/>
    <mergeCell ref="B49:D49"/>
    <mergeCell ref="B43:D43"/>
    <mergeCell ref="B44:D44"/>
    <mergeCell ref="B50:D50"/>
    <mergeCell ref="B51:D51"/>
    <mergeCell ref="B52:D52"/>
    <mergeCell ref="B53:D53"/>
    <mergeCell ref="B47:D47"/>
    <mergeCell ref="B9:D9"/>
    <mergeCell ref="B39:D39"/>
    <mergeCell ref="B36:D36"/>
    <mergeCell ref="B21:D21"/>
    <mergeCell ref="B15:D15"/>
    <mergeCell ref="B38:D38"/>
    <mergeCell ref="B16:D16"/>
    <mergeCell ref="B17:D17"/>
    <mergeCell ref="B18:D18"/>
    <mergeCell ref="B19:D19"/>
    <mergeCell ref="B20:D20"/>
    <mergeCell ref="B12:D12"/>
    <mergeCell ref="B13:D13"/>
    <mergeCell ref="B11:D11"/>
    <mergeCell ref="B10:D10"/>
    <mergeCell ref="B14:D14"/>
    <mergeCell ref="B8:D8"/>
    <mergeCell ref="B7:D7"/>
    <mergeCell ref="B5:D5"/>
    <mergeCell ref="B6:D6"/>
    <mergeCell ref="B2:F2"/>
    <mergeCell ref="B3:D3"/>
    <mergeCell ref="B4:D4"/>
    <mergeCell ref="B25:D25"/>
    <mergeCell ref="B24:D24"/>
    <mergeCell ref="B23:D23"/>
    <mergeCell ref="B22:D22"/>
    <mergeCell ref="B37:D37"/>
    <mergeCell ref="B30:D30"/>
    <mergeCell ref="B29:D29"/>
    <mergeCell ref="B28:D28"/>
    <mergeCell ref="B27:D27"/>
    <mergeCell ref="B26:D26"/>
    <mergeCell ref="B35:D35"/>
    <mergeCell ref="B34:D34"/>
    <mergeCell ref="B33:D33"/>
    <mergeCell ref="B32:D32"/>
    <mergeCell ref="B31:D31"/>
  </mergeCells>
  <phoneticPr fontId="18" type="noConversion"/>
  <printOptions horizontalCentered="1"/>
  <pageMargins left="0.19685039370078741" right="0.19685039370078741" top="0.19685039370078741" bottom="0.19685039370078741" header="0.19685039370078741" footer="0.19685039370078741"/>
  <pageSetup paperSize="9" scale="33" fitToWidth="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62"/>
  <sheetViews>
    <sheetView view="pageBreakPreview" zoomScaleNormal="85" zoomScaleSheetLayoutView="100" workbookViewId="0">
      <selection activeCell="K61" sqref="K61"/>
    </sheetView>
  </sheetViews>
  <sheetFormatPr defaultColWidth="9.140625" defaultRowHeight="12.75" x14ac:dyDescent="0.2"/>
  <cols>
    <col min="1" max="1" width="3.5703125" style="1" customWidth="1"/>
    <col min="2" max="2" width="7.42578125" style="1" customWidth="1"/>
    <col min="3" max="3" width="13.28515625" style="1" customWidth="1"/>
    <col min="4" max="4" width="88.85546875" style="1" customWidth="1"/>
    <col min="5" max="5" width="9.140625" style="8" customWidth="1"/>
    <col min="6" max="6" width="11.42578125" style="8" customWidth="1"/>
    <col min="7" max="7" width="11.42578125" style="1" customWidth="1"/>
    <col min="8" max="9" width="2.85546875" style="6" customWidth="1"/>
    <col min="10" max="10" width="40.28515625" style="124" customWidth="1"/>
    <col min="11" max="11" width="43" style="124" customWidth="1"/>
    <col min="12" max="16384" width="9.140625" style="1"/>
  </cols>
  <sheetData>
    <row r="1" spans="2:11" x14ac:dyDescent="0.2">
      <c r="F1" s="249" t="s">
        <v>205</v>
      </c>
      <c r="G1" s="249"/>
    </row>
    <row r="2" spans="2:11" ht="50.25" customHeight="1" x14ac:dyDescent="0.2">
      <c r="B2" s="242" t="s">
        <v>128</v>
      </c>
      <c r="C2" s="203"/>
      <c r="D2" s="203"/>
      <c r="E2" s="203"/>
      <c r="F2" s="203"/>
      <c r="G2" s="203"/>
      <c r="J2" s="250"/>
      <c r="K2" s="250"/>
    </row>
    <row r="3" spans="2:11" ht="31.5" customHeight="1" x14ac:dyDescent="0.2">
      <c r="B3" s="242" t="s">
        <v>101</v>
      </c>
      <c r="C3" s="242"/>
      <c r="D3" s="242"/>
      <c r="E3" s="34" t="s">
        <v>129</v>
      </c>
      <c r="F3" s="34" t="s">
        <v>130</v>
      </c>
      <c r="G3" s="34" t="s">
        <v>131</v>
      </c>
      <c r="J3" s="214" t="s">
        <v>202</v>
      </c>
      <c r="K3" s="215"/>
    </row>
    <row r="4" spans="2:11" ht="20.25" customHeight="1" x14ac:dyDescent="0.2">
      <c r="B4" s="231">
        <v>1</v>
      </c>
      <c r="C4" s="231"/>
      <c r="D4" s="243"/>
      <c r="E4" s="12">
        <v>2</v>
      </c>
      <c r="F4" s="12">
        <v>3</v>
      </c>
      <c r="G4" s="12">
        <v>4</v>
      </c>
      <c r="J4" s="58" t="s">
        <v>208</v>
      </c>
      <c r="K4" s="57" t="s">
        <v>209</v>
      </c>
    </row>
    <row r="5" spans="2:11" ht="38.25" customHeight="1" x14ac:dyDescent="0.2">
      <c r="B5" s="240" t="s">
        <v>362</v>
      </c>
      <c r="C5" s="240"/>
      <c r="D5" s="240"/>
      <c r="E5" s="24" t="s">
        <v>3</v>
      </c>
      <c r="F5" s="14"/>
      <c r="G5" s="14"/>
      <c r="J5" s="115" t="s">
        <v>414</v>
      </c>
      <c r="K5" s="115" t="s">
        <v>414</v>
      </c>
    </row>
    <row r="6" spans="2:11" ht="38.25" customHeight="1" x14ac:dyDescent="0.2">
      <c r="B6" s="234" t="s">
        <v>363</v>
      </c>
      <c r="C6" s="235"/>
      <c r="D6" s="236"/>
      <c r="E6" s="24" t="s">
        <v>4</v>
      </c>
      <c r="F6" s="14"/>
      <c r="G6" s="14"/>
      <c r="J6" s="313" t="s">
        <v>415</v>
      </c>
      <c r="K6" s="314"/>
    </row>
    <row r="7" spans="2:11" ht="38.25" customHeight="1" x14ac:dyDescent="0.2">
      <c r="B7" s="234" t="s">
        <v>364</v>
      </c>
      <c r="C7" s="235"/>
      <c r="D7" s="236"/>
      <c r="E7" s="24" t="s">
        <v>5</v>
      </c>
      <c r="F7" s="14"/>
      <c r="G7" s="14"/>
      <c r="J7" s="315"/>
      <c r="K7" s="316"/>
    </row>
    <row r="8" spans="2:11" ht="39" customHeight="1" x14ac:dyDescent="0.2">
      <c r="B8" s="240" t="s">
        <v>132</v>
      </c>
      <c r="C8" s="240"/>
      <c r="D8" s="240"/>
      <c r="E8" s="24" t="s">
        <v>72</v>
      </c>
      <c r="F8" s="14"/>
      <c r="G8" s="14"/>
      <c r="J8" s="115" t="s">
        <v>260</v>
      </c>
      <c r="K8" s="115" t="s">
        <v>288</v>
      </c>
    </row>
    <row r="9" spans="2:11" ht="15" customHeight="1" x14ac:dyDescent="0.2">
      <c r="B9" s="234" t="s">
        <v>106</v>
      </c>
      <c r="C9" s="235"/>
      <c r="D9" s="236"/>
      <c r="E9" s="24"/>
      <c r="F9" s="25" t="s">
        <v>2</v>
      </c>
      <c r="G9" s="25" t="s">
        <v>2</v>
      </c>
      <c r="J9" s="125"/>
      <c r="K9" s="125"/>
    </row>
    <row r="10" spans="2:11" ht="35.25" customHeight="1" x14ac:dyDescent="0.2">
      <c r="B10" s="234" t="s">
        <v>133</v>
      </c>
      <c r="C10" s="235"/>
      <c r="D10" s="236"/>
      <c r="E10" s="24" t="s">
        <v>75</v>
      </c>
      <c r="F10" s="14"/>
      <c r="G10" s="14"/>
      <c r="J10" s="115" t="s">
        <v>261</v>
      </c>
      <c r="K10" s="115" t="s">
        <v>261</v>
      </c>
    </row>
    <row r="11" spans="2:11" ht="54.75" customHeight="1" thickBot="1" x14ac:dyDescent="0.25">
      <c r="B11" s="234" t="s">
        <v>365</v>
      </c>
      <c r="C11" s="235"/>
      <c r="D11" s="236"/>
      <c r="E11" s="24" t="s">
        <v>76</v>
      </c>
      <c r="F11" s="14"/>
      <c r="G11" s="14"/>
      <c r="J11" s="115" t="s">
        <v>262</v>
      </c>
      <c r="K11" s="115" t="s">
        <v>289</v>
      </c>
    </row>
    <row r="12" spans="2:11" ht="14.25" thickBot="1" x14ac:dyDescent="0.25">
      <c r="B12" s="305" t="s">
        <v>134</v>
      </c>
      <c r="C12" s="306"/>
      <c r="D12" s="307"/>
      <c r="E12" s="24"/>
      <c r="F12" s="25" t="s">
        <v>2</v>
      </c>
      <c r="G12" s="25" t="s">
        <v>2</v>
      </c>
      <c r="J12" s="168"/>
      <c r="K12" s="168"/>
    </row>
    <row r="13" spans="2:11" ht="21.75" customHeight="1" x14ac:dyDescent="0.2">
      <c r="B13" s="308" t="s">
        <v>367</v>
      </c>
      <c r="C13" s="309"/>
      <c r="D13" s="310"/>
      <c r="E13" s="24" t="s">
        <v>371</v>
      </c>
      <c r="F13" s="14"/>
      <c r="G13" s="14"/>
      <c r="J13" s="313" t="s">
        <v>416</v>
      </c>
      <c r="K13" s="314"/>
    </row>
    <row r="14" spans="2:11" ht="21.75" customHeight="1" x14ac:dyDescent="0.2">
      <c r="B14" s="234" t="s">
        <v>368</v>
      </c>
      <c r="C14" s="235"/>
      <c r="D14" s="236"/>
      <c r="E14" s="24" t="s">
        <v>372</v>
      </c>
      <c r="F14" s="14"/>
      <c r="G14" s="14"/>
      <c r="J14" s="319"/>
      <c r="K14" s="320"/>
    </row>
    <row r="15" spans="2:11" ht="21.75" customHeight="1" x14ac:dyDescent="0.2">
      <c r="B15" s="234" t="s">
        <v>369</v>
      </c>
      <c r="C15" s="235"/>
      <c r="D15" s="236"/>
      <c r="E15" s="24" t="s">
        <v>373</v>
      </c>
      <c r="F15" s="14"/>
      <c r="G15" s="14"/>
      <c r="J15" s="319"/>
      <c r="K15" s="320"/>
    </row>
    <row r="16" spans="2:11" ht="21.75" customHeight="1" x14ac:dyDescent="0.2">
      <c r="B16" s="234" t="s">
        <v>370</v>
      </c>
      <c r="C16" s="235"/>
      <c r="D16" s="236"/>
      <c r="E16" s="24" t="s">
        <v>374</v>
      </c>
      <c r="F16" s="14"/>
      <c r="G16" s="14"/>
      <c r="J16" s="315"/>
      <c r="K16" s="316"/>
    </row>
    <row r="17" spans="1:11" ht="70.5" customHeight="1" thickBot="1" x14ac:dyDescent="0.25">
      <c r="B17" s="240" t="s">
        <v>375</v>
      </c>
      <c r="C17" s="240"/>
      <c r="D17" s="240"/>
      <c r="E17" s="24" t="s">
        <v>73</v>
      </c>
      <c r="F17" s="14"/>
      <c r="G17" s="14"/>
      <c r="J17" s="115" t="s">
        <v>263</v>
      </c>
      <c r="K17" s="115" t="s">
        <v>264</v>
      </c>
    </row>
    <row r="18" spans="1:11" ht="14.25" thickBot="1" x14ac:dyDescent="0.25">
      <c r="B18" s="305" t="s">
        <v>134</v>
      </c>
      <c r="C18" s="306"/>
      <c r="D18" s="307"/>
      <c r="E18" s="24"/>
      <c r="F18" s="25" t="s">
        <v>2</v>
      </c>
      <c r="G18" s="25" t="s">
        <v>2</v>
      </c>
      <c r="J18" s="169"/>
      <c r="K18" s="170"/>
    </row>
    <row r="19" spans="1:11" ht="33.75" customHeight="1" thickBot="1" x14ac:dyDescent="0.25">
      <c r="B19" s="306" t="s">
        <v>135</v>
      </c>
      <c r="C19" s="306"/>
      <c r="D19" s="311"/>
      <c r="E19" s="24" t="s">
        <v>376</v>
      </c>
      <c r="F19" s="25"/>
      <c r="G19" s="25"/>
      <c r="J19" s="251" t="s">
        <v>301</v>
      </c>
      <c r="K19" s="252"/>
    </row>
    <row r="20" spans="1:11" ht="33.75" customHeight="1" thickBot="1" x14ac:dyDescent="0.25">
      <c r="B20" s="306" t="s">
        <v>136</v>
      </c>
      <c r="C20" s="306"/>
      <c r="D20" s="311"/>
      <c r="E20" s="24" t="s">
        <v>377</v>
      </c>
      <c r="F20" s="25"/>
      <c r="G20" s="25"/>
      <c r="J20" s="253"/>
      <c r="K20" s="254"/>
    </row>
    <row r="21" spans="1:11" ht="33.75" customHeight="1" x14ac:dyDescent="0.2">
      <c r="B21" s="308" t="s">
        <v>366</v>
      </c>
      <c r="C21" s="309"/>
      <c r="D21" s="310"/>
      <c r="E21" s="24" t="s">
        <v>378</v>
      </c>
      <c r="F21" s="14"/>
      <c r="G21" s="14"/>
      <c r="J21" s="313" t="s">
        <v>417</v>
      </c>
      <c r="K21" s="314"/>
    </row>
    <row r="22" spans="1:11" ht="33.75" customHeight="1" x14ac:dyDescent="0.2">
      <c r="B22" s="234" t="s">
        <v>380</v>
      </c>
      <c r="C22" s="235"/>
      <c r="D22" s="236"/>
      <c r="E22" s="24" t="s">
        <v>379</v>
      </c>
      <c r="F22" s="14"/>
      <c r="G22" s="14"/>
      <c r="J22" s="315"/>
      <c r="K22" s="316"/>
    </row>
    <row r="23" spans="1:11" s="6" customFormat="1" ht="28.5" customHeight="1" x14ac:dyDescent="0.2">
      <c r="A23" s="1"/>
      <c r="B23" s="237" t="s">
        <v>137</v>
      </c>
      <c r="C23" s="238"/>
      <c r="D23" s="239"/>
      <c r="E23" s="24" t="s">
        <v>8</v>
      </c>
      <c r="F23" s="25" t="s">
        <v>2</v>
      </c>
      <c r="G23" s="14"/>
      <c r="J23" s="115"/>
      <c r="K23" s="115" t="s">
        <v>265</v>
      </c>
    </row>
    <row r="24" spans="1:11" s="6" customFormat="1" ht="15" customHeight="1" x14ac:dyDescent="0.2">
      <c r="A24" s="1"/>
      <c r="B24" s="234" t="s">
        <v>106</v>
      </c>
      <c r="C24" s="235"/>
      <c r="D24" s="236"/>
      <c r="E24" s="26"/>
      <c r="F24" s="27" t="s">
        <v>2</v>
      </c>
      <c r="G24" s="27" t="s">
        <v>2</v>
      </c>
      <c r="J24" s="115"/>
      <c r="K24" s="115"/>
    </row>
    <row r="25" spans="1:11" s="6" customFormat="1" ht="54" customHeight="1" x14ac:dyDescent="0.2">
      <c r="A25" s="1"/>
      <c r="B25" s="241" t="s">
        <v>381</v>
      </c>
      <c r="C25" s="241"/>
      <c r="D25" s="241"/>
      <c r="E25" s="24" t="s">
        <v>26</v>
      </c>
      <c r="F25" s="25" t="s">
        <v>2</v>
      </c>
      <c r="G25" s="14"/>
      <c r="J25" s="115"/>
      <c r="K25" s="115" t="s">
        <v>418</v>
      </c>
    </row>
    <row r="26" spans="1:11" s="6" customFormat="1" ht="51" x14ac:dyDescent="0.2">
      <c r="A26" s="1"/>
      <c r="B26" s="244" t="s">
        <v>382</v>
      </c>
      <c r="C26" s="244"/>
      <c r="D26" s="244"/>
      <c r="E26" s="24" t="s">
        <v>27</v>
      </c>
      <c r="F26" s="25" t="s">
        <v>2</v>
      </c>
      <c r="G26" s="14"/>
      <c r="J26" s="115"/>
      <c r="K26" s="115" t="s">
        <v>419</v>
      </c>
    </row>
    <row r="27" spans="1:11" s="6" customFormat="1" ht="51" x14ac:dyDescent="0.2">
      <c r="A27" s="1"/>
      <c r="B27" s="241" t="s">
        <v>383</v>
      </c>
      <c r="C27" s="241"/>
      <c r="D27" s="241"/>
      <c r="E27" s="24" t="s">
        <v>28</v>
      </c>
      <c r="F27" s="25" t="s">
        <v>2</v>
      </c>
      <c r="G27" s="14"/>
      <c r="J27" s="115"/>
      <c r="K27" s="115" t="s">
        <v>420</v>
      </c>
    </row>
    <row r="28" spans="1:11" s="6" customFormat="1" ht="60" customHeight="1" x14ac:dyDescent="0.2">
      <c r="A28" s="1"/>
      <c r="B28" s="241" t="s">
        <v>384</v>
      </c>
      <c r="C28" s="241"/>
      <c r="D28" s="241"/>
      <c r="E28" s="24" t="s">
        <v>29</v>
      </c>
      <c r="F28" s="25" t="s">
        <v>2</v>
      </c>
      <c r="G28" s="14"/>
      <c r="J28" s="115"/>
      <c r="K28" s="115" t="s">
        <v>421</v>
      </c>
    </row>
    <row r="29" spans="1:11" s="6" customFormat="1" ht="38.25" customHeight="1" x14ac:dyDescent="0.2">
      <c r="A29" s="1"/>
      <c r="B29" s="240" t="s">
        <v>138</v>
      </c>
      <c r="C29" s="240"/>
      <c r="D29" s="240"/>
      <c r="E29" s="24" t="s">
        <v>9</v>
      </c>
      <c r="F29" s="25" t="s">
        <v>2</v>
      </c>
      <c r="G29" s="14"/>
      <c r="J29" s="115"/>
      <c r="K29" s="115" t="s">
        <v>266</v>
      </c>
    </row>
    <row r="30" spans="1:11" s="6" customFormat="1" ht="15" customHeight="1" x14ac:dyDescent="0.2">
      <c r="A30" s="1"/>
      <c r="B30" s="234" t="s">
        <v>106</v>
      </c>
      <c r="C30" s="235"/>
      <c r="D30" s="236"/>
      <c r="E30" s="24" t="s">
        <v>20</v>
      </c>
      <c r="F30" s="25" t="s">
        <v>2</v>
      </c>
      <c r="G30" s="25" t="s">
        <v>2</v>
      </c>
      <c r="J30" s="125"/>
      <c r="K30" s="125"/>
    </row>
    <row r="31" spans="1:11" s="6" customFormat="1" ht="45.75" customHeight="1" x14ac:dyDescent="0.2">
      <c r="A31" s="1"/>
      <c r="B31" s="241" t="s">
        <v>385</v>
      </c>
      <c r="C31" s="241"/>
      <c r="D31" s="241"/>
      <c r="E31" s="24" t="s">
        <v>10</v>
      </c>
      <c r="F31" s="25" t="s">
        <v>2</v>
      </c>
      <c r="G31" s="16"/>
      <c r="J31" s="233"/>
      <c r="K31" s="233" t="s">
        <v>267</v>
      </c>
    </row>
    <row r="32" spans="1:11" s="6" customFormat="1" ht="18" customHeight="1" x14ac:dyDescent="0.2">
      <c r="A32" s="1"/>
      <c r="B32" s="237" t="s">
        <v>139</v>
      </c>
      <c r="C32" s="238"/>
      <c r="D32" s="239"/>
      <c r="E32" s="24" t="s">
        <v>11</v>
      </c>
      <c r="F32" s="25" t="s">
        <v>2</v>
      </c>
      <c r="G32" s="16"/>
      <c r="J32" s="233"/>
      <c r="K32" s="233"/>
    </row>
    <row r="33" spans="1:11" s="6" customFormat="1" ht="36" customHeight="1" x14ac:dyDescent="0.2">
      <c r="A33" s="1"/>
      <c r="B33" s="237" t="s">
        <v>140</v>
      </c>
      <c r="C33" s="238"/>
      <c r="D33" s="239"/>
      <c r="E33" s="24" t="s">
        <v>12</v>
      </c>
      <c r="F33" s="25" t="s">
        <v>2</v>
      </c>
      <c r="G33" s="16"/>
      <c r="J33" s="233"/>
      <c r="K33" s="233"/>
    </row>
    <row r="34" spans="1:11" s="6" customFormat="1" ht="27.75" customHeight="1" x14ac:dyDescent="0.2">
      <c r="A34" s="1"/>
      <c r="B34" s="237" t="s">
        <v>141</v>
      </c>
      <c r="C34" s="238"/>
      <c r="D34" s="239"/>
      <c r="E34" s="24" t="s">
        <v>13</v>
      </c>
      <c r="F34" s="25" t="s">
        <v>2</v>
      </c>
      <c r="G34" s="16"/>
      <c r="J34" s="233"/>
      <c r="K34" s="233"/>
    </row>
    <row r="35" spans="1:11" s="6" customFormat="1" ht="50.25" customHeight="1" x14ac:dyDescent="0.2">
      <c r="A35" s="1"/>
      <c r="B35" s="237" t="s">
        <v>386</v>
      </c>
      <c r="C35" s="238"/>
      <c r="D35" s="239"/>
      <c r="E35" s="24" t="s">
        <v>14</v>
      </c>
      <c r="F35" s="25" t="s">
        <v>2</v>
      </c>
      <c r="G35" s="14"/>
      <c r="J35" s="115"/>
      <c r="K35" s="115" t="s">
        <v>268</v>
      </c>
    </row>
    <row r="36" spans="1:11" s="6" customFormat="1" ht="15" customHeight="1" x14ac:dyDescent="0.2">
      <c r="A36" s="1"/>
      <c r="B36" s="234" t="s">
        <v>106</v>
      </c>
      <c r="C36" s="235"/>
      <c r="D36" s="236"/>
      <c r="E36" s="24"/>
      <c r="F36" s="28" t="s">
        <v>2</v>
      </c>
      <c r="G36" s="28" t="s">
        <v>2</v>
      </c>
      <c r="J36" s="125"/>
      <c r="K36" s="125"/>
    </row>
    <row r="37" spans="1:11" s="6" customFormat="1" ht="24.75" customHeight="1" x14ac:dyDescent="0.2">
      <c r="A37" s="1"/>
      <c r="B37" s="237" t="s">
        <v>387</v>
      </c>
      <c r="C37" s="238"/>
      <c r="D37" s="239"/>
      <c r="E37" s="24" t="s">
        <v>15</v>
      </c>
      <c r="F37" s="25" t="s">
        <v>2</v>
      </c>
      <c r="G37" s="14"/>
      <c r="J37" s="115"/>
      <c r="K37" s="115" t="s">
        <v>269</v>
      </c>
    </row>
    <row r="38" spans="1:11" s="6" customFormat="1" ht="36" customHeight="1" x14ac:dyDescent="0.2">
      <c r="A38" s="1"/>
      <c r="B38" s="237" t="s">
        <v>142</v>
      </c>
      <c r="C38" s="238"/>
      <c r="D38" s="239"/>
      <c r="E38" s="24" t="s">
        <v>16</v>
      </c>
      <c r="F38" s="25" t="s">
        <v>2</v>
      </c>
      <c r="G38" s="14"/>
      <c r="J38" s="115"/>
      <c r="K38" s="115" t="s">
        <v>270</v>
      </c>
    </row>
    <row r="39" spans="1:11" s="6" customFormat="1" ht="38.25" customHeight="1" x14ac:dyDescent="0.2">
      <c r="A39" s="1"/>
      <c r="B39" s="237" t="s">
        <v>143</v>
      </c>
      <c r="C39" s="238"/>
      <c r="D39" s="239"/>
      <c r="E39" s="24" t="s">
        <v>17</v>
      </c>
      <c r="F39" s="25" t="s">
        <v>2</v>
      </c>
      <c r="G39" s="14"/>
      <c r="J39" s="115"/>
      <c r="K39" s="115" t="s">
        <v>271</v>
      </c>
    </row>
    <row r="40" spans="1:11" s="6" customFormat="1" ht="58.5" customHeight="1" x14ac:dyDescent="0.2">
      <c r="A40" s="1"/>
      <c r="B40" s="237" t="s">
        <v>388</v>
      </c>
      <c r="C40" s="238"/>
      <c r="D40" s="239"/>
      <c r="E40" s="24" t="s">
        <v>82</v>
      </c>
      <c r="F40" s="25" t="s">
        <v>2</v>
      </c>
      <c r="G40" s="14"/>
      <c r="J40" s="115"/>
      <c r="K40" s="115" t="s">
        <v>272</v>
      </c>
    </row>
    <row r="41" spans="1:11" s="6" customFormat="1" ht="41.25" customHeight="1" x14ac:dyDescent="0.2">
      <c r="A41" s="1"/>
      <c r="B41" s="237" t="s">
        <v>144</v>
      </c>
      <c r="C41" s="238"/>
      <c r="D41" s="239"/>
      <c r="E41" s="24" t="s">
        <v>83</v>
      </c>
      <c r="F41" s="25" t="s">
        <v>2</v>
      </c>
      <c r="G41" s="14"/>
      <c r="J41" s="115"/>
      <c r="K41" s="115" t="s">
        <v>273</v>
      </c>
    </row>
    <row r="42" spans="1:11" s="6" customFormat="1" ht="41.25" customHeight="1" x14ac:dyDescent="0.2">
      <c r="A42" s="1"/>
      <c r="B42" s="237" t="s">
        <v>389</v>
      </c>
      <c r="C42" s="238"/>
      <c r="D42" s="239"/>
      <c r="E42" s="24" t="s">
        <v>390</v>
      </c>
      <c r="F42" s="25"/>
      <c r="G42" s="14"/>
      <c r="J42" s="168"/>
      <c r="K42" s="168" t="s">
        <v>417</v>
      </c>
    </row>
    <row r="43" spans="1:11" s="6" customFormat="1" ht="36.75" customHeight="1" x14ac:dyDescent="0.2">
      <c r="A43" s="1"/>
      <c r="B43" s="237" t="s">
        <v>145</v>
      </c>
      <c r="C43" s="238"/>
      <c r="D43" s="239"/>
      <c r="E43" s="24" t="s">
        <v>18</v>
      </c>
      <c r="F43" s="25" t="s">
        <v>2</v>
      </c>
      <c r="G43" s="14"/>
      <c r="J43" s="115"/>
      <c r="K43" s="115" t="s">
        <v>274</v>
      </c>
    </row>
    <row r="44" spans="1:11" s="6" customFormat="1" ht="25.5" customHeight="1" x14ac:dyDescent="0.2">
      <c r="A44" s="1"/>
      <c r="B44" s="237" t="s">
        <v>391</v>
      </c>
      <c r="C44" s="238"/>
      <c r="D44" s="239"/>
      <c r="E44" s="24" t="s">
        <v>19</v>
      </c>
      <c r="F44" s="16"/>
      <c r="G44" s="312"/>
      <c r="J44" s="317" t="s">
        <v>422</v>
      </c>
      <c r="K44" s="115"/>
    </row>
    <row r="45" spans="1:11" s="6" customFormat="1" ht="25.5" customHeight="1" x14ac:dyDescent="0.2">
      <c r="A45" s="1"/>
      <c r="B45" s="237" t="s">
        <v>190</v>
      </c>
      <c r="C45" s="238"/>
      <c r="D45" s="239"/>
      <c r="E45" s="24" t="s">
        <v>84</v>
      </c>
      <c r="F45" s="16"/>
      <c r="G45" s="25" t="s">
        <v>2</v>
      </c>
      <c r="J45" s="318"/>
      <c r="K45" s="168"/>
    </row>
    <row r="46" spans="1:11" s="6" customFormat="1" ht="25.5" customHeight="1" x14ac:dyDescent="0.2">
      <c r="A46" s="1"/>
      <c r="B46" s="237" t="s">
        <v>392</v>
      </c>
      <c r="C46" s="238"/>
      <c r="D46" s="239"/>
      <c r="E46" s="24" t="s">
        <v>87</v>
      </c>
      <c r="F46" s="29"/>
      <c r="G46" s="25" t="s">
        <v>2</v>
      </c>
      <c r="J46" s="168" t="s">
        <v>425</v>
      </c>
      <c r="K46" s="168"/>
    </row>
    <row r="47" spans="1:11" s="6" customFormat="1" ht="25.5" customHeight="1" x14ac:dyDescent="0.2">
      <c r="A47" s="1"/>
      <c r="B47" s="237" t="s">
        <v>393</v>
      </c>
      <c r="C47" s="238"/>
      <c r="D47" s="239"/>
      <c r="E47" s="24" t="s">
        <v>86</v>
      </c>
      <c r="F47" s="28" t="s">
        <v>2</v>
      </c>
      <c r="G47" s="29"/>
      <c r="J47" s="168"/>
      <c r="K47" s="168" t="s">
        <v>423</v>
      </c>
    </row>
    <row r="48" spans="1:11" s="6" customFormat="1" ht="25.5" customHeight="1" x14ac:dyDescent="0.2">
      <c r="A48" s="1"/>
      <c r="B48" s="237" t="s">
        <v>394</v>
      </c>
      <c r="C48" s="238"/>
      <c r="D48" s="239"/>
      <c r="E48" s="24" t="s">
        <v>85</v>
      </c>
      <c r="F48" s="28" t="s">
        <v>2</v>
      </c>
      <c r="G48" s="29"/>
      <c r="J48" s="168"/>
      <c r="K48" s="168" t="s">
        <v>424</v>
      </c>
    </row>
    <row r="49" spans="1:11" s="6" customFormat="1" ht="25.5" customHeight="1" x14ac:dyDescent="0.2">
      <c r="A49" s="1"/>
      <c r="B49" s="237" t="s">
        <v>395</v>
      </c>
      <c r="C49" s="238"/>
      <c r="D49" s="239"/>
      <c r="E49" s="24" t="s">
        <v>396</v>
      </c>
      <c r="F49" s="29"/>
      <c r="G49" s="29"/>
      <c r="J49" s="168"/>
      <c r="K49" s="168" t="s">
        <v>426</v>
      </c>
    </row>
    <row r="50" spans="1:11" s="6" customFormat="1" ht="15" customHeight="1" x14ac:dyDescent="0.2">
      <c r="A50" s="1"/>
      <c r="B50" s="237" t="s">
        <v>106</v>
      </c>
      <c r="C50" s="238"/>
      <c r="D50" s="239"/>
      <c r="E50" s="24"/>
      <c r="F50" s="28" t="s">
        <v>2</v>
      </c>
      <c r="G50" s="28" t="s">
        <v>2</v>
      </c>
      <c r="J50" s="125"/>
      <c r="K50" s="125"/>
    </row>
    <row r="51" spans="1:11" s="6" customFormat="1" ht="24.95" customHeight="1" x14ac:dyDescent="0.2">
      <c r="A51" s="1"/>
      <c r="B51" s="248" t="s">
        <v>397</v>
      </c>
      <c r="C51" s="248"/>
      <c r="D51" s="248"/>
      <c r="E51" s="24" t="s">
        <v>398</v>
      </c>
      <c r="F51" s="29"/>
      <c r="G51" s="29"/>
      <c r="J51" s="321"/>
      <c r="K51" s="321"/>
    </row>
    <row r="52" spans="1:11" s="6" customFormat="1" ht="24.95" customHeight="1" x14ac:dyDescent="0.2">
      <c r="A52" s="1"/>
      <c r="B52" s="245" t="s">
        <v>146</v>
      </c>
      <c r="C52" s="246"/>
      <c r="D52" s="247"/>
      <c r="E52" s="24" t="s">
        <v>403</v>
      </c>
      <c r="F52" s="29"/>
      <c r="G52" s="29"/>
      <c r="J52" s="322"/>
      <c r="K52" s="322"/>
    </row>
    <row r="53" spans="1:11" s="6" customFormat="1" ht="33.75" customHeight="1" x14ac:dyDescent="0.2">
      <c r="A53" s="1"/>
      <c r="B53" s="245" t="s">
        <v>147</v>
      </c>
      <c r="C53" s="246"/>
      <c r="D53" s="247"/>
      <c r="E53" s="24" t="s">
        <v>404</v>
      </c>
      <c r="F53" s="29"/>
      <c r="G53" s="29"/>
      <c r="J53" s="322"/>
      <c r="K53" s="322"/>
    </row>
    <row r="54" spans="1:11" s="6" customFormat="1" ht="24.95" customHeight="1" x14ac:dyDescent="0.2">
      <c r="A54" s="1"/>
      <c r="B54" s="245" t="s">
        <v>247</v>
      </c>
      <c r="C54" s="246"/>
      <c r="D54" s="247"/>
      <c r="E54" s="24" t="s">
        <v>405</v>
      </c>
      <c r="F54" s="29"/>
      <c r="G54" s="29"/>
      <c r="J54" s="322"/>
      <c r="K54" s="322"/>
    </row>
    <row r="55" spans="1:11" s="6" customFormat="1" ht="27.75" customHeight="1" x14ac:dyDescent="0.2">
      <c r="A55" s="1"/>
      <c r="B55" s="245" t="s">
        <v>148</v>
      </c>
      <c r="C55" s="246"/>
      <c r="D55" s="247"/>
      <c r="E55" s="24" t="s">
        <v>406</v>
      </c>
      <c r="F55" s="29"/>
      <c r="G55" s="29"/>
      <c r="J55" s="322"/>
      <c r="K55" s="322"/>
    </row>
    <row r="56" spans="1:11" s="6" customFormat="1" ht="27.75" customHeight="1" x14ac:dyDescent="0.2">
      <c r="A56" s="1"/>
      <c r="B56" s="245" t="s">
        <v>320</v>
      </c>
      <c r="C56" s="246"/>
      <c r="D56" s="247"/>
      <c r="E56" s="24" t="s">
        <v>407</v>
      </c>
      <c r="F56" s="29"/>
      <c r="G56" s="29"/>
      <c r="J56" s="322"/>
      <c r="K56" s="322"/>
    </row>
    <row r="57" spans="1:11" s="6" customFormat="1" ht="28.5" customHeight="1" x14ac:dyDescent="0.2">
      <c r="A57" s="1"/>
      <c r="B57" s="245" t="s">
        <v>149</v>
      </c>
      <c r="C57" s="246"/>
      <c r="D57" s="247"/>
      <c r="E57" s="24" t="s">
        <v>408</v>
      </c>
      <c r="F57" s="29"/>
      <c r="G57" s="29"/>
      <c r="J57" s="322"/>
      <c r="K57" s="322"/>
    </row>
    <row r="58" spans="1:11" s="6" customFormat="1" ht="16.5" customHeight="1" x14ac:dyDescent="0.2">
      <c r="A58" s="1"/>
      <c r="B58" s="245" t="s">
        <v>150</v>
      </c>
      <c r="C58" s="246"/>
      <c r="D58" s="247"/>
      <c r="E58" s="24" t="s">
        <v>409</v>
      </c>
      <c r="F58" s="29"/>
      <c r="G58" s="29"/>
      <c r="J58" s="323"/>
      <c r="K58" s="323"/>
    </row>
    <row r="59" spans="1:11" x14ac:dyDescent="0.2">
      <c r="B59" s="234" t="s">
        <v>399</v>
      </c>
      <c r="C59" s="235"/>
      <c r="D59" s="236"/>
      <c r="E59" s="24" t="s">
        <v>410</v>
      </c>
      <c r="F59" s="29"/>
      <c r="G59" s="29"/>
      <c r="I59" s="1"/>
      <c r="J59" s="123"/>
      <c r="K59" s="123"/>
    </row>
    <row r="60" spans="1:11" ht="51" customHeight="1" x14ac:dyDescent="0.2">
      <c r="B60" s="234" t="s">
        <v>400</v>
      </c>
      <c r="C60" s="235"/>
      <c r="D60" s="236"/>
      <c r="E60" s="24" t="s">
        <v>411</v>
      </c>
      <c r="F60" s="29"/>
      <c r="G60" s="29"/>
      <c r="I60" s="1"/>
      <c r="J60" s="123"/>
      <c r="K60" s="123"/>
    </row>
    <row r="61" spans="1:11" ht="54.75" customHeight="1" x14ac:dyDescent="0.2">
      <c r="B61" s="240" t="s">
        <v>401</v>
      </c>
      <c r="C61" s="240"/>
      <c r="D61" s="240"/>
      <c r="E61" s="24" t="s">
        <v>412</v>
      </c>
      <c r="F61" s="29"/>
      <c r="G61" s="29"/>
      <c r="I61" s="1"/>
      <c r="J61" s="126"/>
      <c r="K61" s="126"/>
    </row>
    <row r="62" spans="1:11" x14ac:dyDescent="0.2">
      <c r="B62" s="240" t="s">
        <v>402</v>
      </c>
      <c r="C62" s="240"/>
      <c r="D62" s="240"/>
      <c r="E62" s="24" t="s">
        <v>413</v>
      </c>
      <c r="F62" s="25" t="s">
        <v>2</v>
      </c>
      <c r="G62" s="29"/>
      <c r="J62" s="126"/>
      <c r="K62" s="123"/>
    </row>
  </sheetData>
  <mergeCells count="71">
    <mergeCell ref="B46:D46"/>
    <mergeCell ref="B47:D47"/>
    <mergeCell ref="B48:D48"/>
    <mergeCell ref="B49:D49"/>
    <mergeCell ref="J6:K7"/>
    <mergeCell ref="J13:K16"/>
    <mergeCell ref="J21:K22"/>
    <mergeCell ref="J44:J45"/>
    <mergeCell ref="B18:D18"/>
    <mergeCell ref="B21:D21"/>
    <mergeCell ref="B20:D20"/>
    <mergeCell ref="B19:D19"/>
    <mergeCell ref="B22:D22"/>
    <mergeCell ref="F1:G1"/>
    <mergeCell ref="J31:J34"/>
    <mergeCell ref="K31:K34"/>
    <mergeCell ref="J2:K2"/>
    <mergeCell ref="J3:K3"/>
    <mergeCell ref="J19:K20"/>
    <mergeCell ref="B50:D50"/>
    <mergeCell ref="B54:D54"/>
    <mergeCell ref="B55:D55"/>
    <mergeCell ref="B39:D39"/>
    <mergeCell ref="B40:D40"/>
    <mergeCell ref="B41:D41"/>
    <mergeCell ref="B52:D52"/>
    <mergeCell ref="B53:D53"/>
    <mergeCell ref="B43:D43"/>
    <mergeCell ref="B57:D57"/>
    <mergeCell ref="B58:D58"/>
    <mergeCell ref="B51:D51"/>
    <mergeCell ref="B56:D56"/>
    <mergeCell ref="B42:D42"/>
    <mergeCell ref="B45:D45"/>
    <mergeCell ref="B28:D28"/>
    <mergeCell ref="B25:D25"/>
    <mergeCell ref="B26:D26"/>
    <mergeCell ref="B34:D34"/>
    <mergeCell ref="B27:D27"/>
    <mergeCell ref="B62:D62"/>
    <mergeCell ref="B60:D60"/>
    <mergeCell ref="B61:D61"/>
    <mergeCell ref="B59:D59"/>
    <mergeCell ref="B17:D17"/>
    <mergeCell ref="B2:G2"/>
    <mergeCell ref="B3:D3"/>
    <mergeCell ref="B11:D11"/>
    <mergeCell ref="B4:D4"/>
    <mergeCell ref="B5:D5"/>
    <mergeCell ref="B8:D8"/>
    <mergeCell ref="B9:D9"/>
    <mergeCell ref="B10:D10"/>
    <mergeCell ref="B6:D6"/>
    <mergeCell ref="B7:D7"/>
    <mergeCell ref="B12:D12"/>
    <mergeCell ref="B13:D13"/>
    <mergeCell ref="B14:D14"/>
    <mergeCell ref="B15:D15"/>
    <mergeCell ref="B16:D16"/>
    <mergeCell ref="B44:D44"/>
    <mergeCell ref="B29:D29"/>
    <mergeCell ref="B36:D36"/>
    <mergeCell ref="B23:D23"/>
    <mergeCell ref="B35:D35"/>
    <mergeCell ref="B30:D30"/>
    <mergeCell ref="B31:D31"/>
    <mergeCell ref="B32:D32"/>
    <mergeCell ref="B33:D33"/>
    <mergeCell ref="B24:D24"/>
    <mergeCell ref="B37:D37"/>
    <mergeCell ref="B38:D38"/>
  </mergeCells>
  <printOptions horizontalCentered="1"/>
  <pageMargins left="0.19685039370078741" right="0.19685039370078741" top="0.19685039370078741" bottom="0.19685039370078741" header="0.19685039370078741" footer="0.19685039370078741"/>
  <pageSetup paperSize="9" scale="29" fitToWidth="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41"/>
  <sheetViews>
    <sheetView zoomScale="85" zoomScaleNormal="85" workbookViewId="0">
      <selection activeCell="H12" sqref="H12"/>
    </sheetView>
  </sheetViews>
  <sheetFormatPr defaultRowHeight="15" x14ac:dyDescent="0.25"/>
  <cols>
    <col min="1" max="1" width="9.28515625" customWidth="1"/>
    <col min="2" max="2" width="21.7109375" customWidth="1"/>
    <col min="3" max="3" width="19.42578125" customWidth="1"/>
    <col min="4" max="4" width="14.5703125" customWidth="1"/>
    <col min="5" max="5" width="13.28515625" customWidth="1"/>
    <col min="6" max="6" width="12.28515625" customWidth="1"/>
    <col min="7" max="10" width="17.28515625" customWidth="1"/>
    <col min="11" max="11" width="9.42578125" customWidth="1"/>
    <col min="13" max="13" width="43.7109375" style="129" customWidth="1"/>
  </cols>
  <sheetData>
    <row r="1" spans="1:16" x14ac:dyDescent="0.25">
      <c r="A1" s="9"/>
      <c r="C1" s="90"/>
      <c r="D1" s="90"/>
      <c r="E1" s="90"/>
      <c r="F1" s="90"/>
      <c r="G1" s="90"/>
      <c r="H1" s="90"/>
      <c r="I1" s="90"/>
    </row>
    <row r="2" spans="1:16" x14ac:dyDescent="0.25">
      <c r="A2" s="9"/>
      <c r="B2" s="91" t="s">
        <v>214</v>
      </c>
      <c r="C2" s="92"/>
      <c r="D2" s="93"/>
      <c r="E2" s="93"/>
      <c r="F2" s="93"/>
      <c r="G2" s="93"/>
      <c r="H2" s="93" t="s">
        <v>211</v>
      </c>
      <c r="I2" s="93" t="s">
        <v>211</v>
      </c>
      <c r="J2" s="94" t="s">
        <v>206</v>
      </c>
    </row>
    <row r="3" spans="1:16" x14ac:dyDescent="0.25">
      <c r="A3" s="9"/>
      <c r="B3" s="91"/>
      <c r="C3" s="95"/>
      <c r="D3" s="93"/>
      <c r="E3" s="93"/>
      <c r="F3" s="93"/>
      <c r="G3" s="93"/>
      <c r="H3" s="93"/>
      <c r="I3" s="93"/>
      <c r="J3" s="96" t="s">
        <v>237</v>
      </c>
    </row>
    <row r="4" spans="1:16" ht="42.75" customHeight="1" x14ac:dyDescent="0.25">
      <c r="A4" s="9"/>
      <c r="B4" s="279" t="s">
        <v>151</v>
      </c>
      <c r="C4" s="279"/>
      <c r="D4" s="279"/>
      <c r="E4" s="279"/>
      <c r="F4" s="279"/>
      <c r="G4" s="279"/>
      <c r="H4" s="279"/>
      <c r="I4" s="279"/>
      <c r="J4" s="279"/>
      <c r="K4" s="90"/>
      <c r="M4" s="147" t="s">
        <v>202</v>
      </c>
      <c r="N4" s="127"/>
      <c r="O4" s="127"/>
      <c r="P4" s="127"/>
    </row>
    <row r="5" spans="1:16" ht="57" customHeight="1" x14ac:dyDescent="0.25">
      <c r="A5" s="9"/>
      <c r="B5" s="280" t="s">
        <v>152</v>
      </c>
      <c r="C5" s="281" t="s">
        <v>153</v>
      </c>
      <c r="D5" s="283" t="s">
        <v>154</v>
      </c>
      <c r="E5" s="281" t="s">
        <v>155</v>
      </c>
      <c r="F5" s="281" t="s">
        <v>156</v>
      </c>
      <c r="G5" s="281" t="s">
        <v>157</v>
      </c>
      <c r="H5" s="285" t="s">
        <v>158</v>
      </c>
      <c r="I5" s="287" t="s">
        <v>159</v>
      </c>
      <c r="J5" s="288"/>
      <c r="M5" s="276" t="s">
        <v>307</v>
      </c>
    </row>
    <row r="6" spans="1:16" ht="33.75" customHeight="1" x14ac:dyDescent="0.25">
      <c r="A6" s="9"/>
      <c r="B6" s="280"/>
      <c r="C6" s="282"/>
      <c r="D6" s="284"/>
      <c r="E6" s="282"/>
      <c r="F6" s="282"/>
      <c r="G6" s="282"/>
      <c r="H6" s="286"/>
      <c r="I6" s="68" t="s">
        <v>168</v>
      </c>
      <c r="J6" s="68" t="s">
        <v>131</v>
      </c>
      <c r="M6" s="277"/>
    </row>
    <row r="7" spans="1:16" x14ac:dyDescent="0.25">
      <c r="A7" s="9"/>
      <c r="B7" s="45">
        <v>1</v>
      </c>
      <c r="C7" s="45">
        <v>2</v>
      </c>
      <c r="D7" s="45">
        <v>3</v>
      </c>
      <c r="E7" s="45">
        <v>4</v>
      </c>
      <c r="F7" s="45">
        <v>5</v>
      </c>
      <c r="G7" s="45">
        <v>6</v>
      </c>
      <c r="H7" s="45">
        <v>7</v>
      </c>
      <c r="I7" s="45">
        <v>8</v>
      </c>
      <c r="J7" s="45">
        <v>9</v>
      </c>
      <c r="M7" s="277"/>
    </row>
    <row r="8" spans="1:16" x14ac:dyDescent="0.25">
      <c r="A8" s="9"/>
      <c r="B8" s="270" t="s">
        <v>160</v>
      </c>
      <c r="C8" s="271"/>
      <c r="D8" s="271"/>
      <c r="E8" s="271"/>
      <c r="F8" s="271"/>
      <c r="G8" s="7"/>
      <c r="H8" s="7"/>
      <c r="I8" s="7"/>
      <c r="J8" s="7"/>
      <c r="M8" s="277"/>
    </row>
    <row r="9" spans="1:16" x14ac:dyDescent="0.25">
      <c r="A9" s="9"/>
      <c r="B9" s="270" t="s">
        <v>161</v>
      </c>
      <c r="C9" s="271"/>
      <c r="D9" s="272"/>
      <c r="E9" s="68" t="s">
        <v>1</v>
      </c>
      <c r="F9" s="68" t="s">
        <v>1</v>
      </c>
      <c r="G9" s="7"/>
      <c r="H9" s="7"/>
      <c r="I9" s="7"/>
      <c r="J9" s="7"/>
      <c r="M9" s="277"/>
    </row>
    <row r="10" spans="1:16" x14ac:dyDescent="0.25">
      <c r="A10" s="9"/>
      <c r="B10" s="325" t="s">
        <v>427</v>
      </c>
      <c r="C10" s="172"/>
      <c r="D10" s="172"/>
      <c r="E10" s="324"/>
      <c r="F10" s="324"/>
      <c r="G10" s="171" t="s">
        <v>1</v>
      </c>
      <c r="H10" s="171" t="s">
        <v>1</v>
      </c>
      <c r="I10" s="171" t="s">
        <v>1</v>
      </c>
      <c r="J10" s="171" t="s">
        <v>1</v>
      </c>
      <c r="M10" s="277"/>
    </row>
    <row r="11" spans="1:16" ht="21.75" customHeight="1" x14ac:dyDescent="0.25">
      <c r="A11" s="9"/>
      <c r="B11" s="270" t="s">
        <v>428</v>
      </c>
      <c r="C11" s="271"/>
      <c r="D11" s="271"/>
      <c r="E11" s="171" t="s">
        <v>1</v>
      </c>
      <c r="F11" s="171" t="s">
        <v>1</v>
      </c>
      <c r="G11" s="7"/>
      <c r="H11" s="7"/>
      <c r="I11" s="16"/>
      <c r="J11" s="16"/>
      <c r="M11" s="277"/>
    </row>
    <row r="12" spans="1:16" ht="26.25" customHeight="1" x14ac:dyDescent="0.25">
      <c r="A12" s="9"/>
      <c r="B12" s="270" t="s">
        <v>429</v>
      </c>
      <c r="C12" s="271"/>
      <c r="D12" s="271"/>
      <c r="E12" s="171" t="s">
        <v>1</v>
      </c>
      <c r="F12" s="171" t="s">
        <v>1</v>
      </c>
      <c r="G12" s="7"/>
      <c r="H12" s="7"/>
      <c r="I12" s="7"/>
      <c r="J12" s="7"/>
      <c r="M12" s="277"/>
    </row>
    <row r="13" spans="1:16" x14ac:dyDescent="0.25">
      <c r="A13" s="9"/>
      <c r="B13" s="270" t="s">
        <v>162</v>
      </c>
      <c r="C13" s="271"/>
      <c r="D13" s="97"/>
      <c r="E13" s="97"/>
      <c r="F13" s="97"/>
      <c r="G13" s="7"/>
      <c r="H13" s="7"/>
      <c r="I13" s="7"/>
      <c r="J13" s="7"/>
      <c r="M13" s="278"/>
    </row>
    <row r="15" spans="1:16" s="98" customFormat="1" ht="12" customHeight="1" x14ac:dyDescent="0.25">
      <c r="B15" s="273"/>
      <c r="C15" s="273"/>
      <c r="D15" s="273"/>
      <c r="E15" s="273"/>
      <c r="F15" s="273"/>
      <c r="G15" s="273"/>
      <c r="H15" s="273"/>
      <c r="I15" s="273"/>
      <c r="J15" s="273"/>
      <c r="K15" s="273"/>
      <c r="M15" s="130"/>
    </row>
    <row r="16" spans="1:16" s="98" customFormat="1" ht="4.1500000000000004" customHeight="1" x14ac:dyDescent="0.25">
      <c r="B16" s="99"/>
      <c r="C16" s="99"/>
      <c r="E16" s="99"/>
      <c r="F16" s="99"/>
      <c r="G16" s="99"/>
      <c r="H16" s="99"/>
      <c r="I16" s="99"/>
      <c r="M16" s="130"/>
    </row>
    <row r="17" spans="2:13" s="98" customFormat="1" ht="13.5" customHeight="1" x14ac:dyDescent="0.25">
      <c r="B17" s="99"/>
      <c r="C17" s="99"/>
      <c r="E17" s="99"/>
      <c r="F17" s="99"/>
      <c r="G17" s="99"/>
      <c r="H17" s="99"/>
      <c r="I17" s="99"/>
      <c r="K17" s="96" t="s">
        <v>238</v>
      </c>
      <c r="M17" s="130"/>
    </row>
    <row r="18" spans="2:13" ht="36" customHeight="1" x14ac:dyDescent="0.25">
      <c r="B18" s="267" t="s">
        <v>163</v>
      </c>
      <c r="C18" s="267"/>
      <c r="D18" s="267"/>
      <c r="E18" s="267"/>
      <c r="F18" s="267"/>
      <c r="G18" s="267"/>
      <c r="H18" s="267"/>
      <c r="I18" s="267"/>
      <c r="J18" s="267"/>
      <c r="K18" s="267"/>
    </row>
    <row r="19" spans="2:13" x14ac:dyDescent="0.25">
      <c r="B19" s="10"/>
      <c r="C19" s="9"/>
      <c r="D19" s="9"/>
      <c r="E19" s="9"/>
      <c r="F19" s="9"/>
      <c r="G19" s="9"/>
      <c r="H19" s="9"/>
      <c r="I19" s="9"/>
    </row>
    <row r="20" spans="2:13" ht="27.75" customHeight="1" x14ac:dyDescent="0.25">
      <c r="B20" s="257" t="s">
        <v>78</v>
      </c>
      <c r="C20" s="257" t="s">
        <v>164</v>
      </c>
      <c r="D20" s="257" t="s">
        <v>165</v>
      </c>
      <c r="E20" s="269" t="s">
        <v>155</v>
      </c>
      <c r="F20" s="269" t="s">
        <v>166</v>
      </c>
      <c r="G20" s="257" t="s">
        <v>193</v>
      </c>
      <c r="H20" s="259" t="s">
        <v>131</v>
      </c>
      <c r="I20" s="261" t="s">
        <v>194</v>
      </c>
      <c r="J20" s="274" t="s">
        <v>167</v>
      </c>
      <c r="K20" s="275"/>
    </row>
    <row r="21" spans="2:13" ht="23.25" customHeight="1" x14ac:dyDescent="0.25">
      <c r="B21" s="258"/>
      <c r="C21" s="258"/>
      <c r="D21" s="258"/>
      <c r="E21" s="269"/>
      <c r="F21" s="269"/>
      <c r="G21" s="260"/>
      <c r="H21" s="260"/>
      <c r="I21" s="262"/>
      <c r="J21" s="69" t="s">
        <v>168</v>
      </c>
      <c r="K21" s="69" t="s">
        <v>131</v>
      </c>
    </row>
    <row r="22" spans="2:13" x14ac:dyDescent="0.25">
      <c r="B22" s="68">
        <v>1</v>
      </c>
      <c r="C22" s="68">
        <v>2</v>
      </c>
      <c r="D22" s="68">
        <v>3</v>
      </c>
      <c r="E22" s="68">
        <v>4</v>
      </c>
      <c r="F22" s="68">
        <v>5</v>
      </c>
      <c r="G22" s="68">
        <v>6</v>
      </c>
      <c r="H22" s="68">
        <v>7</v>
      </c>
      <c r="I22" s="68">
        <v>8</v>
      </c>
      <c r="J22" s="68">
        <v>9</v>
      </c>
      <c r="K22" s="68">
        <v>10</v>
      </c>
    </row>
    <row r="23" spans="2:13" x14ac:dyDescent="0.25">
      <c r="B23" s="263" t="s">
        <v>161</v>
      </c>
      <c r="C23" s="264"/>
      <c r="D23" s="37" t="s">
        <v>21</v>
      </c>
      <c r="E23" s="37" t="s">
        <v>21</v>
      </c>
      <c r="F23" s="37" t="s">
        <v>21</v>
      </c>
      <c r="G23" s="11" t="s">
        <v>200</v>
      </c>
      <c r="H23" s="11" t="s">
        <v>200</v>
      </c>
      <c r="I23" s="11" t="s">
        <v>200</v>
      </c>
      <c r="J23" s="11" t="s">
        <v>200</v>
      </c>
      <c r="K23" s="11" t="s">
        <v>200</v>
      </c>
    </row>
    <row r="24" spans="2:13" x14ac:dyDescent="0.25">
      <c r="C24" s="100" t="s">
        <v>211</v>
      </c>
    </row>
    <row r="25" spans="2:13" x14ac:dyDescent="0.25">
      <c r="B25" s="265" t="s">
        <v>239</v>
      </c>
      <c r="C25" s="265"/>
      <c r="D25" s="265"/>
      <c r="E25" s="265"/>
      <c r="F25" s="265"/>
      <c r="G25" s="265"/>
      <c r="H25" s="265"/>
      <c r="I25" s="265"/>
      <c r="J25" s="265"/>
      <c r="K25" s="265"/>
    </row>
    <row r="26" spans="2:13" ht="38.450000000000003" customHeight="1" x14ac:dyDescent="0.25">
      <c r="B26" s="265" t="s">
        <v>240</v>
      </c>
      <c r="C26" s="265"/>
      <c r="D26" s="265"/>
      <c r="E26" s="265"/>
      <c r="F26" s="265"/>
      <c r="G26" s="265"/>
      <c r="H26" s="265"/>
      <c r="I26" s="265"/>
      <c r="J26" s="265"/>
      <c r="K26" s="265"/>
    </row>
    <row r="27" spans="2:13" ht="38.450000000000003" customHeight="1" x14ac:dyDescent="0.25">
      <c r="B27" s="266" t="s">
        <v>241</v>
      </c>
      <c r="C27" s="266"/>
      <c r="D27" s="266"/>
      <c r="E27" s="266"/>
      <c r="F27" s="266"/>
      <c r="G27" s="266"/>
      <c r="H27" s="266"/>
      <c r="I27" s="266"/>
      <c r="J27" s="266"/>
      <c r="K27" s="266"/>
    </row>
    <row r="28" spans="2:13" ht="4.1500000000000004" customHeight="1" x14ac:dyDescent="0.25"/>
    <row r="29" spans="2:13" x14ac:dyDescent="0.25">
      <c r="K29" s="96" t="s">
        <v>242</v>
      </c>
    </row>
    <row r="30" spans="2:13" ht="28.15" customHeight="1" x14ac:dyDescent="0.25">
      <c r="B30" s="267" t="s">
        <v>181</v>
      </c>
      <c r="C30" s="268"/>
      <c r="D30" s="268"/>
      <c r="E30" s="268"/>
      <c r="F30" s="268"/>
      <c r="G30" s="268"/>
      <c r="H30" s="268"/>
      <c r="I30" s="268"/>
      <c r="J30" s="268"/>
      <c r="K30" s="268"/>
    </row>
    <row r="31" spans="2:13" x14ac:dyDescent="0.25">
      <c r="B31" s="10"/>
      <c r="C31" s="9"/>
      <c r="D31" s="9"/>
      <c r="E31" s="9"/>
      <c r="F31" s="9"/>
      <c r="G31" s="9"/>
      <c r="H31" s="9"/>
      <c r="I31" s="9"/>
      <c r="J31" s="9"/>
      <c r="K31" s="9"/>
    </row>
    <row r="32" spans="2:13" ht="14.45" customHeight="1" x14ac:dyDescent="0.25">
      <c r="B32" s="257" t="s">
        <v>152</v>
      </c>
      <c r="C32" s="257" t="s">
        <v>182</v>
      </c>
      <c r="D32" s="257" t="s">
        <v>183</v>
      </c>
      <c r="E32" s="269" t="s">
        <v>155</v>
      </c>
      <c r="F32" s="269" t="s">
        <v>166</v>
      </c>
      <c r="G32" s="257" t="s">
        <v>191</v>
      </c>
      <c r="H32" s="257" t="s">
        <v>192</v>
      </c>
      <c r="I32" s="257" t="s">
        <v>195</v>
      </c>
      <c r="J32" s="259" t="s">
        <v>158</v>
      </c>
      <c r="K32" s="261" t="s">
        <v>184</v>
      </c>
    </row>
    <row r="33" spans="2:11" ht="37.15" customHeight="1" x14ac:dyDescent="0.25">
      <c r="B33" s="258"/>
      <c r="C33" s="258"/>
      <c r="D33" s="258"/>
      <c r="E33" s="269"/>
      <c r="F33" s="269"/>
      <c r="G33" s="258"/>
      <c r="H33" s="258"/>
      <c r="I33" s="258"/>
      <c r="J33" s="260"/>
      <c r="K33" s="262"/>
    </row>
    <row r="34" spans="2:11" x14ac:dyDescent="0.25">
      <c r="B34" s="68">
        <v>1</v>
      </c>
      <c r="C34" s="68">
        <v>2</v>
      </c>
      <c r="D34" s="68">
        <v>3</v>
      </c>
      <c r="E34" s="68">
        <v>4</v>
      </c>
      <c r="F34" s="68">
        <v>5</v>
      </c>
      <c r="G34" s="68">
        <v>6</v>
      </c>
      <c r="H34" s="68">
        <v>7</v>
      </c>
      <c r="I34" s="68">
        <v>8</v>
      </c>
      <c r="J34" s="68">
        <v>9</v>
      </c>
      <c r="K34" s="68">
        <v>10</v>
      </c>
    </row>
    <row r="35" spans="2:11" ht="19.5" customHeight="1" x14ac:dyDescent="0.25">
      <c r="B35" s="263" t="s">
        <v>161</v>
      </c>
      <c r="C35" s="264"/>
      <c r="D35" s="101" t="s">
        <v>21</v>
      </c>
      <c r="E35" s="101" t="s">
        <v>21</v>
      </c>
      <c r="F35" s="101" t="s">
        <v>21</v>
      </c>
      <c r="G35" s="101" t="s">
        <v>21</v>
      </c>
      <c r="H35" s="101" t="s">
        <v>21</v>
      </c>
      <c r="I35" s="11" t="s">
        <v>200</v>
      </c>
      <c r="J35" s="11" t="s">
        <v>200</v>
      </c>
      <c r="K35" s="11" t="s">
        <v>200</v>
      </c>
    </row>
    <row r="36" spans="2:11" ht="36.6" customHeight="1" x14ac:dyDescent="0.25">
      <c r="B36" s="265" t="s">
        <v>243</v>
      </c>
      <c r="C36" s="265"/>
      <c r="D36" s="265"/>
      <c r="E36" s="265"/>
      <c r="F36" s="265"/>
      <c r="G36" s="265"/>
      <c r="H36" s="265"/>
      <c r="I36" s="265"/>
      <c r="J36" s="265"/>
      <c r="K36" s="265"/>
    </row>
    <row r="38" spans="2:11" x14ac:dyDescent="0.25">
      <c r="B38" s="102" t="s">
        <v>234</v>
      </c>
      <c r="C38" s="103"/>
      <c r="D38" s="255"/>
      <c r="E38" s="255"/>
      <c r="F38" s="255"/>
      <c r="G38" s="255"/>
    </row>
    <row r="39" spans="2:11" x14ac:dyDescent="0.25">
      <c r="B39" s="102"/>
      <c r="C39" s="104" t="s">
        <v>244</v>
      </c>
      <c r="D39" s="105"/>
      <c r="E39" s="105"/>
      <c r="F39" s="105"/>
      <c r="G39" s="105"/>
    </row>
    <row r="40" spans="2:11" x14ac:dyDescent="0.25">
      <c r="B40" s="102" t="s">
        <v>235</v>
      </c>
      <c r="C40" s="102"/>
      <c r="D40" s="255"/>
      <c r="E40" s="255"/>
      <c r="F40" s="255"/>
      <c r="G40" s="255"/>
    </row>
    <row r="41" spans="2:11" x14ac:dyDescent="0.25">
      <c r="B41" s="102"/>
      <c r="C41" s="104" t="s">
        <v>244</v>
      </c>
      <c r="D41" s="256"/>
      <c r="E41" s="256"/>
      <c r="F41" s="256"/>
      <c r="G41" s="256"/>
    </row>
  </sheetData>
  <mergeCells count="46">
    <mergeCell ref="M5:M13"/>
    <mergeCell ref="B4:J4"/>
    <mergeCell ref="B5:B6"/>
    <mergeCell ref="C5:C6"/>
    <mergeCell ref="D5:D6"/>
    <mergeCell ref="E5:E6"/>
    <mergeCell ref="F5:F6"/>
    <mergeCell ref="G5:G6"/>
    <mergeCell ref="H5:H6"/>
    <mergeCell ref="I5:J5"/>
    <mergeCell ref="B11:D11"/>
    <mergeCell ref="B12:D12"/>
    <mergeCell ref="B25:K25"/>
    <mergeCell ref="B8:F8"/>
    <mergeCell ref="B9:D9"/>
    <mergeCell ref="B13:C13"/>
    <mergeCell ref="B15:K15"/>
    <mergeCell ref="B18:K18"/>
    <mergeCell ref="B20:B21"/>
    <mergeCell ref="C20:C21"/>
    <mergeCell ref="D20:D21"/>
    <mergeCell ref="E20:E21"/>
    <mergeCell ref="F20:F21"/>
    <mergeCell ref="G20:G21"/>
    <mergeCell ref="H20:H21"/>
    <mergeCell ref="I20:I21"/>
    <mergeCell ref="J20:K20"/>
    <mergeCell ref="B23:C23"/>
    <mergeCell ref="B35:C35"/>
    <mergeCell ref="B36:K36"/>
    <mergeCell ref="D38:G38"/>
    <mergeCell ref="B26:K26"/>
    <mergeCell ref="B27:K27"/>
    <mergeCell ref="B30:K30"/>
    <mergeCell ref="B32:B33"/>
    <mergeCell ref="C32:C33"/>
    <mergeCell ref="D32:D33"/>
    <mergeCell ref="E32:E33"/>
    <mergeCell ref="F32:F33"/>
    <mergeCell ref="G32:G33"/>
    <mergeCell ref="H32:H33"/>
    <mergeCell ref="D40:G40"/>
    <mergeCell ref="D41:G41"/>
    <mergeCell ref="I32:I33"/>
    <mergeCell ref="J32:J33"/>
    <mergeCell ref="K32:K3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25"/>
  <sheetViews>
    <sheetView workbookViewId="0">
      <selection activeCell="I6" sqref="I6:I7"/>
    </sheetView>
  </sheetViews>
  <sheetFormatPr defaultColWidth="8.7109375" defaultRowHeight="14.25" x14ac:dyDescent="0.2"/>
  <cols>
    <col min="1" max="1" width="3.140625" style="106" customWidth="1"/>
    <col min="2" max="2" width="5.140625" style="106" customWidth="1"/>
    <col min="3" max="3" width="8.5703125" style="106" customWidth="1"/>
    <col min="4" max="4" width="13.28515625" style="106" customWidth="1"/>
    <col min="5" max="7" width="12.140625" style="106" customWidth="1"/>
    <col min="8" max="8" width="12" style="106" customWidth="1"/>
    <col min="9" max="9" width="14.85546875" style="106" customWidth="1"/>
    <col min="10" max="11" width="8.7109375" style="106" customWidth="1"/>
    <col min="12" max="12" width="11.140625" style="106" customWidth="1"/>
    <col min="13" max="13" width="20.5703125" style="106" customWidth="1"/>
    <col min="14" max="14" width="4.7109375" style="106" customWidth="1"/>
    <col min="15" max="15" width="60.7109375" style="132" customWidth="1"/>
    <col min="16" max="16" width="4.7109375" style="132" customWidth="1"/>
    <col min="17" max="16384" width="8.7109375" style="106"/>
  </cols>
  <sheetData>
    <row r="1" spans="1:16" x14ac:dyDescent="0.2">
      <c r="A1" s="9"/>
    </row>
    <row r="2" spans="1:16" x14ac:dyDescent="0.2">
      <c r="B2" s="10" t="s">
        <v>211</v>
      </c>
      <c r="C2" s="107" t="s">
        <v>214</v>
      </c>
      <c r="D2" s="92"/>
      <c r="E2" s="9"/>
      <c r="F2" s="9"/>
      <c r="G2" s="9"/>
      <c r="H2" s="9"/>
      <c r="I2" s="93"/>
      <c r="J2" s="108"/>
      <c r="K2" s="109"/>
      <c r="L2" s="93"/>
      <c r="M2" s="110" t="s">
        <v>207</v>
      </c>
    </row>
    <row r="3" spans="1:16" ht="15" x14ac:dyDescent="0.25">
      <c r="B3" s="10"/>
      <c r="C3" s="9"/>
      <c r="D3" s="9"/>
      <c r="E3" s="9"/>
      <c r="F3" s="9"/>
      <c r="G3" s="9"/>
      <c r="H3" s="9"/>
      <c r="I3" s="9"/>
      <c r="J3" s="9"/>
      <c r="K3" s="9"/>
      <c r="L3"/>
      <c r="M3"/>
    </row>
    <row r="4" spans="1:16" ht="64.5" customHeight="1" x14ac:dyDescent="0.2">
      <c r="B4" s="292" t="s">
        <v>430</v>
      </c>
      <c r="C4" s="292"/>
      <c r="D4" s="292"/>
      <c r="E4" s="292"/>
      <c r="F4" s="292"/>
      <c r="G4" s="292"/>
      <c r="H4" s="292"/>
      <c r="I4" s="292"/>
      <c r="J4" s="292"/>
      <c r="K4" s="292"/>
      <c r="L4" s="292"/>
      <c r="M4" s="292"/>
      <c r="O4" s="128" t="s">
        <v>202</v>
      </c>
      <c r="P4" s="128"/>
    </row>
    <row r="5" spans="1:16" ht="15" customHeight="1" x14ac:dyDescent="0.25">
      <c r="B5" s="10"/>
      <c r="C5" s="9"/>
      <c r="D5" s="9"/>
      <c r="E5" s="9"/>
      <c r="F5" s="9"/>
      <c r="G5" s="9"/>
      <c r="H5" s="9"/>
      <c r="I5" s="9"/>
      <c r="J5" s="9"/>
      <c r="K5" s="9"/>
      <c r="L5"/>
      <c r="M5" s="326" t="s">
        <v>237</v>
      </c>
      <c r="O5" s="128"/>
      <c r="P5" s="128"/>
    </row>
    <row r="6" spans="1:16" ht="86.25" customHeight="1" x14ac:dyDescent="0.2">
      <c r="B6" s="257" t="s">
        <v>78</v>
      </c>
      <c r="C6" s="293" t="s">
        <v>196</v>
      </c>
      <c r="D6" s="293" t="s">
        <v>197</v>
      </c>
      <c r="E6" s="269" t="s">
        <v>432</v>
      </c>
      <c r="F6" s="257" t="s">
        <v>433</v>
      </c>
      <c r="G6" s="257" t="s">
        <v>434</v>
      </c>
      <c r="H6" s="269" t="s">
        <v>435</v>
      </c>
      <c r="I6" s="257" t="s">
        <v>193</v>
      </c>
      <c r="J6" s="257" t="s">
        <v>131</v>
      </c>
      <c r="K6" s="261" t="s">
        <v>198</v>
      </c>
      <c r="L6" s="274" t="s">
        <v>436</v>
      </c>
      <c r="M6" s="275"/>
      <c r="O6" s="289" t="s">
        <v>438</v>
      </c>
      <c r="P6" s="128"/>
    </row>
    <row r="7" spans="1:16" ht="25.5" customHeight="1" x14ac:dyDescent="0.2">
      <c r="B7" s="258"/>
      <c r="C7" s="294"/>
      <c r="D7" s="294"/>
      <c r="E7" s="269"/>
      <c r="F7" s="258"/>
      <c r="G7" s="258"/>
      <c r="H7" s="269"/>
      <c r="I7" s="260"/>
      <c r="J7" s="258"/>
      <c r="K7" s="262"/>
      <c r="L7" s="69" t="s">
        <v>168</v>
      </c>
      <c r="M7" s="69" t="s">
        <v>131</v>
      </c>
      <c r="O7" s="290"/>
      <c r="P7" s="128"/>
    </row>
    <row r="8" spans="1:16" x14ac:dyDescent="0.2">
      <c r="B8" s="68">
        <v>1</v>
      </c>
      <c r="C8" s="68">
        <v>2</v>
      </c>
      <c r="D8" s="68">
        <v>3</v>
      </c>
      <c r="E8" s="68">
        <v>4</v>
      </c>
      <c r="F8" s="171"/>
      <c r="G8" s="171"/>
      <c r="H8" s="68">
        <v>5</v>
      </c>
      <c r="I8" s="68">
        <v>6</v>
      </c>
      <c r="J8" s="68">
        <v>7</v>
      </c>
      <c r="K8" s="68">
        <v>8</v>
      </c>
      <c r="L8" s="68">
        <v>9</v>
      </c>
      <c r="M8" s="68">
        <v>10</v>
      </c>
      <c r="O8" s="290"/>
    </row>
    <row r="9" spans="1:16" ht="23.25" customHeight="1" x14ac:dyDescent="0.2">
      <c r="B9" s="263" t="s">
        <v>199</v>
      </c>
      <c r="C9" s="264"/>
      <c r="D9" s="37" t="s">
        <v>21</v>
      </c>
      <c r="E9" s="37" t="s">
        <v>21</v>
      </c>
      <c r="F9" s="37" t="s">
        <v>21</v>
      </c>
      <c r="G9" s="37" t="s">
        <v>21</v>
      </c>
      <c r="H9" s="37" t="s">
        <v>21</v>
      </c>
      <c r="I9" s="11"/>
      <c r="J9" s="11"/>
      <c r="K9" s="11"/>
      <c r="L9" s="11"/>
      <c r="M9" s="11"/>
      <c r="O9" s="291"/>
      <c r="P9" s="131"/>
    </row>
    <row r="10" spans="1:16" x14ac:dyDescent="0.2">
      <c r="C10" s="111"/>
    </row>
    <row r="11" spans="1:16" x14ac:dyDescent="0.2">
      <c r="C11" s="111"/>
    </row>
    <row r="12" spans="1:16" ht="15" x14ac:dyDescent="0.25">
      <c r="B12" s="10"/>
      <c r="C12" s="9"/>
      <c r="D12" s="9"/>
      <c r="E12" s="9"/>
      <c r="F12" s="9"/>
      <c r="G12" s="9"/>
      <c r="H12" s="9"/>
      <c r="I12" s="9"/>
      <c r="J12" s="9"/>
      <c r="K12" s="9"/>
      <c r="L12"/>
      <c r="M12"/>
    </row>
    <row r="13" spans="1:16" ht="47.25" customHeight="1" x14ac:dyDescent="0.2">
      <c r="B13" s="292" t="s">
        <v>431</v>
      </c>
      <c r="C13" s="292"/>
      <c r="D13" s="292"/>
      <c r="E13" s="292"/>
      <c r="F13" s="292"/>
      <c r="G13" s="292"/>
      <c r="H13" s="292"/>
      <c r="I13" s="292"/>
      <c r="J13" s="292"/>
      <c r="K13" s="292"/>
      <c r="L13" s="292"/>
      <c r="M13" s="292"/>
    </row>
    <row r="14" spans="1:16" ht="15" x14ac:dyDescent="0.25">
      <c r="B14" s="10"/>
      <c r="C14" s="9"/>
      <c r="D14" s="9"/>
      <c r="E14" s="9"/>
      <c r="F14" s="9"/>
      <c r="G14" s="9"/>
      <c r="H14" s="9"/>
      <c r="I14" s="9"/>
      <c r="J14" s="9"/>
      <c r="K14" s="9"/>
      <c r="L14"/>
      <c r="M14" s="326" t="s">
        <v>238</v>
      </c>
    </row>
    <row r="15" spans="1:16" ht="27.75" customHeight="1" x14ac:dyDescent="0.2">
      <c r="B15" s="257" t="s">
        <v>78</v>
      </c>
      <c r="C15" s="293" t="s">
        <v>196</v>
      </c>
      <c r="D15" s="293" t="s">
        <v>197</v>
      </c>
      <c r="E15" s="269" t="s">
        <v>432</v>
      </c>
      <c r="F15" s="257" t="s">
        <v>433</v>
      </c>
      <c r="G15" s="257" t="s">
        <v>434</v>
      </c>
      <c r="H15" s="269" t="s">
        <v>435</v>
      </c>
      <c r="I15" s="257" t="s">
        <v>193</v>
      </c>
      <c r="J15" s="257" t="s">
        <v>131</v>
      </c>
      <c r="K15" s="261" t="s">
        <v>198</v>
      </c>
      <c r="L15" s="274" t="s">
        <v>437</v>
      </c>
      <c r="M15" s="275"/>
      <c r="O15" s="289" t="s">
        <v>438</v>
      </c>
    </row>
    <row r="16" spans="1:16" ht="93.75" customHeight="1" x14ac:dyDescent="0.2">
      <c r="B16" s="258"/>
      <c r="C16" s="294"/>
      <c r="D16" s="294"/>
      <c r="E16" s="269"/>
      <c r="F16" s="258"/>
      <c r="G16" s="258"/>
      <c r="H16" s="269"/>
      <c r="I16" s="260"/>
      <c r="J16" s="258"/>
      <c r="K16" s="262"/>
      <c r="L16" s="173" t="s">
        <v>168</v>
      </c>
      <c r="M16" s="173" t="s">
        <v>131</v>
      </c>
      <c r="O16" s="290"/>
    </row>
    <row r="17" spans="2:15" x14ac:dyDescent="0.2">
      <c r="B17" s="171">
        <v>1</v>
      </c>
      <c r="C17" s="171">
        <v>2</v>
      </c>
      <c r="D17" s="171">
        <v>3</v>
      </c>
      <c r="E17" s="171">
        <v>4</v>
      </c>
      <c r="F17" s="171"/>
      <c r="G17" s="171"/>
      <c r="H17" s="171">
        <v>5</v>
      </c>
      <c r="I17" s="171">
        <v>6</v>
      </c>
      <c r="J17" s="171">
        <v>7</v>
      </c>
      <c r="K17" s="171">
        <v>8</v>
      </c>
      <c r="L17" s="171">
        <v>9</v>
      </c>
      <c r="M17" s="171">
        <v>10</v>
      </c>
      <c r="O17" s="290"/>
    </row>
    <row r="18" spans="2:15" x14ac:dyDescent="0.2">
      <c r="B18" s="263" t="s">
        <v>199</v>
      </c>
      <c r="C18" s="264"/>
      <c r="D18" s="37" t="s">
        <v>21</v>
      </c>
      <c r="E18" s="37" t="s">
        <v>21</v>
      </c>
      <c r="F18" s="37" t="s">
        <v>21</v>
      </c>
      <c r="G18" s="37" t="s">
        <v>21</v>
      </c>
      <c r="H18" s="37" t="s">
        <v>21</v>
      </c>
      <c r="I18" s="11"/>
      <c r="J18" s="11"/>
      <c r="K18" s="11"/>
      <c r="L18" s="11"/>
      <c r="M18" s="11"/>
      <c r="O18" s="291"/>
    </row>
    <row r="19" spans="2:15" x14ac:dyDescent="0.2">
      <c r="C19" s="111"/>
    </row>
    <row r="20" spans="2:15" x14ac:dyDescent="0.2">
      <c r="C20" s="111"/>
    </row>
    <row r="21" spans="2:15" x14ac:dyDescent="0.2">
      <c r="B21" s="10"/>
      <c r="C21" s="102" t="s">
        <v>234</v>
      </c>
      <c r="D21" s="103"/>
      <c r="E21" s="255"/>
      <c r="F21" s="255"/>
      <c r="G21" s="255"/>
      <c r="H21" s="255"/>
      <c r="I21" s="255"/>
      <c r="J21" s="255"/>
      <c r="K21" s="102"/>
    </row>
    <row r="22" spans="2:15" ht="14.25" customHeight="1" x14ac:dyDescent="0.2">
      <c r="B22" s="10"/>
      <c r="C22" s="102"/>
      <c r="D22" s="104" t="s">
        <v>244</v>
      </c>
      <c r="E22" s="105"/>
      <c r="F22" s="105"/>
      <c r="G22" s="105"/>
      <c r="H22" s="105"/>
      <c r="I22" s="105"/>
      <c r="J22" s="105"/>
      <c r="K22" s="102"/>
    </row>
    <row r="23" spans="2:15" x14ac:dyDescent="0.2">
      <c r="B23" s="10"/>
      <c r="C23" s="102" t="s">
        <v>235</v>
      </c>
      <c r="D23" s="102"/>
      <c r="E23" s="255"/>
      <c r="F23" s="255"/>
      <c r="G23" s="255"/>
      <c r="H23" s="255"/>
      <c r="I23" s="255"/>
      <c r="J23" s="255"/>
      <c r="K23" s="102"/>
    </row>
    <row r="24" spans="2:15" x14ac:dyDescent="0.2">
      <c r="B24" s="10"/>
      <c r="C24" s="102"/>
      <c r="D24" s="104" t="s">
        <v>244</v>
      </c>
      <c r="E24" s="256"/>
      <c r="F24" s="256"/>
      <c r="G24" s="256"/>
      <c r="H24" s="256"/>
      <c r="I24" s="256"/>
      <c r="J24" s="256"/>
      <c r="K24" s="102"/>
    </row>
    <row r="25" spans="2:15" ht="14.25" customHeight="1" x14ac:dyDescent="0.2">
      <c r="B25" s="10"/>
      <c r="C25" s="102"/>
      <c r="D25" s="102"/>
      <c r="E25" s="102"/>
      <c r="F25" s="102"/>
      <c r="G25" s="102"/>
      <c r="H25" s="102"/>
      <c r="I25" s="102"/>
      <c r="J25" s="102"/>
      <c r="K25" s="102"/>
    </row>
  </sheetData>
  <mergeCells count="31">
    <mergeCell ref="O15:O18"/>
    <mergeCell ref="B18:C18"/>
    <mergeCell ref="F6:F7"/>
    <mergeCell ref="G6:G7"/>
    <mergeCell ref="F15:F16"/>
    <mergeCell ref="G15:G16"/>
    <mergeCell ref="B13:M13"/>
    <mergeCell ref="B15:B16"/>
    <mergeCell ref="C15:C16"/>
    <mergeCell ref="D15:D16"/>
    <mergeCell ref="E15:E16"/>
    <mergeCell ref="H15:H16"/>
    <mergeCell ref="I15:I16"/>
    <mergeCell ref="J15:J16"/>
    <mergeCell ref="K15:K16"/>
    <mergeCell ref="L15:M15"/>
    <mergeCell ref="O6:O9"/>
    <mergeCell ref="E21:J21"/>
    <mergeCell ref="E23:J23"/>
    <mergeCell ref="E24:J24"/>
    <mergeCell ref="B4:M4"/>
    <mergeCell ref="B6:B7"/>
    <mergeCell ref="C6:C7"/>
    <mergeCell ref="D6:D7"/>
    <mergeCell ref="E6:E7"/>
    <mergeCell ref="H6:H7"/>
    <mergeCell ref="I6:I7"/>
    <mergeCell ref="J6:J7"/>
    <mergeCell ref="K6:K7"/>
    <mergeCell ref="L6:M6"/>
    <mergeCell ref="B9:C9"/>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20"/>
  <sheetViews>
    <sheetView view="pageBreakPreview" zoomScale="85" zoomScaleNormal="85" zoomScaleSheetLayoutView="85" workbookViewId="0">
      <selection activeCell="B14" sqref="B14:D14"/>
    </sheetView>
  </sheetViews>
  <sheetFormatPr defaultColWidth="9.140625" defaultRowHeight="12.75" x14ac:dyDescent="0.2"/>
  <cols>
    <col min="1" max="1" width="4.5703125" style="1" customWidth="1"/>
    <col min="2" max="2" width="19.7109375" style="1" customWidth="1"/>
    <col min="3" max="3" width="13.28515625" style="1" customWidth="1"/>
    <col min="4" max="4" width="73.42578125" style="1" customWidth="1"/>
    <col min="5" max="5" width="9.7109375" style="2" bestFit="1" customWidth="1"/>
    <col min="6" max="6" width="17" style="1" customWidth="1"/>
    <col min="7" max="7" width="2.140625" style="4" bestFit="1" customWidth="1"/>
    <col min="8" max="8" width="59.42578125" style="133" customWidth="1"/>
    <col min="9" max="9" width="65.140625" style="1" hidden="1" customWidth="1"/>
    <col min="10" max="16384" width="9.140625" style="1"/>
  </cols>
  <sheetData>
    <row r="1" spans="1:9" ht="12.75" customHeight="1" x14ac:dyDescent="0.2">
      <c r="A1" s="9"/>
      <c r="B1" s="32"/>
      <c r="C1" s="32"/>
      <c r="E1" s="32"/>
      <c r="F1" s="249" t="s">
        <v>207</v>
      </c>
      <c r="G1" s="249"/>
    </row>
    <row r="2" spans="1:9" ht="48.75" customHeight="1" x14ac:dyDescent="0.2">
      <c r="A2" s="6"/>
      <c r="B2" s="299" t="s">
        <v>169</v>
      </c>
      <c r="C2" s="300"/>
      <c r="D2" s="300"/>
      <c r="E2" s="300"/>
      <c r="F2" s="300"/>
      <c r="H2" s="146"/>
    </row>
    <row r="3" spans="1:9" ht="62.25" customHeight="1" x14ac:dyDescent="0.2">
      <c r="A3" s="6"/>
      <c r="B3" s="242" t="s">
        <v>101</v>
      </c>
      <c r="C3" s="242"/>
      <c r="D3" s="177"/>
      <c r="E3" s="35" t="s">
        <v>97</v>
      </c>
      <c r="F3" s="33" t="s">
        <v>170</v>
      </c>
      <c r="H3" s="54" t="s">
        <v>202</v>
      </c>
    </row>
    <row r="4" spans="1:9" x14ac:dyDescent="0.2">
      <c r="A4" s="6"/>
      <c r="B4" s="301">
        <v>1</v>
      </c>
      <c r="C4" s="302"/>
      <c r="D4" s="303"/>
      <c r="E4" s="12">
        <v>2</v>
      </c>
      <c r="F4" s="30">
        <v>3</v>
      </c>
      <c r="H4" s="134"/>
      <c r="I4" s="55"/>
    </row>
    <row r="5" spans="1:9" ht="40.5" customHeight="1" x14ac:dyDescent="0.2">
      <c r="A5" s="6"/>
      <c r="B5" s="298" t="s">
        <v>171</v>
      </c>
      <c r="C5" s="298"/>
      <c r="D5" s="298"/>
      <c r="E5" s="13" t="s">
        <v>3</v>
      </c>
      <c r="F5" s="14"/>
      <c r="H5" s="115" t="s">
        <v>275</v>
      </c>
      <c r="I5" s="55"/>
    </row>
    <row r="6" spans="1:9" ht="12.75" customHeight="1" x14ac:dyDescent="0.2">
      <c r="A6" s="6"/>
      <c r="B6" s="295" t="s">
        <v>106</v>
      </c>
      <c r="C6" s="296"/>
      <c r="D6" s="297"/>
      <c r="E6" s="15"/>
      <c r="F6" s="36" t="s">
        <v>21</v>
      </c>
      <c r="H6" s="115"/>
      <c r="I6" s="55"/>
    </row>
    <row r="7" spans="1:9" ht="36.75" customHeight="1" x14ac:dyDescent="0.2">
      <c r="A7" s="6"/>
      <c r="B7" s="295" t="s">
        <v>439</v>
      </c>
      <c r="C7" s="296"/>
      <c r="D7" s="297"/>
      <c r="E7" s="13" t="s">
        <v>4</v>
      </c>
      <c r="F7" s="14"/>
      <c r="H7" s="115" t="s">
        <v>290</v>
      </c>
      <c r="I7" s="55"/>
    </row>
    <row r="8" spans="1:9" ht="37.5" customHeight="1" x14ac:dyDescent="0.2">
      <c r="A8" s="6"/>
      <c r="B8" s="298" t="s">
        <v>172</v>
      </c>
      <c r="C8" s="298"/>
      <c r="D8" s="298"/>
      <c r="E8" s="13" t="s">
        <v>5</v>
      </c>
      <c r="F8" s="14"/>
      <c r="H8" s="115" t="s">
        <v>276</v>
      </c>
      <c r="I8" s="55"/>
    </row>
    <row r="9" spans="1:9" ht="37.5" customHeight="1" x14ac:dyDescent="0.2">
      <c r="A9" s="6"/>
      <c r="B9" s="298" t="s">
        <v>173</v>
      </c>
      <c r="C9" s="298"/>
      <c r="D9" s="298"/>
      <c r="E9" s="13" t="s">
        <v>6</v>
      </c>
      <c r="F9" s="14"/>
      <c r="H9" s="115" t="s">
        <v>277</v>
      </c>
      <c r="I9" s="55"/>
    </row>
    <row r="10" spans="1:9" ht="48" customHeight="1" x14ac:dyDescent="0.2">
      <c r="A10" s="6"/>
      <c r="B10" s="298" t="s">
        <v>174</v>
      </c>
      <c r="C10" s="298"/>
      <c r="D10" s="298"/>
      <c r="E10" s="13" t="s">
        <v>7</v>
      </c>
      <c r="F10" s="14"/>
      <c r="H10" s="115" t="s">
        <v>278</v>
      </c>
      <c r="I10" s="55"/>
    </row>
    <row r="11" spans="1:9" ht="49.5" customHeight="1" x14ac:dyDescent="0.2">
      <c r="A11" s="6"/>
      <c r="B11" s="295" t="s">
        <v>185</v>
      </c>
      <c r="C11" s="296"/>
      <c r="D11" s="297"/>
      <c r="E11" s="24" t="s">
        <v>79</v>
      </c>
      <c r="F11" s="16"/>
      <c r="H11" s="135" t="s">
        <v>279</v>
      </c>
      <c r="I11" s="52" t="s">
        <v>201</v>
      </c>
    </row>
    <row r="12" spans="1:9" ht="50.25" customHeight="1" x14ac:dyDescent="0.2">
      <c r="A12" s="6"/>
      <c r="B12" s="295" t="s">
        <v>188</v>
      </c>
      <c r="C12" s="296"/>
      <c r="D12" s="297"/>
      <c r="E12" s="24" t="s">
        <v>80</v>
      </c>
      <c r="F12" s="16"/>
      <c r="H12" s="135" t="s">
        <v>279</v>
      </c>
      <c r="I12" s="52" t="s">
        <v>201</v>
      </c>
    </row>
    <row r="13" spans="1:9" ht="54.75" customHeight="1" x14ac:dyDescent="0.2">
      <c r="A13" s="6"/>
      <c r="B13" s="295" t="s">
        <v>186</v>
      </c>
      <c r="C13" s="296"/>
      <c r="D13" s="297"/>
      <c r="E13" s="24" t="s">
        <v>187</v>
      </c>
      <c r="F13" s="16"/>
      <c r="H13" s="135" t="s">
        <v>279</v>
      </c>
      <c r="I13" s="52" t="s">
        <v>201</v>
      </c>
    </row>
    <row r="14" spans="1:9" ht="35.25" customHeight="1" x14ac:dyDescent="0.2">
      <c r="A14" s="6"/>
      <c r="B14" s="295" t="s">
        <v>286</v>
      </c>
      <c r="C14" s="296"/>
      <c r="D14" s="297"/>
      <c r="E14" s="24" t="s">
        <v>189</v>
      </c>
      <c r="F14" s="14"/>
      <c r="G14" s="4" t="s">
        <v>200</v>
      </c>
      <c r="H14" s="115" t="s">
        <v>291</v>
      </c>
      <c r="I14" s="55"/>
    </row>
    <row r="15" spans="1:9" ht="17.100000000000001" customHeight="1" x14ac:dyDescent="0.2">
      <c r="A15" s="6"/>
      <c r="B15" s="298" t="s">
        <v>175</v>
      </c>
      <c r="C15" s="298"/>
      <c r="D15" s="298"/>
      <c r="E15" s="24" t="s">
        <v>8</v>
      </c>
      <c r="F15" s="18" t="s">
        <v>21</v>
      </c>
      <c r="G15" s="1"/>
      <c r="H15" s="121"/>
      <c r="I15" s="55"/>
    </row>
    <row r="16" spans="1:9" ht="28.5" customHeight="1" x14ac:dyDescent="0.2">
      <c r="A16" s="6"/>
      <c r="B16" s="295" t="s">
        <v>176</v>
      </c>
      <c r="C16" s="296"/>
      <c r="D16" s="297"/>
      <c r="E16" s="24" t="s">
        <v>26</v>
      </c>
      <c r="F16" s="14"/>
      <c r="G16" s="5"/>
      <c r="H16" s="115" t="s">
        <v>280</v>
      </c>
      <c r="I16" s="55"/>
    </row>
    <row r="17" spans="1:9" ht="35.25" customHeight="1" x14ac:dyDescent="0.2">
      <c r="A17" s="6"/>
      <c r="B17" s="295" t="s">
        <v>177</v>
      </c>
      <c r="C17" s="296"/>
      <c r="D17" s="297"/>
      <c r="E17" s="24" t="s">
        <v>27</v>
      </c>
      <c r="F17" s="14"/>
      <c r="G17" s="5"/>
      <c r="H17" s="115" t="s">
        <v>281</v>
      </c>
      <c r="I17" s="55"/>
    </row>
    <row r="18" spans="1:9" ht="28.5" customHeight="1" x14ac:dyDescent="0.2">
      <c r="A18" s="6"/>
      <c r="B18" s="295" t="s">
        <v>178</v>
      </c>
      <c r="C18" s="296"/>
      <c r="D18" s="297"/>
      <c r="E18" s="24" t="s">
        <v>28</v>
      </c>
      <c r="F18" s="14"/>
      <c r="G18" s="5"/>
      <c r="H18" s="115" t="s">
        <v>282</v>
      </c>
      <c r="I18" s="55"/>
    </row>
    <row r="19" spans="1:9" ht="30.75" customHeight="1" x14ac:dyDescent="0.2">
      <c r="A19" s="6"/>
      <c r="B19" s="295" t="s">
        <v>179</v>
      </c>
      <c r="C19" s="296"/>
      <c r="D19" s="297"/>
      <c r="E19" s="24" t="s">
        <v>29</v>
      </c>
      <c r="F19" s="14"/>
      <c r="G19" s="5"/>
      <c r="H19" s="115" t="s">
        <v>283</v>
      </c>
      <c r="I19" s="55"/>
    </row>
    <row r="20" spans="1:9" ht="37.5" customHeight="1" x14ac:dyDescent="0.2">
      <c r="A20" s="6"/>
      <c r="B20" s="304" t="s">
        <v>180</v>
      </c>
      <c r="C20" s="304"/>
      <c r="D20" s="304"/>
      <c r="E20" s="31" t="s">
        <v>9</v>
      </c>
      <c r="F20" s="14"/>
      <c r="G20" s="5"/>
      <c r="H20" s="115" t="s">
        <v>284</v>
      </c>
      <c r="I20" s="55"/>
    </row>
  </sheetData>
  <mergeCells count="20">
    <mergeCell ref="B20:D20"/>
    <mergeCell ref="B15:D15"/>
    <mergeCell ref="B16:D16"/>
    <mergeCell ref="B9:D9"/>
    <mergeCell ref="B18:D18"/>
    <mergeCell ref="B19:D19"/>
    <mergeCell ref="B17:D17"/>
    <mergeCell ref="B13:D13"/>
    <mergeCell ref="B14:D14"/>
    <mergeCell ref="B11:D11"/>
    <mergeCell ref="B12:D12"/>
    <mergeCell ref="F1:G1"/>
    <mergeCell ref="B6:D6"/>
    <mergeCell ref="B8:D8"/>
    <mergeCell ref="B10:D10"/>
    <mergeCell ref="B2:F2"/>
    <mergeCell ref="B3:D3"/>
    <mergeCell ref="B4:D4"/>
    <mergeCell ref="B5:D5"/>
    <mergeCell ref="B7:D7"/>
  </mergeCells>
  <printOptions horizontalCentered="1"/>
  <pageMargins left="0.19685039370078741" right="0.19685039370078741" top="0.19685039370078741" bottom="0.19685039370078741" header="0.19685039370078741" footer="0.19685039370078741"/>
  <pageSetup paperSize="9" scale="73"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8</vt:i4>
      </vt:variant>
      <vt:variant>
        <vt:lpstr>Именованные диапазоны</vt:lpstr>
      </vt:variant>
      <vt:variant>
        <vt:i4>4</vt:i4>
      </vt:variant>
    </vt:vector>
  </HeadingPairs>
  <TitlesOfParts>
    <vt:vector size="12" baseType="lpstr">
      <vt:lpstr>СВОД</vt:lpstr>
      <vt:lpstr>Ҳисоб-китоб</vt:lpstr>
      <vt:lpstr>1-илова</vt:lpstr>
      <vt:lpstr>2-илова</vt:lpstr>
      <vt:lpstr>3-илова</vt:lpstr>
      <vt:lpstr>4-илова</vt:lpstr>
      <vt:lpstr>5-илова</vt:lpstr>
      <vt:lpstr>6-илова</vt:lpstr>
      <vt:lpstr>'1-илова'!Область_печати</vt:lpstr>
      <vt:lpstr>'2-илова'!Область_печати</vt:lpstr>
      <vt:lpstr>'3-илова'!Область_печати</vt:lpstr>
      <vt:lpstr>'6-илова'!Область_печати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uccer</dc:creator>
  <cp:lastModifiedBy>Toshtemirov Marufjon Erkin o'g'li</cp:lastModifiedBy>
  <cp:lastPrinted>2021-11-08T12:45:33Z</cp:lastPrinted>
  <dcterms:created xsi:type="dcterms:W3CDTF">2013-03-27T11:39:59Z</dcterms:created>
  <dcterms:modified xsi:type="dcterms:W3CDTF">2024-06-04T05:28:55Z</dcterms:modified>
</cp:coreProperties>
</file>