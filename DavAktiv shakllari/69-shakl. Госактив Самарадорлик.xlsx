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Ягона ҳисоботлар тизими\Ҳисоботлар ласт\"/>
    </mc:Choice>
  </mc:AlternateContent>
  <xr:revisionPtr revIDLastSave="0" documentId="13_ncr:1_{09C5FD14-F9F4-42C6-A8B0-608677613426}" xr6:coauthVersionLast="45" xr6:coauthVersionMax="45" xr10:uidLastSave="{00000000-0000-0000-0000-000000000000}"/>
  <bookViews>
    <workbookView xWindow="8610" yWindow="0" windowWidth="17490" windowHeight="15240" xr2:uid="{F66A372B-5FC3-4399-B3F5-9A37EC40122A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G10" i="2"/>
  <c r="G11" i="2"/>
  <c r="G12" i="2"/>
  <c r="G13" i="2"/>
  <c r="G14" i="2"/>
  <c r="G15" i="2"/>
  <c r="G16" i="2"/>
  <c r="G17" i="2"/>
  <c r="G18" i="2"/>
  <c r="F7" i="2"/>
  <c r="F8" i="2"/>
  <c r="F9" i="2"/>
  <c r="F10" i="2"/>
  <c r="F11" i="2"/>
  <c r="F12" i="2"/>
  <c r="F13" i="2"/>
  <c r="F14" i="2"/>
  <c r="F15" i="2"/>
  <c r="F16" i="2"/>
  <c r="F17" i="2"/>
  <c r="F18" i="2"/>
  <c r="F6" i="2"/>
  <c r="G6" i="2" s="1"/>
</calcChain>
</file>

<file path=xl/sharedStrings.xml><?xml version="1.0" encoding="utf-8"?>
<sst xmlns="http://schemas.openxmlformats.org/spreadsheetml/2006/main" count="150" uniqueCount="115">
  <si>
    <t>Ҳисобот тақдим этувчи ташкилот номи</t>
  </si>
  <si>
    <t>Ҳисобот қабул қилувчи ташкилот номи</t>
  </si>
  <si>
    <t>Ҳисобот номи</t>
  </si>
  <si>
    <t>Ҳисобот даври</t>
  </si>
  <si>
    <t>Ҳисоботда сўралаётган асосий маълумотлар</t>
  </si>
  <si>
    <t>Т/р</t>
  </si>
  <si>
    <t>Номланиши</t>
  </si>
  <si>
    <t>Маълумот тақдим этувчи ташкилот</t>
  </si>
  <si>
    <t>Маълумот тақдим этиш тури</t>
  </si>
  <si>
    <t>Чораклик</t>
  </si>
  <si>
    <t>Давлат активларини бошқариш агентлиги</t>
  </si>
  <si>
    <t>Самарадорликнинг муҳим кўрсаткичлари (СМК) бажарилиши тўғрисида ҳисобот</t>
  </si>
  <si>
    <t>Устав капиталида давлат улуши мавжуд хўжалик жамиятлар</t>
  </si>
  <si>
    <t>Sof tushum bo‘yicha prognoz bajarilishi (ming so‘mda)</t>
  </si>
  <si>
    <t>Sof foyda (yoki zarar) bo‘yicha prognoz bajarilishi (ming so‘mda)</t>
  </si>
  <si>
    <t>Aktivlar rentabelligi (%)</t>
  </si>
  <si>
    <t>Mahsulot tannarxini kamaytirish (belgilangan topshiriqqa nisbatan, %da)</t>
  </si>
  <si>
    <t>Ishlab chiqarish quvvatlaridan foydalanish koeffitsienti</t>
  </si>
  <si>
    <t>To‘lovga qobiliylik (qoplash) koeffitsienti</t>
  </si>
  <si>
    <t>Moliyaviy mustaqillik koeffitsienti</t>
  </si>
  <si>
    <t>Dividendlar hisob-kitobi (ming so‘mda)</t>
  </si>
  <si>
    <t xml:space="preserve">Eksport parametrlarini bajarish darajasi (belgilangan topshiriqqa nisbatan, %da) </t>
  </si>
  <si>
    <t>Mahalliylashtirish indikatorini bajarish darajasi (%)</t>
  </si>
  <si>
    <t>Investitsiya dasturlarini amalga oshirish darajasi (%)</t>
  </si>
  <si>
    <t>Chet valyutaga qaramlikdan mustaqillik koeffitsienti</t>
  </si>
  <si>
    <t>Aksiyadorlar investitsiyasining rentabelligi (TSR — umumiy aksiyador daromadi)</t>
  </si>
  <si>
    <t>Foiz va soliqlar to‘lanishidan oldingi foyda</t>
  </si>
  <si>
    <t>Foizlar, soliqlar va amortizatsiya to‘lanishidan oldingi foyda</t>
  </si>
  <si>
    <t>Xarajatlar va daromadlar nisbati</t>
  </si>
  <si>
    <t>Jami jalb qilingan kapital rentabelligi</t>
  </si>
  <si>
    <t>Aksiyadorlik kapitalining rentabelligi</t>
  </si>
  <si>
    <t>Absolyut likvidlik koeffitsienti</t>
  </si>
  <si>
    <t>To‘lov majburiyatlarining aylanish muddati (kunlarda)</t>
  </si>
  <si>
    <t>Qarzdorlikning aylanish muddati (kunlarda)</t>
  </si>
  <si>
    <t>Asosiy vositalarning eskirish koeffitsienti</t>
  </si>
  <si>
    <t>Mehnat unumdorligi</t>
  </si>
  <si>
    <t>Asosiy vositalarni yangilash koeffitsienti</t>
  </si>
  <si>
    <t>Fondlar samaradorligi</t>
  </si>
  <si>
    <t>Umumiy realizatsiya qilingan mahsulot hajmida innovatsion mahsulot ulushi</t>
  </si>
  <si>
    <t>Korxona umumiy xarajatlaridagi innovatsion faoliyat xarajatlari ulushi</t>
  </si>
  <si>
    <t>Bir xodimga to‘g‘ri keladigan xodimlarni o‘qitish xarajatlari</t>
  </si>
  <si>
    <t>Kadrlar aylanishi koeffitsienti</t>
  </si>
  <si>
    <t xml:space="preserve">Ishlab chiqarish quvvatlarini ishga tushirish samaradorlik ko‘rsatkichi (belgilangan hajmga nisbatan, %) </t>
  </si>
  <si>
    <t>Energiya samaradorligi (mahsulot tannarxidagi energiya xarajatlari ulushi)</t>
  </si>
  <si>
    <t>№</t>
  </si>
  <si>
    <t>Показатель</t>
  </si>
  <si>
    <t>Удельный вес *</t>
  </si>
  <si>
    <t>Прогнозное (целевое) значение</t>
  </si>
  <si>
    <t>Фактическое значение</t>
  </si>
  <si>
    <t>Процент выполнения</t>
  </si>
  <si>
    <t>КПЭ</t>
  </si>
  <si>
    <t>А</t>
  </si>
  <si>
    <t>B</t>
  </si>
  <si>
    <t>C</t>
  </si>
  <si>
    <t>D</t>
  </si>
  <si>
    <t>E</t>
  </si>
  <si>
    <t>F=ExB/100</t>
  </si>
  <si>
    <t>1.</t>
  </si>
  <si>
    <t>Выполнение прогноза чистой выручки от реализации (в тыс.сумах)</t>
  </si>
  <si>
    <t>2.</t>
  </si>
  <si>
    <t>Выполнение прогноза чистой прибыли (убытка) (в тыс.сумах)</t>
  </si>
  <si>
    <t>3.</t>
  </si>
  <si>
    <t>Рентабельность активов (%)</t>
  </si>
  <si>
    <t>4.</t>
  </si>
  <si>
    <t>Снижение себестоимости продукции (в % к установленному заданию)</t>
  </si>
  <si>
    <t>5.</t>
  </si>
  <si>
    <t>Коэффициент использования производственных мощностей</t>
  </si>
  <si>
    <t>6.</t>
  </si>
  <si>
    <t>Коэффициент покрытия (платежеспособности)</t>
  </si>
  <si>
    <t>7.</t>
  </si>
  <si>
    <t>Коэффициент финансовой независимости</t>
  </si>
  <si>
    <t>8.</t>
  </si>
  <si>
    <t>Расчет дивидендов (в тыс.сумах)</t>
  </si>
  <si>
    <t>9.</t>
  </si>
  <si>
    <t>Показатель выполнения параметров экспорта (в % к установленному заданию)</t>
  </si>
  <si>
    <t>10.</t>
  </si>
  <si>
    <t>Выполнение индикатора локализации (%)</t>
  </si>
  <si>
    <t>11.</t>
  </si>
  <si>
    <t>Реализация инвестиционных программ (%)**</t>
  </si>
  <si>
    <t>12.</t>
  </si>
  <si>
    <t>Коэффициент независимости от иностранной валюты</t>
  </si>
  <si>
    <t>13.</t>
  </si>
  <si>
    <t>Рентабельность инвестиций акционеров (TSR — Total Shareholders Return)</t>
  </si>
  <si>
    <t>Удельный вес*</t>
  </si>
  <si>
    <t>Прибыль до уплаты процентов, налогов (EBIT — Earnings Before Interest, Taxes)*</t>
  </si>
  <si>
    <t>Прибыльдовычетапроцентов, налоговиамортизации (EBITDA — Earnings Before Interest, Taxes, Depreciation&amp;Amortization)*</t>
  </si>
  <si>
    <t>Соотношение затрат и доходов (CIR — Cost Income Ratio)*</t>
  </si>
  <si>
    <t>Рентабельность привлеченного капитала (ROCE — Return on Capital Employed)*</t>
  </si>
  <si>
    <t>Рентабельность акционерного капитала (ROE — Return On Equity)*</t>
  </si>
  <si>
    <t>Коэффициент абсолютной ликвидности</t>
  </si>
  <si>
    <t>Оборачиваемость кредиторской задолженности в днях</t>
  </si>
  <si>
    <t>Оборачиваемость дебиторской задолженности в днях</t>
  </si>
  <si>
    <t>Коэффициент износа основных средств</t>
  </si>
  <si>
    <t>Производительность труда</t>
  </si>
  <si>
    <t>Коэффициент обновления основных средств</t>
  </si>
  <si>
    <t>Фондоотдача</t>
  </si>
  <si>
    <t>Доля инновационной продукции в общем объеме реализованной продукции</t>
  </si>
  <si>
    <t>14.</t>
  </si>
  <si>
    <t>Доля затрат на инновационную деятельность в общих затратах предприятия</t>
  </si>
  <si>
    <t>15.</t>
  </si>
  <si>
    <t>Затраты на обучение персонала, в расчете на одного работника</t>
  </si>
  <si>
    <t>16.</t>
  </si>
  <si>
    <t>Коэффициент текучести кадров</t>
  </si>
  <si>
    <t>17.</t>
  </si>
  <si>
    <t>Показатель эффективности пуска производственных мощностей (в% от установленного объема) **</t>
  </si>
  <si>
    <t>18.</t>
  </si>
  <si>
    <t>Энергоэффективность (доля затрат на энергию в структуре себестоимости продукции)</t>
  </si>
  <si>
    <t>константа</t>
  </si>
  <si>
    <t>Формула</t>
  </si>
  <si>
    <t>Ручной ввод</t>
  </si>
  <si>
    <t>Солиқ қўмитаси</t>
  </si>
  <si>
    <t>Интеграция + Ручной ввод</t>
  </si>
  <si>
    <t>Пример логического заполнения</t>
  </si>
  <si>
    <t>ПЕРЕЧЕНЬ
основных ключевых показателей эффективности</t>
  </si>
  <si>
    <t>ПЕРЕЧЕНЬ
дополнительных ключевых показателей эффективности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</si>
</sst>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10" fillId="2" borderId="1" xfId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0" fillId="3" borderId="0" xfId="0" applyFill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crollText(5171297)" TargetMode="External"/><Relationship Id="rId2" Type="http://schemas.openxmlformats.org/officeDocument/2006/relationships/hyperlink" Target="javascript:scrollText(5171000)" TargetMode="External"/><Relationship Id="rId1" Type="http://schemas.openxmlformats.org/officeDocument/2006/relationships/hyperlink" Target="javascript:scrollText(5170997)" TargetMode="External"/><Relationship Id="rId5" Type="http://schemas.openxmlformats.org/officeDocument/2006/relationships/hyperlink" Target="javascript:scrollText(5171301)" TargetMode="External"/><Relationship Id="rId4" Type="http://schemas.openxmlformats.org/officeDocument/2006/relationships/hyperlink" Target="javascript:scrollText(5171297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FCBF-0CF0-4F3B-A833-C6CCC21144E7}">
  <dimension ref="A1:D38"/>
  <sheetViews>
    <sheetView tabSelected="1" workbookViewId="0">
      <selection activeCell="B19" sqref="B19"/>
    </sheetView>
  </sheetViews>
  <sheetFormatPr defaultRowHeight="15" x14ac:dyDescent="0.25"/>
  <cols>
    <col min="1" max="1" width="9.42578125" customWidth="1"/>
    <col min="2" max="2" width="61.5703125" customWidth="1"/>
    <col min="3" max="3" width="37" customWidth="1"/>
    <col min="4" max="4" width="29.28515625" customWidth="1"/>
  </cols>
  <sheetData>
    <row r="1" spans="1:4" ht="32.25" customHeight="1" x14ac:dyDescent="0.25">
      <c r="A1" s="16" t="s">
        <v>0</v>
      </c>
      <c r="B1" s="16"/>
      <c r="C1" s="12" t="s">
        <v>12</v>
      </c>
      <c r="D1" s="12"/>
    </row>
    <row r="2" spans="1:4" x14ac:dyDescent="0.25">
      <c r="A2" s="17" t="s">
        <v>1</v>
      </c>
      <c r="B2" s="17"/>
      <c r="C2" s="12" t="s">
        <v>10</v>
      </c>
      <c r="D2" s="12"/>
    </row>
    <row r="3" spans="1:4" ht="33" customHeight="1" x14ac:dyDescent="0.25">
      <c r="A3" s="16" t="s">
        <v>2</v>
      </c>
      <c r="B3" s="16"/>
      <c r="C3" s="12" t="s">
        <v>11</v>
      </c>
      <c r="D3" s="12"/>
    </row>
    <row r="4" spans="1:4" x14ac:dyDescent="0.25">
      <c r="A4" s="10" t="s">
        <v>3</v>
      </c>
      <c r="B4" s="11"/>
      <c r="C4" s="12" t="s">
        <v>9</v>
      </c>
      <c r="D4" s="12"/>
    </row>
    <row r="5" spans="1:4" x14ac:dyDescent="0.25">
      <c r="A5" s="13"/>
      <c r="B5" s="14"/>
      <c r="C5" s="1"/>
      <c r="D5" s="1"/>
    </row>
    <row r="6" spans="1:4" x14ac:dyDescent="0.25">
      <c r="A6" s="15" t="s">
        <v>4</v>
      </c>
      <c r="B6" s="15"/>
      <c r="C6" s="15" t="s">
        <v>7</v>
      </c>
      <c r="D6" s="15" t="s">
        <v>8</v>
      </c>
    </row>
    <row r="7" spans="1:4" x14ac:dyDescent="0.25">
      <c r="A7" s="2" t="s">
        <v>5</v>
      </c>
      <c r="B7" s="3" t="s">
        <v>6</v>
      </c>
      <c r="C7" s="15"/>
      <c r="D7" s="15"/>
    </row>
    <row r="8" spans="1:4" x14ac:dyDescent="0.25">
      <c r="A8" s="4">
        <v>1</v>
      </c>
      <c r="B8" s="5" t="s">
        <v>13</v>
      </c>
      <c r="C8" s="6"/>
      <c r="D8" s="6"/>
    </row>
    <row r="9" spans="1:4" x14ac:dyDescent="0.25">
      <c r="A9" s="4">
        <v>2</v>
      </c>
      <c r="B9" s="7" t="s">
        <v>14</v>
      </c>
      <c r="C9" s="6"/>
      <c r="D9" s="6"/>
    </row>
    <row r="10" spans="1:4" x14ac:dyDescent="0.25">
      <c r="A10" s="4">
        <v>3</v>
      </c>
      <c r="B10" s="7" t="s">
        <v>15</v>
      </c>
      <c r="C10" s="6"/>
      <c r="D10" s="6"/>
    </row>
    <row r="11" spans="1:4" ht="30" x14ac:dyDescent="0.25">
      <c r="A11" s="4">
        <v>4</v>
      </c>
      <c r="B11" s="7" t="s">
        <v>16</v>
      </c>
      <c r="C11" s="8"/>
      <c r="D11" s="6"/>
    </row>
    <row r="12" spans="1:4" ht="33.75" customHeight="1" x14ac:dyDescent="0.25">
      <c r="A12" s="4">
        <v>5</v>
      </c>
      <c r="B12" s="7" t="s">
        <v>17</v>
      </c>
      <c r="C12" s="8"/>
      <c r="D12" s="6"/>
    </row>
    <row r="13" spans="1:4" x14ac:dyDescent="0.25">
      <c r="A13" s="4">
        <v>6</v>
      </c>
      <c r="B13" s="7" t="s">
        <v>18</v>
      </c>
      <c r="C13" s="8"/>
      <c r="D13" s="6"/>
    </row>
    <row r="14" spans="1:4" x14ac:dyDescent="0.25">
      <c r="A14" s="4">
        <v>7</v>
      </c>
      <c r="B14" s="7" t="s">
        <v>19</v>
      </c>
      <c r="C14" s="8"/>
      <c r="D14" s="6"/>
    </row>
    <row r="15" spans="1:4" x14ac:dyDescent="0.25">
      <c r="A15" s="4">
        <v>8</v>
      </c>
      <c r="B15" s="7" t="s">
        <v>20</v>
      </c>
      <c r="C15" s="6"/>
      <c r="D15" s="6"/>
    </row>
    <row r="16" spans="1:4" ht="30" x14ac:dyDescent="0.25">
      <c r="A16" s="4">
        <v>9</v>
      </c>
      <c r="B16" s="7" t="s">
        <v>21</v>
      </c>
      <c r="C16" s="6"/>
      <c r="D16" s="6"/>
    </row>
    <row r="17" spans="1:4" x14ac:dyDescent="0.25">
      <c r="A17" s="4">
        <v>10</v>
      </c>
      <c r="B17" s="7" t="s">
        <v>22</v>
      </c>
      <c r="C17" s="6"/>
      <c r="D17" s="6"/>
    </row>
    <row r="18" spans="1:4" x14ac:dyDescent="0.25">
      <c r="A18" s="4">
        <v>11</v>
      </c>
      <c r="B18" s="7" t="s">
        <v>23</v>
      </c>
      <c r="C18" s="6"/>
      <c r="D18" s="6"/>
    </row>
    <row r="19" spans="1:4" x14ac:dyDescent="0.25">
      <c r="A19" s="4">
        <v>12</v>
      </c>
      <c r="B19" s="7" t="s">
        <v>24</v>
      </c>
      <c r="C19" s="6"/>
      <c r="D19" s="6"/>
    </row>
    <row r="20" spans="1:4" ht="30" x14ac:dyDescent="0.25">
      <c r="A20" s="4">
        <v>13</v>
      </c>
      <c r="B20" s="7" t="s">
        <v>25</v>
      </c>
      <c r="C20" s="8"/>
      <c r="D20" s="8"/>
    </row>
    <row r="21" spans="1:4" x14ac:dyDescent="0.25">
      <c r="A21" s="4">
        <v>14</v>
      </c>
      <c r="B21" s="7" t="s">
        <v>26</v>
      </c>
      <c r="C21" s="8"/>
      <c r="D21" s="8"/>
    </row>
    <row r="22" spans="1:4" x14ac:dyDescent="0.25">
      <c r="A22" s="4">
        <v>15</v>
      </c>
      <c r="B22" s="7" t="s">
        <v>27</v>
      </c>
      <c r="C22" s="8"/>
      <c r="D22" s="8"/>
    </row>
    <row r="23" spans="1:4" x14ac:dyDescent="0.25">
      <c r="A23" s="4">
        <v>16</v>
      </c>
      <c r="B23" s="7" t="s">
        <v>28</v>
      </c>
      <c r="C23" s="8"/>
      <c r="D23" s="8"/>
    </row>
    <row r="24" spans="1:4" x14ac:dyDescent="0.25">
      <c r="A24" s="4">
        <v>17</v>
      </c>
      <c r="B24" s="7" t="s">
        <v>29</v>
      </c>
      <c r="C24" s="8"/>
      <c r="D24" s="8"/>
    </row>
    <row r="25" spans="1:4" x14ac:dyDescent="0.25">
      <c r="A25" s="4">
        <v>18</v>
      </c>
      <c r="B25" s="7" t="s">
        <v>30</v>
      </c>
      <c r="C25" s="8"/>
      <c r="D25" s="8"/>
    </row>
    <row r="26" spans="1:4" x14ac:dyDescent="0.25">
      <c r="A26" s="4">
        <v>19</v>
      </c>
      <c r="B26" s="7" t="s">
        <v>31</v>
      </c>
      <c r="C26" s="8"/>
      <c r="D26" s="8"/>
    </row>
    <row r="27" spans="1:4" x14ac:dyDescent="0.25">
      <c r="A27" s="4">
        <v>20</v>
      </c>
      <c r="B27" s="7" t="s">
        <v>32</v>
      </c>
      <c r="C27" s="8"/>
      <c r="D27" s="8"/>
    </row>
    <row r="28" spans="1:4" x14ac:dyDescent="0.25">
      <c r="A28" s="4">
        <v>21</v>
      </c>
      <c r="B28" s="7" t="s">
        <v>33</v>
      </c>
      <c r="C28" s="8"/>
      <c r="D28" s="8"/>
    </row>
    <row r="29" spans="1:4" x14ac:dyDescent="0.25">
      <c r="A29" s="4">
        <v>22</v>
      </c>
      <c r="B29" s="7" t="s">
        <v>34</v>
      </c>
      <c r="C29" s="8"/>
      <c r="D29" s="8"/>
    </row>
    <row r="30" spans="1:4" x14ac:dyDescent="0.25">
      <c r="A30" s="4">
        <v>23</v>
      </c>
      <c r="B30" s="7" t="s">
        <v>35</v>
      </c>
      <c r="C30" s="8"/>
      <c r="D30" s="8"/>
    </row>
    <row r="31" spans="1:4" x14ac:dyDescent="0.25">
      <c r="A31" s="4">
        <v>24</v>
      </c>
      <c r="B31" s="7" t="s">
        <v>36</v>
      </c>
      <c r="C31" s="9"/>
      <c r="D31" s="9"/>
    </row>
    <row r="32" spans="1:4" x14ac:dyDescent="0.25">
      <c r="A32" s="4">
        <v>25</v>
      </c>
      <c r="B32" s="7" t="s">
        <v>37</v>
      </c>
      <c r="C32" s="9"/>
      <c r="D32" s="9"/>
    </row>
    <row r="33" spans="1:4" ht="30" x14ac:dyDescent="0.25">
      <c r="A33" s="4">
        <v>26</v>
      </c>
      <c r="B33" s="7" t="s">
        <v>38</v>
      </c>
      <c r="C33" s="9"/>
      <c r="D33" s="9"/>
    </row>
    <row r="34" spans="1:4" x14ac:dyDescent="0.25">
      <c r="A34" s="4">
        <v>27</v>
      </c>
      <c r="B34" s="7" t="s">
        <v>39</v>
      </c>
      <c r="C34" s="9"/>
      <c r="D34" s="9"/>
    </row>
    <row r="35" spans="1:4" x14ac:dyDescent="0.25">
      <c r="A35" s="4">
        <v>28</v>
      </c>
      <c r="B35" s="7" t="s">
        <v>40</v>
      </c>
      <c r="C35" s="9"/>
      <c r="D35" s="9"/>
    </row>
    <row r="36" spans="1:4" x14ac:dyDescent="0.25">
      <c r="A36" s="4">
        <v>29</v>
      </c>
      <c r="B36" s="7" t="s">
        <v>41</v>
      </c>
      <c r="C36" s="9"/>
      <c r="D36" s="9"/>
    </row>
    <row r="37" spans="1:4" ht="30" x14ac:dyDescent="0.25">
      <c r="A37" s="4">
        <v>30</v>
      </c>
      <c r="B37" s="7" t="s">
        <v>42</v>
      </c>
      <c r="C37" s="9"/>
      <c r="D37" s="9"/>
    </row>
    <row r="38" spans="1:4" ht="30" x14ac:dyDescent="0.25">
      <c r="A38" s="4">
        <v>31</v>
      </c>
      <c r="B38" s="7" t="s">
        <v>43</v>
      </c>
      <c r="C38" s="9"/>
      <c r="D38" s="9"/>
    </row>
  </sheetData>
  <mergeCells count="12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A6:B6"/>
    <mergeCell ref="C6:C7"/>
    <mergeCell ref="D6:D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6FBB-196D-440B-AC4C-1F7B88B3BFB0}">
  <dimension ref="A2:H44"/>
  <sheetViews>
    <sheetView workbookViewId="0">
      <selection activeCell="D9" sqref="D9"/>
    </sheetView>
  </sheetViews>
  <sheetFormatPr defaultRowHeight="15" x14ac:dyDescent="0.25"/>
  <cols>
    <col min="1" max="1" width="7.42578125" customWidth="1"/>
    <col min="2" max="2" width="32.42578125" customWidth="1"/>
    <col min="3" max="3" width="10" bestFit="1" customWidth="1"/>
    <col min="4" max="4" width="21.140625" customWidth="1"/>
    <col min="5" max="5" width="16.7109375" customWidth="1"/>
    <col min="6" max="6" width="17.7109375" customWidth="1"/>
    <col min="7" max="7" width="15.85546875" customWidth="1"/>
    <col min="8" max="8" width="18.85546875" customWidth="1"/>
  </cols>
  <sheetData>
    <row r="2" spans="1:8" ht="33" customHeight="1" x14ac:dyDescent="0.25">
      <c r="A2" s="30" t="s">
        <v>113</v>
      </c>
      <c r="B2" s="29"/>
      <c r="C2" s="29"/>
      <c r="D2" s="29"/>
      <c r="E2" s="29"/>
      <c r="F2" s="29"/>
      <c r="G2" s="29"/>
    </row>
    <row r="4" spans="1:8" ht="94.5" x14ac:dyDescent="0.25">
      <c r="A4" s="18" t="s">
        <v>44</v>
      </c>
      <c r="B4" s="19" t="s">
        <v>45</v>
      </c>
      <c r="C4" s="20" t="s">
        <v>46</v>
      </c>
      <c r="D4" s="19" t="s">
        <v>47</v>
      </c>
      <c r="E4" s="19" t="s">
        <v>48</v>
      </c>
      <c r="F4" s="19" t="s">
        <v>49</v>
      </c>
      <c r="G4" s="19" t="s">
        <v>50</v>
      </c>
    </row>
    <row r="5" spans="1:8" ht="31.5" x14ac:dyDescent="0.25">
      <c r="A5" s="21"/>
      <c r="B5" s="19" t="s">
        <v>51</v>
      </c>
      <c r="C5" s="19" t="s">
        <v>52</v>
      </c>
      <c r="D5" s="19" t="s">
        <v>53</v>
      </c>
      <c r="E5" s="19" t="s">
        <v>54</v>
      </c>
      <c r="F5" s="19" t="s">
        <v>55</v>
      </c>
      <c r="G5" s="19" t="s">
        <v>56</v>
      </c>
    </row>
    <row r="6" spans="1:8" ht="47.25" x14ac:dyDescent="0.25">
      <c r="A6" s="22" t="s">
        <v>57</v>
      </c>
      <c r="B6" s="23" t="s">
        <v>58</v>
      </c>
      <c r="C6" s="22">
        <v>5</v>
      </c>
      <c r="D6" s="26">
        <v>100</v>
      </c>
      <c r="E6" s="26">
        <v>90</v>
      </c>
      <c r="F6" s="26">
        <f>E6/D6*100</f>
        <v>90</v>
      </c>
      <c r="G6" s="26">
        <f>F6*C6/100</f>
        <v>4.5</v>
      </c>
      <c r="H6" s="27" t="s">
        <v>112</v>
      </c>
    </row>
    <row r="7" spans="1:8" ht="47.25" x14ac:dyDescent="0.25">
      <c r="A7" s="22" t="s">
        <v>59</v>
      </c>
      <c r="B7" s="23" t="s">
        <v>60</v>
      </c>
      <c r="C7" s="22">
        <v>15</v>
      </c>
      <c r="D7" s="21"/>
      <c r="E7" s="21"/>
      <c r="F7" s="21" t="e">
        <f t="shared" ref="F7:F18" si="0">E7/D7*100</f>
        <v>#DIV/0!</v>
      </c>
      <c r="G7" s="28" t="e">
        <f t="shared" ref="G7:G18" si="1">F7*C7/100</f>
        <v>#DIV/0!</v>
      </c>
    </row>
    <row r="8" spans="1:8" ht="15.75" x14ac:dyDescent="0.25">
      <c r="A8" s="22" t="s">
        <v>61</v>
      </c>
      <c r="B8" s="23" t="s">
        <v>62</v>
      </c>
      <c r="C8" s="22">
        <v>5</v>
      </c>
      <c r="D8" s="21"/>
      <c r="E8" s="21"/>
      <c r="F8" s="21" t="e">
        <f t="shared" si="0"/>
        <v>#DIV/0!</v>
      </c>
      <c r="G8" s="28" t="e">
        <f t="shared" si="1"/>
        <v>#DIV/0!</v>
      </c>
    </row>
    <row r="9" spans="1:8" ht="47.25" x14ac:dyDescent="0.25">
      <c r="A9" s="22" t="s">
        <v>63</v>
      </c>
      <c r="B9" s="23" t="s">
        <v>64</v>
      </c>
      <c r="C9" s="22">
        <v>10</v>
      </c>
      <c r="D9" s="21"/>
      <c r="E9" s="21"/>
      <c r="F9" s="21" t="e">
        <f t="shared" si="0"/>
        <v>#DIV/0!</v>
      </c>
      <c r="G9" s="28" t="e">
        <f t="shared" si="1"/>
        <v>#DIV/0!</v>
      </c>
    </row>
    <row r="10" spans="1:8" ht="31.5" x14ac:dyDescent="0.25">
      <c r="A10" s="22" t="s">
        <v>65</v>
      </c>
      <c r="B10" s="23" t="s">
        <v>66</v>
      </c>
      <c r="C10" s="22">
        <v>10</v>
      </c>
      <c r="D10" s="21"/>
      <c r="E10" s="21"/>
      <c r="F10" s="21" t="e">
        <f t="shared" si="0"/>
        <v>#DIV/0!</v>
      </c>
      <c r="G10" s="28" t="e">
        <f t="shared" si="1"/>
        <v>#DIV/0!</v>
      </c>
    </row>
    <row r="11" spans="1:8" ht="31.5" x14ac:dyDescent="0.25">
      <c r="A11" s="22" t="s">
        <v>67</v>
      </c>
      <c r="B11" s="23" t="s">
        <v>68</v>
      </c>
      <c r="C11" s="22">
        <v>5</v>
      </c>
      <c r="D11" s="21"/>
      <c r="E11" s="21"/>
      <c r="F11" s="21" t="e">
        <f t="shared" si="0"/>
        <v>#DIV/0!</v>
      </c>
      <c r="G11" s="28" t="e">
        <f t="shared" si="1"/>
        <v>#DIV/0!</v>
      </c>
    </row>
    <row r="12" spans="1:8" ht="31.5" x14ac:dyDescent="0.25">
      <c r="A12" s="22" t="s">
        <v>69</v>
      </c>
      <c r="B12" s="23" t="s">
        <v>70</v>
      </c>
      <c r="C12" s="22">
        <v>5</v>
      </c>
      <c r="D12" s="21"/>
      <c r="E12" s="21"/>
      <c r="F12" s="21" t="e">
        <f t="shared" si="0"/>
        <v>#DIV/0!</v>
      </c>
      <c r="G12" s="28" t="e">
        <f t="shared" si="1"/>
        <v>#DIV/0!</v>
      </c>
    </row>
    <row r="13" spans="1:8" ht="31.5" x14ac:dyDescent="0.25">
      <c r="A13" s="22" t="s">
        <v>71</v>
      </c>
      <c r="B13" s="23" t="s">
        <v>72</v>
      </c>
      <c r="C13" s="22">
        <v>10</v>
      </c>
      <c r="D13" s="21"/>
      <c r="E13" s="21"/>
      <c r="F13" s="21" t="e">
        <f t="shared" si="0"/>
        <v>#DIV/0!</v>
      </c>
      <c r="G13" s="28" t="e">
        <f t="shared" si="1"/>
        <v>#DIV/0!</v>
      </c>
    </row>
    <row r="14" spans="1:8" ht="47.25" x14ac:dyDescent="0.25">
      <c r="A14" s="22" t="s">
        <v>73</v>
      </c>
      <c r="B14" s="23" t="s">
        <v>74</v>
      </c>
      <c r="C14" s="22">
        <v>10</v>
      </c>
      <c r="D14" s="21"/>
      <c r="E14" s="21"/>
      <c r="F14" s="21" t="e">
        <f t="shared" si="0"/>
        <v>#DIV/0!</v>
      </c>
      <c r="G14" s="28" t="e">
        <f t="shared" si="1"/>
        <v>#DIV/0!</v>
      </c>
    </row>
    <row r="15" spans="1:8" ht="31.5" x14ac:dyDescent="0.25">
      <c r="A15" s="22" t="s">
        <v>75</v>
      </c>
      <c r="B15" s="23" t="s">
        <v>76</v>
      </c>
      <c r="C15" s="22">
        <v>10</v>
      </c>
      <c r="D15" s="21"/>
      <c r="E15" s="21"/>
      <c r="F15" s="21" t="e">
        <f t="shared" si="0"/>
        <v>#DIV/0!</v>
      </c>
      <c r="G15" s="28" t="e">
        <f t="shared" si="1"/>
        <v>#DIV/0!</v>
      </c>
    </row>
    <row r="16" spans="1:8" ht="30" x14ac:dyDescent="0.25">
      <c r="A16" s="22" t="s">
        <v>77</v>
      </c>
      <c r="B16" s="24" t="s">
        <v>78</v>
      </c>
      <c r="C16" s="22">
        <v>5</v>
      </c>
      <c r="D16" s="21"/>
      <c r="E16" s="21"/>
      <c r="F16" s="21" t="e">
        <f t="shared" si="0"/>
        <v>#DIV/0!</v>
      </c>
      <c r="G16" s="28" t="e">
        <f t="shared" si="1"/>
        <v>#DIV/0!</v>
      </c>
    </row>
    <row r="17" spans="1:8" ht="31.5" x14ac:dyDescent="0.25">
      <c r="A17" s="22" t="s">
        <v>79</v>
      </c>
      <c r="B17" s="23" t="s">
        <v>80</v>
      </c>
      <c r="C17" s="22">
        <v>5</v>
      </c>
      <c r="D17" s="21"/>
      <c r="E17" s="21"/>
      <c r="F17" s="21" t="e">
        <f t="shared" si="0"/>
        <v>#DIV/0!</v>
      </c>
      <c r="G17" s="28" t="e">
        <f t="shared" si="1"/>
        <v>#DIV/0!</v>
      </c>
    </row>
    <row r="18" spans="1:8" ht="47.25" x14ac:dyDescent="0.25">
      <c r="A18" s="22" t="s">
        <v>81</v>
      </c>
      <c r="B18" s="23" t="s">
        <v>82</v>
      </c>
      <c r="C18" s="22">
        <v>5</v>
      </c>
      <c r="D18" s="21"/>
      <c r="E18" s="21"/>
      <c r="F18" s="21" t="e">
        <f t="shared" si="0"/>
        <v>#DIV/0!</v>
      </c>
      <c r="G18" s="28" t="e">
        <f t="shared" si="1"/>
        <v>#DIV/0!</v>
      </c>
    </row>
    <row r="19" spans="1:8" x14ac:dyDescent="0.25">
      <c r="C19" t="s">
        <v>107</v>
      </c>
      <c r="D19" t="s">
        <v>109</v>
      </c>
      <c r="E19" t="s">
        <v>109</v>
      </c>
      <c r="F19" t="s">
        <v>108</v>
      </c>
      <c r="G19" t="s">
        <v>108</v>
      </c>
    </row>
    <row r="22" spans="1:8" ht="33" customHeight="1" x14ac:dyDescent="0.25">
      <c r="A22" s="30" t="s">
        <v>114</v>
      </c>
      <c r="B22" s="29"/>
      <c r="C22" s="29"/>
      <c r="D22" s="29"/>
      <c r="E22" s="29"/>
      <c r="F22" s="29"/>
      <c r="G22" s="29"/>
    </row>
    <row r="24" spans="1:8" ht="31.5" x14ac:dyDescent="0.25">
      <c r="A24" s="25" t="s">
        <v>44</v>
      </c>
      <c r="B24" s="22" t="s">
        <v>45</v>
      </c>
      <c r="C24" s="20" t="s">
        <v>83</v>
      </c>
      <c r="D24" s="22" t="s">
        <v>47</v>
      </c>
      <c r="E24" s="22" t="s">
        <v>48</v>
      </c>
      <c r="F24" s="22" t="s">
        <v>49</v>
      </c>
      <c r="G24" s="22" t="s">
        <v>50</v>
      </c>
    </row>
    <row r="25" spans="1:8" ht="15.75" x14ac:dyDescent="0.25">
      <c r="A25" s="21"/>
      <c r="B25" s="22" t="s">
        <v>51</v>
      </c>
      <c r="C25" s="22" t="s">
        <v>52</v>
      </c>
      <c r="D25" s="22" t="s">
        <v>53</v>
      </c>
      <c r="E25" s="22" t="s">
        <v>54</v>
      </c>
      <c r="F25" s="22" t="s">
        <v>55</v>
      </c>
      <c r="G25" s="22" t="s">
        <v>56</v>
      </c>
    </row>
    <row r="26" spans="1:8" ht="45" x14ac:dyDescent="0.25">
      <c r="A26" s="22" t="s">
        <v>57</v>
      </c>
      <c r="B26" s="24" t="s">
        <v>84</v>
      </c>
      <c r="C26" s="21"/>
      <c r="D26" s="21"/>
      <c r="E26" s="21"/>
      <c r="F26" s="21"/>
      <c r="G26" s="21"/>
      <c r="H26" t="s">
        <v>110</v>
      </c>
    </row>
    <row r="27" spans="1:8" ht="78.75" x14ac:dyDescent="0.25">
      <c r="A27" s="22" t="s">
        <v>59</v>
      </c>
      <c r="B27" s="23" t="s">
        <v>85</v>
      </c>
      <c r="C27" s="21"/>
      <c r="D27" s="21"/>
      <c r="E27" s="21"/>
      <c r="F27" s="21"/>
      <c r="G27" s="21"/>
      <c r="H27" t="s">
        <v>110</v>
      </c>
    </row>
    <row r="28" spans="1:8" ht="31.5" x14ac:dyDescent="0.25">
      <c r="A28" s="22" t="s">
        <v>61</v>
      </c>
      <c r="B28" s="23" t="s">
        <v>86</v>
      </c>
      <c r="C28" s="21"/>
      <c r="D28" s="21"/>
      <c r="E28" s="21"/>
      <c r="F28" s="21"/>
      <c r="G28" s="21"/>
      <c r="H28" t="s">
        <v>110</v>
      </c>
    </row>
    <row r="29" spans="1:8" ht="47.25" x14ac:dyDescent="0.25">
      <c r="A29" s="22" t="s">
        <v>63</v>
      </c>
      <c r="B29" s="23" t="s">
        <v>87</v>
      </c>
      <c r="C29" s="21"/>
      <c r="D29" s="21"/>
      <c r="E29" s="21"/>
      <c r="F29" s="21"/>
      <c r="G29" s="21"/>
      <c r="H29" t="s">
        <v>110</v>
      </c>
    </row>
    <row r="30" spans="1:8" ht="47.25" x14ac:dyDescent="0.25">
      <c r="A30" s="22" t="s">
        <v>65</v>
      </c>
      <c r="B30" s="23" t="s">
        <v>88</v>
      </c>
      <c r="C30" s="21"/>
      <c r="D30" s="21"/>
      <c r="E30" s="21"/>
      <c r="F30" s="21"/>
      <c r="G30" s="21"/>
      <c r="H30" t="s">
        <v>110</v>
      </c>
    </row>
    <row r="31" spans="1:8" ht="31.5" x14ac:dyDescent="0.25">
      <c r="A31" s="22" t="s">
        <v>67</v>
      </c>
      <c r="B31" s="23" t="s">
        <v>89</v>
      </c>
      <c r="C31" s="21"/>
      <c r="D31" s="21"/>
      <c r="E31" s="21"/>
      <c r="F31" s="21"/>
      <c r="G31" s="21"/>
    </row>
    <row r="32" spans="1:8" ht="47.25" x14ac:dyDescent="0.25">
      <c r="A32" s="22" t="s">
        <v>69</v>
      </c>
      <c r="B32" s="23" t="s">
        <v>90</v>
      </c>
      <c r="C32" s="21"/>
      <c r="D32" s="21"/>
      <c r="E32" s="21"/>
      <c r="F32" s="21"/>
      <c r="G32" s="21"/>
    </row>
    <row r="33" spans="1:7" ht="31.5" x14ac:dyDescent="0.25">
      <c r="A33" s="22" t="s">
        <v>71</v>
      </c>
      <c r="B33" s="23" t="s">
        <v>91</v>
      </c>
      <c r="C33" s="21"/>
      <c r="D33" s="21"/>
      <c r="E33" s="21"/>
      <c r="F33" s="21"/>
      <c r="G33" s="21"/>
    </row>
    <row r="34" spans="1:7" ht="31.5" x14ac:dyDescent="0.25">
      <c r="A34" s="22" t="s">
        <v>73</v>
      </c>
      <c r="B34" s="23" t="s">
        <v>92</v>
      </c>
      <c r="C34" s="21"/>
      <c r="D34" s="21"/>
      <c r="E34" s="21"/>
      <c r="F34" s="21"/>
      <c r="G34" s="21"/>
    </row>
    <row r="35" spans="1:7" ht="15.75" x14ac:dyDescent="0.25">
      <c r="A35" s="22" t="s">
        <v>75</v>
      </c>
      <c r="B35" s="23" t="s">
        <v>93</v>
      </c>
      <c r="C35" s="21"/>
      <c r="D35" s="21"/>
      <c r="E35" s="21"/>
      <c r="F35" s="21"/>
      <c r="G35" s="21"/>
    </row>
    <row r="36" spans="1:7" ht="31.5" x14ac:dyDescent="0.25">
      <c r="A36" s="22" t="s">
        <v>77</v>
      </c>
      <c r="B36" s="23" t="s">
        <v>94</v>
      </c>
      <c r="C36" s="21"/>
      <c r="D36" s="21"/>
      <c r="E36" s="21"/>
      <c r="F36" s="21"/>
      <c r="G36" s="21"/>
    </row>
    <row r="37" spans="1:7" ht="15.75" x14ac:dyDescent="0.25">
      <c r="A37" s="22" t="s">
        <v>79</v>
      </c>
      <c r="B37" s="23" t="s">
        <v>95</v>
      </c>
      <c r="C37" s="21"/>
      <c r="D37" s="21"/>
      <c r="E37" s="21"/>
      <c r="F37" s="21"/>
      <c r="G37" s="21"/>
    </row>
    <row r="38" spans="1:7" ht="47.25" x14ac:dyDescent="0.25">
      <c r="A38" s="22" t="s">
        <v>81</v>
      </c>
      <c r="B38" s="23" t="s">
        <v>96</v>
      </c>
      <c r="C38" s="21"/>
      <c r="D38" s="21"/>
      <c r="E38" s="21"/>
      <c r="F38" s="21"/>
      <c r="G38" s="21"/>
    </row>
    <row r="39" spans="1:7" ht="47.25" x14ac:dyDescent="0.25">
      <c r="A39" s="22" t="s">
        <v>97</v>
      </c>
      <c r="B39" s="23" t="s">
        <v>98</v>
      </c>
      <c r="C39" s="21"/>
      <c r="D39" s="21"/>
      <c r="E39" s="21"/>
      <c r="F39" s="21"/>
      <c r="G39" s="21"/>
    </row>
    <row r="40" spans="1:7" ht="47.25" x14ac:dyDescent="0.25">
      <c r="A40" s="22" t="s">
        <v>99</v>
      </c>
      <c r="B40" s="23" t="s">
        <v>100</v>
      </c>
      <c r="C40" s="21"/>
      <c r="D40" s="21"/>
      <c r="E40" s="21"/>
      <c r="F40" s="21"/>
      <c r="G40" s="21"/>
    </row>
    <row r="41" spans="1:7" ht="15.75" x14ac:dyDescent="0.25">
      <c r="A41" s="22" t="s">
        <v>101</v>
      </c>
      <c r="B41" s="23" t="s">
        <v>102</v>
      </c>
      <c r="C41" s="21"/>
      <c r="D41" s="21"/>
      <c r="E41" s="21"/>
      <c r="F41" s="21"/>
      <c r="G41" s="21"/>
    </row>
    <row r="42" spans="1:7" ht="60" x14ac:dyDescent="0.25">
      <c r="A42" s="22" t="s">
        <v>103</v>
      </c>
      <c r="B42" s="24" t="s">
        <v>104</v>
      </c>
      <c r="C42" s="21"/>
      <c r="D42" s="21"/>
      <c r="E42" s="21"/>
      <c r="F42" s="21"/>
      <c r="G42" s="21"/>
    </row>
    <row r="43" spans="1:7" ht="47.25" x14ac:dyDescent="0.25">
      <c r="A43" s="22" t="s">
        <v>105</v>
      </c>
      <c r="B43" s="23" t="s">
        <v>106</v>
      </c>
      <c r="C43" s="21"/>
      <c r="D43" s="21"/>
      <c r="E43" s="21"/>
      <c r="F43" s="21"/>
      <c r="G43" s="21"/>
    </row>
    <row r="44" spans="1:7" x14ac:dyDescent="0.25">
      <c r="C44" t="s">
        <v>109</v>
      </c>
      <c r="D44" t="s">
        <v>111</v>
      </c>
      <c r="E44" t="s">
        <v>109</v>
      </c>
      <c r="F44" t="s">
        <v>108</v>
      </c>
      <c r="G44" t="s">
        <v>108</v>
      </c>
    </row>
  </sheetData>
  <mergeCells count="2">
    <mergeCell ref="A2:G2"/>
    <mergeCell ref="A22:G22"/>
  </mergeCells>
  <hyperlinks>
    <hyperlink ref="C4" r:id="rId1" display="javascript:scrollText(5170997)" xr:uid="{BF41018B-1AD5-4CDD-AD1A-3597A966DC74}"/>
    <hyperlink ref="B16" r:id="rId2" display="javascript:scrollText(5171000)" xr:uid="{46213EE8-A8DE-44F4-B67D-B813C1F3BF9E}"/>
    <hyperlink ref="C24" r:id="rId3" display="javascript:scrollText(5171297)" xr:uid="{59A738DF-4981-41E1-ACA9-46E41B1128BF}"/>
    <hyperlink ref="B26" r:id="rId4" display="javascript:scrollText(5171297)" xr:uid="{7B296CCB-06DE-48F7-A193-7A68E8CC83D9}"/>
    <hyperlink ref="B42" r:id="rId5" display="javascript:scrollText(5171301)" xr:uid="{956A0B54-7F70-49B1-BDAD-E187D0F1E1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Аброр Б. Шазимов</dc:creator>
  <cp:lastModifiedBy>Аброр Б. Шазимов</cp:lastModifiedBy>
  <dcterms:created xsi:type="dcterms:W3CDTF">2025-08-21T12:33:55Z</dcterms:created>
  <dcterms:modified xsi:type="dcterms:W3CDTF">2025-08-26T09:43:27Z</dcterms:modified>
</cp:coreProperties>
</file>