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.63.40\balance\SVT_BAZA\Qodirov F\00. Joriy topshiriq va masalalar\12. PQ 8 Raqamli texnologiyalar vazirligi\02. shakl va talabnoma taqdim etish uchun\"/>
    </mc:Choice>
  </mc:AlternateContent>
  <bookViews>
    <workbookView xWindow="0" yWindow="0" windowWidth="28800" windowHeight="12030"/>
  </bookViews>
  <sheets>
    <sheet name="3-Илова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__K84445" localSheetId="0">#REF!</definedName>
    <definedName name="__K84445">#REF!</definedName>
    <definedName name="__KOP1" localSheetId="0">[1]Корректировки!#REF!</definedName>
    <definedName name="__KOP1">[1]Корректировки!#REF!</definedName>
    <definedName name="__kop8" localSheetId="0">'[2]Расчет БО на 1.01.99'!#REF!</definedName>
    <definedName name="__kop8">'[2]Расчет БО на 1.01.99'!#REF!</definedName>
    <definedName name="__Kv1" localSheetId="0">#REF!</definedName>
    <definedName name="__Kv1">#REF!</definedName>
    <definedName name="__Kv2" localSheetId="0">#REF!</definedName>
    <definedName name="__Kv2">#REF!</definedName>
    <definedName name="__Kv3" localSheetId="0">#REF!</definedName>
    <definedName name="__Kv3">#REF!</definedName>
    <definedName name="__Kv4" localSheetId="0">#REF!</definedName>
    <definedName name="__Kv4">#REF!</definedName>
    <definedName name="__NBU17" localSheetId="0">#REF!</definedName>
    <definedName name="__NBU17">#REF!</definedName>
    <definedName name="__RNP306350" localSheetId="0">#REF!</definedName>
    <definedName name="__RNP306350">#REF!</definedName>
    <definedName name="__RNP306836" localSheetId="0">#REF!</definedName>
    <definedName name="__RNP306836">#REF!</definedName>
    <definedName name="__RNP307342" localSheetId="0">#REF!</definedName>
    <definedName name="__RNP307342">#REF!</definedName>
    <definedName name="__RNP307831" localSheetId="0">#REF!</definedName>
    <definedName name="__RNP307831">#REF!</definedName>
    <definedName name="__Sum1">[3]ToPrint!$V$45</definedName>
    <definedName name="__Sum2">[3]ToPrint!$W$45</definedName>
    <definedName name="__USD1">'[4]5 транш'!$B$54</definedName>
    <definedName name="_30.09.1996" localSheetId="0">#REF!</definedName>
    <definedName name="_30.09.1996">#REF!</definedName>
    <definedName name="_3StartDialogModule_.cbSelectDirPressed" localSheetId="0">[5]!'[StartDialogModule].cbSelectDirPressed'</definedName>
    <definedName name="_3StartDialogModule_.cbSelectDirPressed">[5]!'[StartDialogModule].cbSelectDirPressed'</definedName>
    <definedName name="_K84445" localSheetId="0">#REF!</definedName>
    <definedName name="_K84445">#REF!</definedName>
    <definedName name="_KOP1" localSheetId="0">[1]Корректировки!#REF!</definedName>
    <definedName name="_KOP1">[1]Корректировки!#REF!</definedName>
    <definedName name="_kop8" localSheetId="0">'[2]Расчет БО на 1.01.99'!#REF!</definedName>
    <definedName name="_kop8">'[2]Расчет БО на 1.01.99'!#REF!</definedName>
    <definedName name="_Kv1" localSheetId="0">#REF!</definedName>
    <definedName name="_Kv1">#REF!</definedName>
    <definedName name="_Kv2" localSheetId="0">#REF!</definedName>
    <definedName name="_Kv2">#REF!</definedName>
    <definedName name="_Kv3" localSheetId="0">#REF!</definedName>
    <definedName name="_Kv3">#REF!</definedName>
    <definedName name="_Kv4" localSheetId="0">#REF!</definedName>
    <definedName name="_Kv4">#REF!</definedName>
    <definedName name="_NBU17" localSheetId="0">#REF!</definedName>
    <definedName name="_NBU17">#REF!</definedName>
    <definedName name="_Order1" hidden="1">255</definedName>
    <definedName name="_RNP306350" localSheetId="0">#REF!</definedName>
    <definedName name="_RNP306350">#REF!</definedName>
    <definedName name="_RNP306836" localSheetId="0">#REF!</definedName>
    <definedName name="_RNP306836">#REF!</definedName>
    <definedName name="_RNP307342" localSheetId="0">#REF!</definedName>
    <definedName name="_RNP307342">#REF!</definedName>
    <definedName name="_RNP307831" localSheetId="0">#REF!</definedName>
    <definedName name="_RNP307831">#REF!</definedName>
    <definedName name="_Sum1">[3]ToPrint!$V$45</definedName>
    <definedName name="_Sum2">[3]ToPrint!$W$45</definedName>
    <definedName name="_USD1">'[4]5 транш'!$B$54</definedName>
    <definedName name="_держ">[6]ДСП!$B$40:$B$224</definedName>
    <definedName name="a" localSheetId="0">[7]a1108209!#REF!</definedName>
    <definedName name="a">[7]a1108209!#REF!</definedName>
    <definedName name="a6\" localSheetId="0">[7]a1108209!#REF!</definedName>
    <definedName name="a6\">[7]a1108209!#REF!</definedName>
    <definedName name="aaaa6" localSheetId="0">[7]a1108209!#REF!</definedName>
    <definedName name="aaaa6">[7]a1108209!#REF!</definedName>
    <definedName name="aaaaa8" localSheetId="0">[7]a1108209!#REF!</definedName>
    <definedName name="aaaaa8">[7]a1108209!#REF!</definedName>
    <definedName name="AccessDatabase" hidden="1">"C:\My Documents\vlad\Var_2\can270398v2t05.mdb"</definedName>
    <definedName name="Accrue" hidden="1">{#N/A,#N/A,FALSE,"Basisdaten Schadensätze";#N/A,#N/A,FALSE,"Schad.Satz";#N/A,#N/A,FALSE,"SchdSatzAufs.Behörde";#N/A,#N/A,FALSE,"Schd.SatzAufs.Beh.intausend"}</definedName>
    <definedName name="ACT" localSheetId="0">#REF!</definedName>
    <definedName name="ACT">#REF!</definedName>
    <definedName name="Active_0" localSheetId="0">#REF!</definedName>
    <definedName name="Active_0">#REF!</definedName>
    <definedName name="ADJCOLUMN">[8]calculation!$A$5:$A$211</definedName>
    <definedName name="ADJCOLUMN2">[9]Adjustments!$A$5:$A$70</definedName>
    <definedName name="ADJHEADER" localSheetId="0">#REF!</definedName>
    <definedName name="ADJHEADER">#REF!</definedName>
    <definedName name="ADJUSTER2">[9]Adjustments!$A$1:$BB$4</definedName>
    <definedName name="ADJUSTS" localSheetId="0">#REF!</definedName>
    <definedName name="ADJUSTS">#REF!</definedName>
    <definedName name="ADJUSTS2">[9]Adjustments!$B$5:$BB$75</definedName>
    <definedName name="alumina_mt" localSheetId="0">#REF!</definedName>
    <definedName name="alumina_mt">#REF!</definedName>
    <definedName name="alumina_price" localSheetId="0">#REF!</definedName>
    <definedName name="alumina_price">#REF!</definedName>
    <definedName name="anscount" hidden="1">1</definedName>
    <definedName name="AS2DocOpenMode" hidden="1">"AS2DocumentEdit"</definedName>
    <definedName name="ask">[10]Bloomberg!$A$1:$C$155</definedName>
    <definedName name="b" localSheetId="0">[7]a1108209!#REF!</definedName>
    <definedName name="b">[7]a1108209!#REF!</definedName>
    <definedName name="BANK_CASH" localSheetId="0">#REF!</definedName>
    <definedName name="BANK_CASH">#REF!</definedName>
    <definedName name="Basa306350" localSheetId="0">#REF!</definedName>
    <definedName name="Basa306350">#REF!</definedName>
    <definedName name="Basa306836" localSheetId="0">#REF!</definedName>
    <definedName name="Basa306836">#REF!</definedName>
    <definedName name="Basa307342" localSheetId="0">#REF!</definedName>
    <definedName name="Basa307342">#REF!</definedName>
    <definedName name="Basa307831" localSheetId="0">#REF!</definedName>
    <definedName name="Basa307831">#REF!</definedName>
    <definedName name="BasaCredit" localSheetId="0">#REF!</definedName>
    <definedName name="BasaCredit">#REF!</definedName>
    <definedName name="BasaGenerali" localSheetId="0">#REF!</definedName>
    <definedName name="BasaGenerali">#REF!</definedName>
    <definedName name="BasaLine" localSheetId="0">#REF!</definedName>
    <definedName name="BasaLine">#REF!</definedName>
    <definedName name="BasaMRe" localSheetId="0">#REF!</definedName>
    <definedName name="BasaMRe">#REF!</definedName>
    <definedName name="BasaRe" localSheetId="0">#REF!</definedName>
    <definedName name="BasaRe">#REF!</definedName>
    <definedName name="BasaReOut" localSheetId="0">#REF!</definedName>
    <definedName name="BasaReOut">#REF!</definedName>
    <definedName name="base" localSheetId="0">#REF!</definedName>
    <definedName name="base">#REF!</definedName>
    <definedName name="bbbbb">[0]!USD/1.701</definedName>
    <definedName name="Brutto306350" localSheetId="0">#REF!</definedName>
    <definedName name="Brutto306350">#REF!</definedName>
    <definedName name="Brutto306836" localSheetId="0">#REF!</definedName>
    <definedName name="Brutto306836">#REF!</definedName>
    <definedName name="Brutto307342" localSheetId="0">#REF!</definedName>
    <definedName name="Brutto307342">#REF!</definedName>
    <definedName name="Brutto307831" localSheetId="0">#REF!</definedName>
    <definedName name="Brutto307831">#REF!</definedName>
    <definedName name="BruttoCredit" localSheetId="0">#REF!</definedName>
    <definedName name="BruttoCredit">#REF!</definedName>
    <definedName name="BruttoGenerali" localSheetId="0">#REF!</definedName>
    <definedName name="BruttoGenerali">#REF!</definedName>
    <definedName name="BruttoLine" localSheetId="0">#REF!</definedName>
    <definedName name="BruttoLine">#REF!</definedName>
    <definedName name="BruttoMRe" localSheetId="0">#REF!</definedName>
    <definedName name="BruttoMRe">#REF!</definedName>
    <definedName name="BruttoRe" localSheetId="0">#REF!</definedName>
    <definedName name="BruttoRe">#REF!</definedName>
    <definedName name="BruttoReOut" localSheetId="0">#REF!</definedName>
    <definedName name="BruttoReOut">#REF!</definedName>
    <definedName name="Budget_2000">#N/A</definedName>
    <definedName name="Button_130">"can270398v2t05_Выпуск__реализация__запасы_Таблица"</definedName>
    <definedName name="Calender">"Picture 5"</definedName>
    <definedName name="CASHFLOW" localSheetId="0">#REF!</definedName>
    <definedName name="CASHFLOW">#REF!</definedName>
    <definedName name="cbCancel_Click" localSheetId="0">[11]!cbCancel_Click</definedName>
    <definedName name="cbCancel_Click">[11]!cbCancel_Click</definedName>
    <definedName name="cbOKClick" localSheetId="0">[12]!cbOKClick</definedName>
    <definedName name="cbOKClick">[12]!cbOKClick</definedName>
    <definedName name="cbSelectDirPressed" localSheetId="0">[11]!cbSelectDirPressed</definedName>
    <definedName name="cbSelectDirPressed">[11]!cbSelectDirPressed</definedName>
    <definedName name="cbSummarizeClick" localSheetId="0">[11]!cbSummarizeClick</definedName>
    <definedName name="cbSummarizeClick">[11]!cbSummarizeClick</definedName>
    <definedName name="cf_09" localSheetId="0">#REF!</definedName>
    <definedName name="cf_09">#REF!</definedName>
    <definedName name="cf_2" localSheetId="0">#REF!</definedName>
    <definedName name="cf_2">#REF!</definedName>
    <definedName name="cf_200" localSheetId="0">#REF!</definedName>
    <definedName name="cf_200">#REF!</definedName>
    <definedName name="cf_III" localSheetId="0">#REF!</definedName>
    <definedName name="cf_III">#REF!</definedName>
    <definedName name="CFCALC" localSheetId="0">#REF!</definedName>
    <definedName name="CFCALC">#REF!</definedName>
    <definedName name="CFCALC2" localSheetId="0">#REF!</definedName>
    <definedName name="CFCALC2">#REF!</definedName>
    <definedName name="CFCALCHEAD" localSheetId="0">#REF!</definedName>
    <definedName name="CFCALCHEAD">#REF!</definedName>
    <definedName name="CFHEADER" localSheetId="0">#REF!</definedName>
    <definedName name="CFHEADER">#REF!</definedName>
    <definedName name="CFm" localSheetId="0">#REF!</definedName>
    <definedName name="CFm">#REF!</definedName>
    <definedName name="ch" localSheetId="0">[5]!'[StartDialogModule].cbSelectDirPressed'</definedName>
    <definedName name="ch">[5]!'[StartDialogModule].cbSelectDirPressed'</definedName>
    <definedName name="cip" localSheetId="0">#REF!</definedName>
    <definedName name="cip">#REF!</definedName>
    <definedName name="Coef" localSheetId="0">#REF!</definedName>
    <definedName name="Coef">#REF!</definedName>
    <definedName name="Coeff_CP" localSheetId="0">#REF!</definedName>
    <definedName name="Coeff_CP">#REF!</definedName>
    <definedName name="Comm306350" localSheetId="0">#REF!</definedName>
    <definedName name="Comm306350">#REF!</definedName>
    <definedName name="Comm306836" localSheetId="0">#REF!</definedName>
    <definedName name="Comm306836">#REF!</definedName>
    <definedName name="Comm307342" localSheetId="0">#REF!</definedName>
    <definedName name="Comm307342">#REF!</definedName>
    <definedName name="Comm307831" localSheetId="0">#REF!</definedName>
    <definedName name="Comm307831">#REF!</definedName>
    <definedName name="CP_Min" localSheetId="0">#REF!</definedName>
    <definedName name="CP_Min">#REF!</definedName>
    <definedName name="CurDate">[3]ToPrint!$S$1</definedName>
    <definedName name="d">[0]!USD/1.701</definedName>
    <definedName name="d_r" localSheetId="0">#REF!</definedName>
    <definedName name="d_r">#REF!</definedName>
    <definedName name="Database1">[3]ToPrint!$A$8:$R$46</definedName>
    <definedName name="DataLine" localSheetId="0">#REF!</definedName>
    <definedName name="DataLine">#REF!</definedName>
    <definedName name="date" localSheetId="0">#REF!</definedName>
    <definedName name="date">#REF!</definedName>
    <definedName name="date1" localSheetId="0">#REF!</definedName>
    <definedName name="date1">#REF!</definedName>
    <definedName name="date2" localSheetId="0">#REF!</definedName>
    <definedName name="date2">#REF!</definedName>
    <definedName name="db" localSheetId="0">'[13]Оборотный баланс'!#REF!</definedName>
    <definedName name="db">'[13]Оборотный баланс'!#REF!</definedName>
    <definedName name="db0" localSheetId="0">'[13]Оборотный баланс'!#REF!</definedName>
    <definedName name="db0">'[13]Оборотный баланс'!#REF!</definedName>
    <definedName name="db0y" localSheetId="0">#REF!</definedName>
    <definedName name="db0y">#REF!</definedName>
    <definedName name="dbase" localSheetId="0">#REF!</definedName>
    <definedName name="dbase">#REF!</definedName>
    <definedName name="DBCredit" localSheetId="0">#REF!</definedName>
    <definedName name="DBCredit">#REF!</definedName>
    <definedName name="dbdb" localSheetId="0">#REF!</definedName>
    <definedName name="dbdb">#REF!</definedName>
    <definedName name="DBGenerali" localSheetId="0">#REF!</definedName>
    <definedName name="DBGenerali">#REF!</definedName>
    <definedName name="DBLine" localSheetId="0">#REF!</definedName>
    <definedName name="DBLine">#REF!</definedName>
    <definedName name="DBMRe" localSheetId="0">#REF!</definedName>
    <definedName name="DBMRe">#REF!</definedName>
    <definedName name="DBRe" localSheetId="0">#REF!</definedName>
    <definedName name="DBRe">#REF!</definedName>
    <definedName name="DBReOut" localSheetId="0">#REF!</definedName>
    <definedName name="DBReOut">#REF!</definedName>
    <definedName name="ddlbMonthChange" localSheetId="0">[11]!ddlbMonthChange</definedName>
    <definedName name="ddlbMonthChange">[11]!ddlbMonthChange</definedName>
    <definedName name="DECredit" localSheetId="0">#REF!</definedName>
    <definedName name="DECredit">#REF!</definedName>
    <definedName name="DEGenerali" localSheetId="0">#REF!</definedName>
    <definedName name="DEGenerali">#REF!</definedName>
    <definedName name="DELine" localSheetId="0">#REF!</definedName>
    <definedName name="DELine">#REF!</definedName>
    <definedName name="DEMRe" localSheetId="0">#REF!</definedName>
    <definedName name="DEMRe">#REF!</definedName>
    <definedName name="DEPOSITS" localSheetId="0">#REF!</definedName>
    <definedName name="DEPOSITS">#REF!</definedName>
    <definedName name="DERe" localSheetId="0">#REF!</definedName>
    <definedName name="DERe">#REF!</definedName>
    <definedName name="DEReOut" localSheetId="0">#REF!</definedName>
    <definedName name="DEReOut">#REF!</definedName>
    <definedName name="dfb">[0]!USD/1.701</definedName>
    <definedName name="dima" localSheetId="0">[14]a1108209!#REF!</definedName>
    <definedName name="dima">[14]a1108209!#REF!</definedName>
    <definedName name="discont" localSheetId="0">#REF!</definedName>
    <definedName name="discont">#REF!</definedName>
    <definedName name="DM">[0]!USD/1.701</definedName>
    <definedName name="DMRUR" localSheetId="0">#REF!</definedName>
    <definedName name="DMRUR">#REF!</definedName>
    <definedName name="DT" localSheetId="0">#REF!</definedName>
    <definedName name="DT">#REF!</definedName>
    <definedName name="E_rates">#N/A</definedName>
    <definedName name="ee" localSheetId="0">#REF!</definedName>
    <definedName name="ee">#REF!</definedName>
    <definedName name="eger" hidden="1">{#N/A,#N/A,FALSE,"Basisdaten Schadensätze";#N/A,#N/A,FALSE,"Schad.Satz";#N/A,#N/A,FALSE,"SchdSatzAufs.Behörde";#N/A,#N/A,FALSE,"Schd.SatzAufs.Beh.intausend"}</definedName>
    <definedName name="EndOfReport" localSheetId="0">'[1]Приложение 5 (ф113)'!#REF!</definedName>
    <definedName name="EndOfReport">'[1]Приложение 5 (ф113)'!#REF!</definedName>
    <definedName name="ergerg" hidden="1">{#N/A,#N/A,FALSE,"Bilanz 31.12.1996 Verein";#N/A,#N/A,FALSE,"Erfolgsrechnung 1996 Verein"}</definedName>
    <definedName name="EUR">'[15]Резервы на 31_12_04'!$D$7</definedName>
    <definedName name="ewfw" hidden="1">{#N/A,#N/A,FALSE,"Lohnberechnung";#N/A,#N/A,FALSE,"Basisdaten"}</definedName>
    <definedName name="export_year" localSheetId="0">#REF!</definedName>
    <definedName name="export_year">#REF!</definedName>
    <definedName name="f">[0]!USD/1.701</definedName>
    <definedName name="FDF">[0]!USD/1.701</definedName>
    <definedName name="fdfgdg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Female_b0" localSheetId="0">#REF!</definedName>
    <definedName name="Female_b0">#REF!</definedName>
    <definedName name="Female_b1" localSheetId="0">#REF!</definedName>
    <definedName name="Female_b1">#REF!</definedName>
    <definedName name="Female_b2" localSheetId="0">#REF!</definedName>
    <definedName name="Female_b2">#REF!</definedName>
    <definedName name="Female_b3" localSheetId="0">#REF!</definedName>
    <definedName name="Female_b3">#REF!</definedName>
    <definedName name="femaleProc_0" localSheetId="0">#REF!</definedName>
    <definedName name="femaleProc_0">#REF!</definedName>
    <definedName name="femaleProc_1" localSheetId="0">#REF!</definedName>
    <definedName name="femaleProc_1">#REF!</definedName>
    <definedName name="femaleProc_2" localSheetId="0">#REF!</definedName>
    <definedName name="femaleProc_2">#REF!</definedName>
    <definedName name="femaleProc_3" localSheetId="0">#REF!</definedName>
    <definedName name="femaleProc_3">#REF!</definedName>
    <definedName name="femaleRate_1" localSheetId="0">#REF!</definedName>
    <definedName name="femaleRate_1">#REF!</definedName>
    <definedName name="femaleRate_2" localSheetId="0">#REF!</definedName>
    <definedName name="femaleRate_2">#REF!</definedName>
    <definedName name="femaleRate_3" localSheetId="0">#REF!</definedName>
    <definedName name="femaleRate_3">#REF!</definedName>
    <definedName name="FIXEDASSETS" localSheetId="0">#REF!</definedName>
    <definedName name="FIXEDASSETS">#REF!</definedName>
    <definedName name="FondFlow" localSheetId="0">#REF!</definedName>
    <definedName name="FondFlow">#REF!</definedName>
    <definedName name="Form_211" localSheetId="0">#REF!</definedName>
    <definedName name="Form_211">#REF!</definedName>
    <definedName name="Form_214_40" localSheetId="0">#REF!</definedName>
    <definedName name="Form_214_40">#REF!</definedName>
    <definedName name="Form_214_41" localSheetId="0">#REF!</definedName>
    <definedName name="Form_214_41">#REF!</definedName>
    <definedName name="Form_215" localSheetId="0">#REF!</definedName>
    <definedName name="Form_215">#REF!</definedName>
    <definedName name="Form_626_p" localSheetId="0">#REF!</definedName>
    <definedName name="Form_626_p">#REF!</definedName>
    <definedName name="Format_info" localSheetId="0">#REF!</definedName>
    <definedName name="Format_info">#REF!</definedName>
    <definedName name="Furniture" localSheetId="0">[16]Tabelle1!#REF!</definedName>
    <definedName name="Furniture">[16]Tabelle1!#REF!</definedName>
    <definedName name="fwfe" hidden="1">{#N/A,#N/A,FALSE,"Bilanz 31.12.1996 AG";#N/A,#N/A,FALSE,"SU-LV Solvabilität";#N/A,#N/A,FALSE,"Erfolgsrechnung 1996 der AG"}</definedName>
    <definedName name="G">[0]!USD/1.701</definedName>
    <definedName name="gazp_report" localSheetId="0">'[17]Gazprom on SPBEX-RTS'!#REF!</definedName>
    <definedName name="gazp_report">'[17]Gazprom on SPBEX-RTS'!#REF!</definedName>
    <definedName name="gg" localSheetId="0">#REF!</definedName>
    <definedName name="gg">#REF!</definedName>
    <definedName name="ggs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gs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h">kk/1.81</definedName>
    <definedName name="hh">[0]!USD/1.701</definedName>
    <definedName name="IC" localSheetId="0">'[18]Pension cost (2)31.12.2003'!#REF!</definedName>
    <definedName name="IC">'[18]Pension cost (2)31.12.2003'!#REF!</definedName>
    <definedName name="IF2_FinRes_LosExp" localSheetId="0">#REF!</definedName>
    <definedName name="IF2_FinRes_LosExp">#REF!</definedName>
    <definedName name="IF3_Cap_AdjBegAccrProf" localSheetId="0">#REF!</definedName>
    <definedName name="IF3_Cap_AdjBegAccrProf">#REF!</definedName>
    <definedName name="IF3_Cap_AdjBegResCap" localSheetId="0">#REF!</definedName>
    <definedName name="IF3_Cap_AdjBegResCap">#REF!</definedName>
    <definedName name="IF3_Cap_BegShare" localSheetId="0">#REF!</definedName>
    <definedName name="IF3_Cap_BegShare">#REF!</definedName>
    <definedName name="IF3_Cap_IntMAccrProf" localSheetId="0">#REF!</definedName>
    <definedName name="IF3_Cap_IntMAccrProf">#REF!</definedName>
    <definedName name="IF3_Cap_IntMResCap" localSheetId="0">#REF!</definedName>
    <definedName name="IF3_Cap_IntMResCap">#REF!</definedName>
    <definedName name="IF3_Cap_OwnEqShare" localSheetId="0">#REF!</definedName>
    <definedName name="IF3_Cap_OwnEqShare">#REF!</definedName>
    <definedName name="IF3_Cap_RepAccrProf" localSheetId="0">#REF!</definedName>
    <definedName name="IF3_Cap_RepAccrProf">#REF!</definedName>
    <definedName name="iii">kk/1.81</definedName>
    <definedName name="IIIKV" localSheetId="0">#REF!</definedName>
    <definedName name="IIIKV">#REF!</definedName>
    <definedName name="IIKV" localSheetId="0">#REF!</definedName>
    <definedName name="IIKV">#REF!</definedName>
    <definedName name="IKV" localSheetId="0">#REF!</definedName>
    <definedName name="IKV">#REF!</definedName>
    <definedName name="Indicator">[3]ToPrint!$X$45</definedName>
    <definedName name="InsuranceCompany" localSheetId="0">'[18]Pension cost 31.12.2004'!#REF!</definedName>
    <definedName name="InsuranceCompany">'[18]Pension cost 31.12.2004'!#REF!</definedName>
    <definedName name="INVESTMENTS" localSheetId="0">#REF!</definedName>
    <definedName name="INVESTMENTS">#REF!</definedName>
    <definedName name="IVKV" localSheetId="0">#REF!</definedName>
    <definedName name="IVKV">#REF!</definedName>
    <definedName name="jk" localSheetId="0">#REF!</definedName>
    <definedName name="jk">#REF!</definedName>
    <definedName name="kk">[19]Коэфф!$B$1</definedName>
    <definedName name="kl" hidden="1">{#N/A,#N/A,FALSE,"Lohnberechnung";#N/A,#N/A,FALSE,"Basisdaten"}</definedName>
    <definedName name="KommCredit" localSheetId="0">#REF!</definedName>
    <definedName name="KommCredit">#REF!</definedName>
    <definedName name="KommLine" localSheetId="0">#REF!</definedName>
    <definedName name="KommLine">#REF!</definedName>
    <definedName name="KommRe" localSheetId="0">#REF!</definedName>
    <definedName name="KommRe">#REF!</definedName>
    <definedName name="KOPA26">[20]Корректир.!$B$37</definedName>
    <definedName name="kopB10" localSheetId="0">[1]Корректировки!#REF!</definedName>
    <definedName name="kopB10">[1]Корректировки!#REF!</definedName>
    <definedName name="kopB15" localSheetId="0">[1]Корректировки!#REF!</definedName>
    <definedName name="kopB15">[1]Корректировки!#REF!</definedName>
    <definedName name="kopB16" localSheetId="0">[1]Корректировки!#REF!</definedName>
    <definedName name="kopB16">[1]Корректировки!#REF!</definedName>
    <definedName name="kopB17" localSheetId="0">[1]Корректировки!#REF!</definedName>
    <definedName name="kopB17">[1]Корректировки!#REF!</definedName>
    <definedName name="kopB3" localSheetId="0">[1]Корректировки!#REF!</definedName>
    <definedName name="kopB3">[1]Корректировки!#REF!</definedName>
    <definedName name="kopB4" localSheetId="0">[1]Корректировки!#REF!</definedName>
    <definedName name="kopB4">[1]Корректировки!#REF!</definedName>
    <definedName name="kopB5" localSheetId="0">[1]Корректировки!#REF!</definedName>
    <definedName name="kopB5">[1]Корректировки!#REF!</definedName>
    <definedName name="kopB6" localSheetId="0">[1]Корректировки!#REF!</definedName>
    <definedName name="kopB6">[1]Корректировки!#REF!</definedName>
    <definedName name="kopB7" localSheetId="0">[1]Корректировки!#REF!</definedName>
    <definedName name="kopB7">[1]Корректировки!#REF!</definedName>
    <definedName name="kopB8" localSheetId="0">[1]Корректировки!#REF!</definedName>
    <definedName name="kopB8">[1]Корректировки!#REF!</definedName>
    <definedName name="kopB9" localSheetId="0">[1]Корректировки!#REF!</definedName>
    <definedName name="kopB9">[1]Корректировки!#REF!</definedName>
    <definedName name="kurs" localSheetId="0">#REF!</definedName>
    <definedName name="kurs">#REF!</definedName>
    <definedName name="Kvartal306350" localSheetId="0">#REF!</definedName>
    <definedName name="Kvartal306350">#REF!</definedName>
    <definedName name="Kvartal306836" localSheetId="0">#REF!</definedName>
    <definedName name="Kvartal306836">#REF!</definedName>
    <definedName name="Kvartal307342" localSheetId="0">#REF!</definedName>
    <definedName name="Kvartal307342">#REF!</definedName>
    <definedName name="Kvartal307831" localSheetId="0">#REF!</definedName>
    <definedName name="Kvartal307831">#REF!</definedName>
    <definedName name="KvartalCredit" localSheetId="0">#REF!</definedName>
    <definedName name="KvartalCredit">#REF!</definedName>
    <definedName name="KvartalGenerali" localSheetId="0">#REF!</definedName>
    <definedName name="KvartalGenerali">#REF!</definedName>
    <definedName name="KvartalLine" localSheetId="0">#REF!</definedName>
    <definedName name="KvartalLine">#REF!</definedName>
    <definedName name="KvartalMRe" localSheetId="0">#REF!</definedName>
    <definedName name="KvartalMRe">#REF!</definedName>
    <definedName name="KvartalRe" localSheetId="0">#REF!</definedName>
    <definedName name="KvartalRe">#REF!</definedName>
    <definedName name="KvartalReOut" localSheetId="0">#REF!</definedName>
    <definedName name="KvartalReOut">#REF!</definedName>
    <definedName name="l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libir6m" localSheetId="0">[21]балансAL!#REF!</definedName>
    <definedName name="libir6m">[21]балансAL!#REF!</definedName>
    <definedName name="limcount" hidden="1">1</definedName>
    <definedName name="LME" localSheetId="0">#REF!</definedName>
    <definedName name="LME">#REF!</definedName>
    <definedName name="load" localSheetId="0">#REF!</definedName>
    <definedName name="load">#REF!</definedName>
    <definedName name="LOANS_ADVANCES" localSheetId="0">#REF!</definedName>
    <definedName name="LOANS_ADVANCES">#REF!</definedName>
    <definedName name="Male_b0" localSheetId="0">#REF!</definedName>
    <definedName name="Male_b0">#REF!</definedName>
    <definedName name="Male_b1" localSheetId="0">#REF!</definedName>
    <definedName name="Male_b1">#REF!</definedName>
    <definedName name="Male_b2" localSheetId="0">#REF!</definedName>
    <definedName name="Male_b2">#REF!</definedName>
    <definedName name="Male_b3" localSheetId="0">#REF!</definedName>
    <definedName name="Male_b3">#REF!</definedName>
    <definedName name="maleProc_0" localSheetId="0">#REF!</definedName>
    <definedName name="maleProc_0">#REF!</definedName>
    <definedName name="maleProc_1" localSheetId="0">#REF!</definedName>
    <definedName name="maleProc_1">#REF!</definedName>
    <definedName name="maleProc_2" localSheetId="0">#REF!</definedName>
    <definedName name="maleProc_2">#REF!</definedName>
    <definedName name="maleProc_3" localSheetId="0">#REF!</definedName>
    <definedName name="maleProc_3">#REF!</definedName>
    <definedName name="maleRate_1" localSheetId="0">#REF!</definedName>
    <definedName name="maleRate_1">#REF!</definedName>
    <definedName name="maleRate_2" localSheetId="0">#REF!</definedName>
    <definedName name="maleRate_2">#REF!</definedName>
    <definedName name="maleRate_3" localSheetId="0">#REF!</definedName>
    <definedName name="maleRate_3">#REF!</definedName>
    <definedName name="Map">[22]Map!$A$1:$F$38</definedName>
    <definedName name="MortalTable" localSheetId="0">'[18]Pension cost 31.12.2004'!#REF!</definedName>
    <definedName name="MortalTable">'[18]Pension cost 31.12.2004'!#REF!</definedName>
    <definedName name="MortalTable_1998" localSheetId="0">'[18]Pension cost 31.12.2004'!#REF!</definedName>
    <definedName name="MortalTable_1998">'[18]Pension cost 31.12.2004'!#REF!</definedName>
    <definedName name="n" localSheetId="0">[13]РВД!#REF!</definedName>
    <definedName name="n">[13]РВД!#REF!</definedName>
    <definedName name="nn">kk/1.81</definedName>
    <definedName name="not_on_list" localSheetId="0">#REF!</definedName>
    <definedName name="not_on_list">#REF!</definedName>
    <definedName name="note">#N/A</definedName>
    <definedName name="Num" localSheetId="0">#REF!</definedName>
    <definedName name="Num">#REF!</definedName>
    <definedName name="NumberCredit" localSheetId="0">#REF!</definedName>
    <definedName name="NumberCredit">#REF!</definedName>
    <definedName name="NumberLine" localSheetId="0">#REF!</definedName>
    <definedName name="NumberLine">#REF!</definedName>
    <definedName name="Obl_Emloyee" localSheetId="0">#REF!</definedName>
    <definedName name="Obl_Emloyee">#REF!</definedName>
    <definedName name="Obl_Pension" localSheetId="0">#REF!</definedName>
    <definedName name="Obl_Pension">#REF!</definedName>
    <definedName name="on_list" localSheetId="0">#REF!</definedName>
    <definedName name="on_list">#REF!</definedName>
    <definedName name="OTHERASSETS" localSheetId="0">#REF!</definedName>
    <definedName name="OTHERASSETS">#REF!</definedName>
    <definedName name="OTHERLIAB" localSheetId="0">#REF!</definedName>
    <definedName name="OTHERLIAB">#REF!</definedName>
    <definedName name="output_year" localSheetId="0">#REF!</definedName>
    <definedName name="output_year">#REF!</definedName>
    <definedName name="pbase" localSheetId="0">#REF!</definedName>
    <definedName name="pbase">#REF!</definedName>
    <definedName name="PensionBase" localSheetId="0">#REF!</definedName>
    <definedName name="PensionBase">#REF!</definedName>
    <definedName name="PensionMin" localSheetId="0">#REF!</definedName>
    <definedName name="PensionMin">#REF!</definedName>
    <definedName name="PensionSaving" localSheetId="0">#REF!</definedName>
    <definedName name="PensionSaving">#REF!</definedName>
    <definedName name="pp" localSheetId="0">#REF!</definedName>
    <definedName name="pp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[23]UnadjBS!#REF!</definedName>
    <definedName name="PRINT4">[23]UnadjBS!#REF!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[23]UnadjBS!#REF!</definedName>
    <definedName name="PRINT7">[23]UnadjBS!#REF!</definedName>
    <definedName name="PRINTA" localSheetId="0">[23]UnadjBS!#REF!</definedName>
    <definedName name="PRINTA">[23]UnadjBS!#REF!</definedName>
    <definedName name="PRINTALL" localSheetId="0">#REF!</definedName>
    <definedName name="PRINTALL">#REF!</definedName>
    <definedName name="PRINTALLLEADS" localSheetId="0">#REF!</definedName>
    <definedName name="PRINTALLLEADS">#REF!</definedName>
    <definedName name="PRINTB" localSheetId="0">#REF!</definedName>
    <definedName name="PRINTB">#REF!</definedName>
    <definedName name="PRINTC" localSheetId="0">[23]UnadjBS!#REF!</definedName>
    <definedName name="PRINTC">[23]UnadjBS!#REF!</definedName>
    <definedName name="PRINTE" localSheetId="0">[23]UnadjBS!#REF!</definedName>
    <definedName name="PRINTE">[23]UnadjBS!#REF!</definedName>
    <definedName name="PRINTF" localSheetId="0">[23]UnadjBS!#REF!</definedName>
    <definedName name="PRINTF">[23]UnadjBS!#REF!</definedName>
    <definedName name="PRINTHA" localSheetId="0">[23]UnadjBS!#REF!</definedName>
    <definedName name="PRINTHA">[23]UnadjBS!#REF!</definedName>
    <definedName name="PRINTHL" localSheetId="0">[23]UnadjBS!#REF!</definedName>
    <definedName name="PRINTHL">[23]UnadjBS!#REF!</definedName>
    <definedName name="PRINTI" localSheetId="0">[23]UnadjBS!#REF!</definedName>
    <definedName name="PRINTI">[23]UnadjBS!#REF!</definedName>
    <definedName name="PRINTJ" localSheetId="0">#REF!</definedName>
    <definedName name="PRINTJ">#REF!</definedName>
    <definedName name="q" hidden="1">{#N/A,#N/A,FALSE,"Lohnberechnung";#N/A,#N/A,FALSE,"Basisdaten"}</definedName>
    <definedName name="qq">[0]!USD/1.701</definedName>
    <definedName name="R_r" localSheetId="0">#REF!</definedName>
    <definedName name="R_r">#REF!</definedName>
    <definedName name="Rate" localSheetId="0">#REF!</definedName>
    <definedName name="Rate">#REF!</definedName>
    <definedName name="RateEUR" localSheetId="0">#REF!</definedName>
    <definedName name="RateEUR">#REF!</definedName>
    <definedName name="rates">'[24]0. Help'!$C$15:$E$90</definedName>
    <definedName name="RateUSD" localSheetId="0">#REF!</definedName>
    <definedName name="RateUSD">#REF!</definedName>
    <definedName name="RBSHEADER" localSheetId="0">#REF!</definedName>
    <definedName name="RBSHEADER">#REF!</definedName>
    <definedName name="RECATBSHEAD" localSheetId="0">#REF!</definedName>
    <definedName name="RECATBSHEAD">#REF!</definedName>
    <definedName name="RECATEGORISDBS" localSheetId="0">#REF!</definedName>
    <definedName name="RECATEGORISDBS">#REF!</definedName>
    <definedName name="RECATP_L" localSheetId="0">#REF!</definedName>
    <definedName name="RECATP_L">#REF!</definedName>
    <definedName name="RECATP_LHEADER" localSheetId="0">#REF!</definedName>
    <definedName name="RECATP_LHEADER">#REF!</definedName>
    <definedName name="ReportDate" localSheetId="0">#REF!</definedName>
    <definedName name="ReportDate">#REF!</definedName>
    <definedName name="Reserved">[3]ToPrint!$Q$46</definedName>
    <definedName name="RESERVES" localSheetId="0">#REF!</definedName>
    <definedName name="RESERVES">#REF!</definedName>
    <definedName name="RNPCredit" localSheetId="0">#REF!</definedName>
    <definedName name="RNPCredit">#REF!</definedName>
    <definedName name="RNPGenerali" localSheetId="0">#REF!</definedName>
    <definedName name="RNPGenerali">#REF!</definedName>
    <definedName name="RNPLine" localSheetId="0">#REF!</definedName>
    <definedName name="RNPLine">#REF!</definedName>
    <definedName name="RNPMRe" localSheetId="0">#REF!</definedName>
    <definedName name="RNPMRe">#REF!</definedName>
    <definedName name="RNPRe" localSheetId="0">#REF!</definedName>
    <definedName name="RNPRe">#REF!</definedName>
    <definedName name="RNPReOut" localSheetId="0">#REF!</definedName>
    <definedName name="RNPReOut">#REF!</definedName>
    <definedName name="RST">[0]!USD/1.701</definedName>
    <definedName name="rts_report" localSheetId="0">#REF!</definedName>
    <definedName name="rts_report">#REF!</definedName>
    <definedName name="RURatDate" localSheetId="0">#REF!</definedName>
    <definedName name="RURatDate">#REF!</definedName>
    <definedName name="RURaverage" localSheetId="0">#REF!</definedName>
    <definedName name="RURaverage">#REF!</definedName>
    <definedName name="RUSBSHEADER" localSheetId="0">#REF!</definedName>
    <definedName name="RUSBSHEADER">#REF!</definedName>
    <definedName name="RUSSIANBS" localSheetId="0">#REF!</definedName>
    <definedName name="RUSSIANBS">#REF!</definedName>
    <definedName name="Salary" localSheetId="0">#REF!</definedName>
    <definedName name="Salary">#REF!</definedName>
    <definedName name="sencount" hidden="1">1</definedName>
    <definedName name="SHARECAPITAL" localSheetId="0">#REF!</definedName>
    <definedName name="SHARECAPITAL">#REF!</definedName>
    <definedName name="srgwsf">[0]!USD/1.701</definedName>
    <definedName name="StartDialogModule.cbCancel_Click" localSheetId="0">[5]!StartDialogModule.cbCancel_Click</definedName>
    <definedName name="StartDialogModule.cbCancel_Click">[5]!StartDialogModule.cbCancel_Click</definedName>
    <definedName name="StartDialogModule.cbOKClick" localSheetId="0">[5]!StartDialogModule.cbOKClick</definedName>
    <definedName name="StartDialogModule.cbOKClick">[5]!StartDialogModule.cbOKClick</definedName>
    <definedName name="StartDialogModule.cbSelectDirPressed" localSheetId="0">[12]!StartDialogModule.cbSelectDirPressed</definedName>
    <definedName name="StartDialogModule.cbSelectDirPressed">[12]!StartDialogModule.cbSelectDirPressed</definedName>
    <definedName name="t_year" localSheetId="0">#REF!</definedName>
    <definedName name="t_year">#REF!</definedName>
    <definedName name="Tab_Area">[3]ToPrint!$A$5:$R$46</definedName>
    <definedName name="TextRefCopyRangeCount" hidden="1">16</definedName>
    <definedName name="third" localSheetId="0">#REF!</definedName>
    <definedName name="third">#REF!</definedName>
    <definedName name="TOm" localSheetId="0">'[13]Оборотный баланс'!#REF!</definedName>
    <definedName name="TOm">'[13]Оборотный баланс'!#REF!</definedName>
    <definedName name="TOm0" localSheetId="0">'[13]Оборотный баланс'!#REF!</definedName>
    <definedName name="TOm0">'[13]Оборотный баланс'!#REF!</definedName>
    <definedName name="TOy" localSheetId="0">#REF!</definedName>
    <definedName name="TOy">#REF!</definedName>
    <definedName name="TransCondition" localSheetId="0">#REF!</definedName>
    <definedName name="TransCondition">#REF!</definedName>
    <definedName name="TransTerm" localSheetId="0">#REF!</definedName>
    <definedName name="TransTerm">#REF!</definedName>
    <definedName name="tykjt" hidden="1">{#N/A,#N/A,FALSE,"Lohnberechnung";#N/A,#N/A,FALSE,"Basisdaten"}</definedName>
    <definedName name="unreal" localSheetId="0">#REF!</definedName>
    <definedName name="unreal">#REF!</definedName>
    <definedName name="us" localSheetId="0">#REF!</definedName>
    <definedName name="us">#REF!</definedName>
    <definedName name="USD">[25]коэфф!$B$2</definedName>
    <definedName name="USD_RUR" localSheetId="0">#REF!</definedName>
    <definedName name="USD_RUR">#REF!</definedName>
    <definedName name="USDDM">[26]оборудование!$D$2</definedName>
    <definedName name="USDRUB">[26]оборудование!$D$1</definedName>
    <definedName name="USDRUS" localSheetId="0">#REF!</definedName>
    <definedName name="USDRUS">#REF!</definedName>
    <definedName name="uu" localSheetId="0">#REF!</definedName>
    <definedName name="uu">#REF!</definedName>
    <definedName name="vcf" localSheetId="0">'[13]Оборотный баланс'!#REF!</definedName>
    <definedName name="vcf">'[13]Оборотный баланс'!#REF!</definedName>
    <definedName name="Volume">[3]ToPrint!$Q$45</definedName>
    <definedName name="Work_Area">[3]ToPrint!$A$1:$R$47</definedName>
    <definedName name="wqd" hidden="1">{#N/A,#N/A,FALSE,"Basisdaten Schadensätze";#N/A,#N/A,FALSE,"Schad.Satz";#N/A,#N/A,FALSE,"SchdSatzAufs.Behörde";#N/A,#N/A,FALSE,"Schd.SatzAufs.Beh.intausend"}</definedName>
    <definedName name="wrn.Auswertungen._.Jahresabschluß.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wrn.Bericht._.1995.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wrn.Bericht._.1996." hidden="1">{#N/A,#N/A,FALSE,"BILANZ";#N/A,#N/A,FALSE,"Bil-Analyse";#N/A,#N/A,FALSE,"GuV";#N/A,#N/A,FALSE,"Beilage IIa";#N/A,#N/A,FALSE,"Aufgl-vtRSt";#N/A,#N/A,FALSE,"IMMAT-VG";#N/A,#N/A,FALSE,"GRUNDBAU";#N/A,#N/A,FALSE,"BET-VU";#N/A,#N/A,FALSE,"AKTIEN";#N/A,#N/A,FALSE,"SCHULDV";#N/A,#N/A,FALSE,"DARLEHEN";#N/A,#N/A,FALSE,"GUTH. KI";#N/A,#N/A,FALSE,"And-KA";#N/A,#N/A,FALSE,"FORD";#N/A,#N/A,FALSE,"ANT-ZINS";#N/A,#N/A,FALSE,"SonstVG";#N/A,#N/A,FALSE,"EigKap";#N/A,#N/A,FALSE,"UNV-RL";#N/A,#N/A,FALSE,"PRÄMÜBER";#N/A,#N/A,FALSE,"DECK-RST";#N/A,#N/A,FALSE,"SCH-RST";#N/A,#N/A,FALSE,"PräRück-erfUNabh";#N/A,#N/A,FALSE,"PräRück-erfABH";#N/A,#N/A,FALSE,"Schwank";#N/A,#N/A,FALSE,"SovtRSt";#N/A,#N/A,FALSE,"NVTRÜCK";#N/A,#N/A,FALSE,"VERB";#N/A,#N/A,FALSE,"GV-NTR";#N/A,#N/A,FALSE,"GV-UNF";#N/A,#N/A,FALSE,"GuV-S Analyse";#N/A,#N/A,FALSE,"GV-Leb";#N/A,#N/A,FALSE,"GuV-L Analyse";#N/A,#N/A,FALSE,"GV-Ges-Analyse";#N/A,#N/A,FALSE,"BeilageV";#N/A,#N/A,FALSE,"BeilageVI";#N/A,#N/A,FALSE,"Beilage VII Aufw";#N/A,#N/A,FALSE,"Beilage VIII SachAV"}</definedName>
    <definedName name="wrn.Bilanz._.AG._.96." hidden="1">{#N/A,#N/A,FALSE,"Bilanz 31.12.1996 AG";#N/A,#N/A,FALSE,"SU-LV Solvabilität";#N/A,#N/A,FALSE,"Erfolgsrechnung 1996 der AG"}</definedName>
    <definedName name="wrn.Direkte._.Versicherungen." hidden="1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wrn.Erfolgsprognose._.1994." hidden="1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wrn.Erfolgsprognose._.1995.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wrn.Indirektes._.Geschäft." hidden="1">{#N/A,#N/A,FALSE,"Indirekt-Unfall";#N/A,#N/A,FALSE,"Indirekt-Haftpflicht";#N/A,#N/A,FALSE,"Indirekt-Feuer";#N/A,#N/A,FALSE,"Indirekt Maschinen"}</definedName>
    <definedName name="wrn.Löhne." hidden="1">{#N/A,#N/A,FALSE,"Lohnberechnung";#N/A,#N/A,FALSE,"Basisdaten"}</definedName>
    <definedName name="wrn.Schd.Satz." hidden="1">{#N/A,#N/A,FALSE,"Basisdaten Schadensätze";#N/A,#N/A,FALSE,"Schad.Satz";#N/A,#N/A,FALSE,"SchdSatzAufs.Behörde";#N/A,#N/A,FALSE,"Schd.SatzAufs.Beh.intausend"}</definedName>
    <definedName name="wrn.Verein96." hidden="1">{#N/A,#N/A,FALSE,"Bilanz 31.12.1996 Verein";#N/A,#N/A,FALSE,"Erfolgsrechnung 1996 Verein"}</definedName>
    <definedName name="wwdf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x">[0]!USD/1.701</definedName>
    <definedName name="xfg" localSheetId="0">[5]!'[StartDialogModule].cbSelectDirPressed'</definedName>
    <definedName name="xfg">[5]!'[StartDialogModule].cbSelectDirPressed'</definedName>
    <definedName name="z" hidden="1">{#N/A,#N/A,FALSE,"Bilanz 31.12.1996 Verein";#N/A,#N/A,FALSE,"Erfolgsrechnung 1996 Verein"}</definedName>
    <definedName name="Z_30FEE15E_D26F_11D4_A6F7_00508B6A7686_.wvu.FilterData" localSheetId="0" hidden="1">#REF!</definedName>
    <definedName name="Z_30FEE15E_D26F_11D4_A6F7_00508B6A7686_.wvu.FilterData" hidden="1">#REF!</definedName>
    <definedName name="Z_30FEE15E_D26F_11D4_A6F7_00508B6A7686_.wvu.PrintArea" localSheetId="0" hidden="1">#REF!</definedName>
    <definedName name="Z_30FEE15E_D26F_11D4_A6F7_00508B6A7686_.wvu.PrintArea" hidden="1">#REF!</definedName>
    <definedName name="Z_30FEE15E_D26F_11D4_A6F7_00508B6A7686_.wvu.PrintTitles" localSheetId="0" hidden="1">#REF!</definedName>
    <definedName name="Z_30FEE15E_D26F_11D4_A6F7_00508B6A7686_.wvu.PrintTitles" hidden="1">#REF!</definedName>
    <definedName name="Z_30FEE15E_D26F_11D4_A6F7_00508B6A7686_.wvu.Rows" localSheetId="0" hidden="1">#REF!</definedName>
    <definedName name="Z_30FEE15E_D26F_11D4_A6F7_00508B6A7686_.wvu.Rows" hidden="1">#REF!</definedName>
    <definedName name="а">[0]!USD/1.701</definedName>
    <definedName name="а2" localSheetId="0">[7]a1108209!#REF!</definedName>
    <definedName name="а2">[7]a1108209!#REF!</definedName>
    <definedName name="а30" localSheetId="0">#REF!</definedName>
    <definedName name="а30">#REF!</definedName>
    <definedName name="АВГ_РУБ" localSheetId="0">[27]Калькуляции!#REF!</definedName>
    <definedName name="АВГ_РУБ">[27]Калькуляции!#REF!</definedName>
    <definedName name="АВГ_ТОН" localSheetId="0">[27]Калькуляции!#REF!</definedName>
    <definedName name="АВГ_ТОН">[27]Калькуляции!#REF!</definedName>
    <definedName name="АвтобанкСрПок" localSheetId="0">#REF!</definedName>
    <definedName name="АвтобанкСрПок">#REF!</definedName>
    <definedName name="АвтобанкСрПрод" localSheetId="0">#REF!</definedName>
    <definedName name="АвтобанкСрПрод">#REF!</definedName>
    <definedName name="АВЧ_ВН" localSheetId="0">#REF!</definedName>
    <definedName name="АВЧ_ВН">#REF!</definedName>
    <definedName name="АВЧ_ДП" localSheetId="0">[27]Калькуляции!#REF!</definedName>
    <definedName name="АВЧ_ДП">[27]Калькуляции!#REF!</definedName>
    <definedName name="АВЧ_ЛОК" localSheetId="0">[27]Калькуляции!#REF!</definedName>
    <definedName name="АВЧ_ЛОК">[27]Калькуляции!#REF!</definedName>
    <definedName name="АВЧ_С" localSheetId="0">#REF!</definedName>
    <definedName name="АВЧ_С">#REF!</definedName>
    <definedName name="АВЧ_ТОЛ" localSheetId="0">#REF!</definedName>
    <definedName name="АВЧ_ТОЛ">#REF!</definedName>
    <definedName name="АВЧНЗ_АЛФ" localSheetId="0">#REF!</definedName>
    <definedName name="АВЧНЗ_АЛФ">#REF!</definedName>
    <definedName name="АВЧНЗ_МЕД" localSheetId="0">#REF!</definedName>
    <definedName name="АВЧНЗ_МЕД">#REF!</definedName>
    <definedName name="АВЧНЗ_ХЛБ" localSheetId="0">#REF!</definedName>
    <definedName name="АВЧНЗ_ХЛБ">#REF!</definedName>
    <definedName name="АВЧНЗ_ЭЛ" localSheetId="0">#REF!</definedName>
    <definedName name="АВЧНЗ_ЭЛ">#REF!</definedName>
    <definedName name="АгропромСрПок" localSheetId="0">#REF!</definedName>
    <definedName name="АгропромСрПок">#REF!</definedName>
    <definedName name="АгропромСрПрод" localSheetId="0">#REF!</definedName>
    <definedName name="АгропромСрПрод">#REF!</definedName>
    <definedName name="АК12" localSheetId="0">[27]Калькуляции!#REF!</definedName>
    <definedName name="АК12">[27]Калькуляции!#REF!</definedName>
    <definedName name="АК12ОЧ" localSheetId="0">[27]Калькуляции!#REF!</definedName>
    <definedName name="АК12ОЧ">[27]Калькуляции!#REF!</definedName>
    <definedName name="АК5М2" localSheetId="0">[27]Калькуляции!#REF!</definedName>
    <definedName name="АК5М2">[27]Калькуляции!#REF!</definedName>
    <definedName name="АК9ПЧ" localSheetId="0">[27]Калькуляции!#REF!</definedName>
    <definedName name="АК9ПЧ">[27]Калькуляции!#REF!</definedName>
    <definedName name="АЛ_АВЧ" localSheetId="0">#REF!</definedName>
    <definedName name="АЛ_АВЧ">#REF!</definedName>
    <definedName name="АЛ_АТЧ" localSheetId="0">#REF!</definedName>
    <definedName name="АЛ_АТЧ">#REF!</definedName>
    <definedName name="АЛ_Ф" localSheetId="0">#REF!</definedName>
    <definedName name="АЛ_Ф">#REF!</definedName>
    <definedName name="АЛ_Ф_" localSheetId="0">#REF!</definedName>
    <definedName name="АЛ_Ф_">#REF!</definedName>
    <definedName name="АЛ_Ф_ЗФА" localSheetId="0">#REF!</definedName>
    <definedName name="АЛ_Ф_ЗФА">#REF!</definedName>
    <definedName name="АЛ_Ф_Т" localSheetId="0">#REF!</definedName>
    <definedName name="АЛ_Ф_Т">#REF!</definedName>
    <definedName name="Алмаз2">[28]Дебиторка!$J$7</definedName>
    <definedName name="АльфабаСрПок" localSheetId="0">#REF!</definedName>
    <definedName name="АльфабаСрПок">#REF!</definedName>
    <definedName name="АльфабаСрПрод" localSheetId="0">#REF!</definedName>
    <definedName name="АльфабаСрПрод">#REF!</definedName>
    <definedName name="АЛЮМ_АВЧ" localSheetId="0">#REF!</definedName>
    <definedName name="АЛЮМ_АВЧ">#REF!</definedName>
    <definedName name="АЛЮМ_АТЧ" localSheetId="0">#REF!</definedName>
    <definedName name="АЛЮМ_АТЧ">#REF!</definedName>
    <definedName name="АН_Б" localSheetId="0">#REF!</definedName>
    <definedName name="АН_Б">#REF!</definedName>
    <definedName name="АН_Б_ТОЛ" localSheetId="0">[27]Калькуляции!#REF!</definedName>
    <definedName name="АН_Б_ТОЛ">[27]Калькуляции!#REF!</definedName>
    <definedName name="АН_М" localSheetId="0">#REF!</definedName>
    <definedName name="АН_М">#REF!</definedName>
    <definedName name="АН_М_" localSheetId="0">#REF!</definedName>
    <definedName name="АН_М_">#REF!</definedName>
    <definedName name="АН_М_К" localSheetId="0">[27]Калькуляции!#REF!</definedName>
    <definedName name="АН_М_К">[27]Калькуляции!#REF!</definedName>
    <definedName name="АН_М_П" localSheetId="0">[27]Калькуляции!#REF!</definedName>
    <definedName name="АН_М_П">[27]Калькуляции!#REF!</definedName>
    <definedName name="АН_М_ПК" localSheetId="0">[27]Калькуляции!#REF!</definedName>
    <definedName name="АН_М_ПК">[27]Калькуляции!#REF!</definedName>
    <definedName name="АН_М_ПРОСТ" localSheetId="0">[27]Калькуляции!#REF!</definedName>
    <definedName name="АН_М_ПРОСТ">[27]Калькуляции!#REF!</definedName>
    <definedName name="АН_С" localSheetId="0">#REF!</definedName>
    <definedName name="АН_С">#REF!</definedName>
    <definedName name="АПР_РУБ" localSheetId="0">#REF!</definedName>
    <definedName name="АПР_РУБ">#REF!</definedName>
    <definedName name="АПР_ТОН" localSheetId="0">#REF!</definedName>
    <definedName name="АПР_ТОН">#REF!</definedName>
    <definedName name="АТЧ_ЦЕХА" localSheetId="0">[27]Калькуляции!#REF!</definedName>
    <definedName name="АТЧ_ЦЕХА">[27]Калькуляции!#REF!</definedName>
    <definedName name="АТЧНЗ_АМ" localSheetId="0">#REF!</definedName>
    <definedName name="АТЧНЗ_АМ">#REF!</definedName>
    <definedName name="АТЧНЗ_ГЛ" localSheetId="0">#REF!</definedName>
    <definedName name="АТЧНЗ_ГЛ">#REF!</definedName>
    <definedName name="АТЧНЗ_КР" localSheetId="0">#REF!</definedName>
    <definedName name="АТЧНЗ_КР">#REF!</definedName>
    <definedName name="АТЧНЗ_ЭЛ" localSheetId="0">#REF!</definedName>
    <definedName name="АТЧНЗ_ЭЛ">#REF!</definedName>
    <definedName name="АэрофлотОтн" localSheetId="0">#REF!</definedName>
    <definedName name="АэрофлотОтн">#REF!</definedName>
    <definedName name="АэрофлотСрПок" localSheetId="0">#REF!</definedName>
    <definedName name="АэрофлотСрПок">#REF!</definedName>
    <definedName name="АэрофлотСрПрод" localSheetId="0">#REF!</definedName>
    <definedName name="АэрофлотСрПрод">#REF!</definedName>
    <definedName name="_xlnm.Database" localSheetId="0">#REF!</definedName>
    <definedName name="_xlnm.Database">#REF!</definedName>
    <definedName name="БанкРазСрПок" localSheetId="0">#REF!</definedName>
    <definedName name="БанкРазСрПок">#REF!</definedName>
    <definedName name="БанкРазСрПрод" localSheetId="0">#REF!</definedName>
    <definedName name="БанкРазСрПрод">#REF!</definedName>
    <definedName name="БАР" localSheetId="0">#REF!</definedName>
    <definedName name="БАР">#REF!</definedName>
    <definedName name="БАР_" localSheetId="0">#REF!</definedName>
    <definedName name="БАР_">#REF!</definedName>
    <definedName name="БашкирэнОтн" localSheetId="0">#REF!</definedName>
    <definedName name="БашкирэнОтн">#REF!</definedName>
    <definedName name="БашкирэнСрПок" localSheetId="0">#REF!</definedName>
    <definedName name="БашкирэнСрПок">#REF!</definedName>
    <definedName name="БашкирэнСрПрод" localSheetId="0">#REF!</definedName>
    <definedName name="БашкирэнСрПрод">#REF!</definedName>
    <definedName name="березень" localSheetId="0">#REF!</definedName>
    <definedName name="березень">#REF!</definedName>
    <definedName name="бл" localSheetId="0">#REF!</definedName>
    <definedName name="бл">#REF!</definedName>
    <definedName name="Бородино2">[28]Дебиторка!$J$9</definedName>
    <definedName name="Браво2">[28]Дебиторка!$J$10</definedName>
    <definedName name="В_В" localSheetId="0">#REF!</definedName>
    <definedName name="В_В">#REF!</definedName>
    <definedName name="В_ДП" localSheetId="0">[27]Калькуляции!#REF!</definedName>
    <definedName name="В_ДП">[27]Калькуляции!#REF!</definedName>
    <definedName name="В_Т" localSheetId="0">#REF!</definedName>
    <definedName name="В_Т">#REF!</definedName>
    <definedName name="В_Т_А" localSheetId="0">[27]Калькуляции!#REF!</definedName>
    <definedName name="В_Т_А">[27]Калькуляции!#REF!</definedName>
    <definedName name="В_Т_ВС" localSheetId="0">[27]Калькуляции!#REF!</definedName>
    <definedName name="В_Т_ВС">[27]Калькуляции!#REF!</definedName>
    <definedName name="В_Т_К" localSheetId="0">[27]Калькуляции!#REF!</definedName>
    <definedName name="В_Т_К">[27]Калькуляции!#REF!</definedName>
    <definedName name="В_Т_П" localSheetId="0">[27]Калькуляции!#REF!</definedName>
    <definedName name="В_Т_П">[27]Калькуляции!#REF!</definedName>
    <definedName name="В_Т_ПК" localSheetId="0">[27]Калькуляции!#REF!</definedName>
    <definedName name="В_Т_ПК">[27]Калькуляции!#REF!</definedName>
    <definedName name="В_Э" localSheetId="0">#REF!</definedName>
    <definedName name="В_Э">#REF!</definedName>
    <definedName name="ВАЛОВЫЙ" localSheetId="0">#REF!</definedName>
    <definedName name="ВАЛОВЫЙ">#REF!</definedName>
    <definedName name="Валюта">[29]Словари!$E$2:$E$8</definedName>
    <definedName name="ВарьеганКолПок" localSheetId="0">#REF!</definedName>
    <definedName name="ВарьеганКолПок">#REF!</definedName>
    <definedName name="ВарьеганКолПрод" localSheetId="0">#REF!</definedName>
    <definedName name="ВарьеганКолПрод">#REF!</definedName>
    <definedName name="ВарьеганОтн" localSheetId="0">#REF!</definedName>
    <definedName name="ВарьеганОтн">#REF!</definedName>
    <definedName name="ВарьеганСрПок" localSheetId="0">#REF!</definedName>
    <definedName name="ВарьеганСрПок">#REF!</definedName>
    <definedName name="ВарьеганСрПрод" localSheetId="0">#REF!</definedName>
    <definedName name="ВарьеганСрПрод">#REF!</definedName>
    <definedName name="ВВВВ" localSheetId="0">#REF!</definedName>
    <definedName name="ВВВВ">#REF!</definedName>
    <definedName name="Вексель">[30]Векселедатель!$B$1:$B$14</definedName>
    <definedName name="Вена2">[28]Дебиторка!$J$11</definedName>
    <definedName name="вифыу" localSheetId="0">#REF!</definedName>
    <definedName name="вифыу">#REF!</definedName>
    <definedName name="ВН" localSheetId="0">#REF!</definedName>
    <definedName name="ВН">#REF!</definedName>
    <definedName name="ВН_3003_ДП" localSheetId="0">#REF!</definedName>
    <definedName name="ВН_3003_ДП">#REF!</definedName>
    <definedName name="ВН_3103_ЭКС" localSheetId="0">[27]Калькуляции!#REF!</definedName>
    <definedName name="ВН_3103_ЭКС">[27]Калькуляции!#REF!</definedName>
    <definedName name="ВН_6063_ЭКС" localSheetId="0">[27]Калькуляции!#REF!</definedName>
    <definedName name="ВН_6063_ЭКС">[27]Калькуляции!#REF!</definedName>
    <definedName name="ВН_АВЧ_ВН" localSheetId="0">#REF!</definedName>
    <definedName name="ВН_АВЧ_ВН">#REF!</definedName>
    <definedName name="ВН_АВЧ_ДП" localSheetId="0">[27]Калькуляции!#REF!</definedName>
    <definedName name="ВН_АВЧ_ДП">[27]Калькуляции!#REF!</definedName>
    <definedName name="ВН_АВЧ_ТОЛ" localSheetId="0">#REF!</definedName>
    <definedName name="ВН_АВЧ_ТОЛ">#REF!</definedName>
    <definedName name="ВН_АВЧ_ЭКС" localSheetId="0">#REF!</definedName>
    <definedName name="ВН_АВЧ_ЭКС">#REF!</definedName>
    <definedName name="ВН_АТЧ_ВН" localSheetId="0">#REF!</definedName>
    <definedName name="ВН_АТЧ_ВН">#REF!</definedName>
    <definedName name="ВН_АТЧ_ДП" localSheetId="0">[27]Калькуляции!#REF!</definedName>
    <definedName name="ВН_АТЧ_ДП">[27]Калькуляции!#REF!</definedName>
    <definedName name="ВН_АТЧ_ТОЛ" localSheetId="0">#REF!</definedName>
    <definedName name="ВН_АТЧ_ТОЛ">#REF!</definedName>
    <definedName name="ВН_АТЧ_ТОЛ_А" localSheetId="0">[27]Калькуляции!#REF!</definedName>
    <definedName name="ВН_АТЧ_ТОЛ_А">[27]Калькуляции!#REF!</definedName>
    <definedName name="ВН_АТЧ_ТОЛ_П" localSheetId="0">[27]Калькуляции!#REF!</definedName>
    <definedName name="ВН_АТЧ_ТОЛ_П">[27]Калькуляции!#REF!</definedName>
    <definedName name="ВН_АТЧ_ТОЛ_ПК" localSheetId="0">[27]Калькуляции!#REF!</definedName>
    <definedName name="ВН_АТЧ_ТОЛ_ПК">[27]Калькуляции!#REF!</definedName>
    <definedName name="ВН_АТЧ_ЭКС" localSheetId="0">#REF!</definedName>
    <definedName name="ВН_АТЧ_ЭКС">#REF!</definedName>
    <definedName name="ВН_Р" localSheetId="0">#REF!</definedName>
    <definedName name="ВН_Р">#REF!</definedName>
    <definedName name="ВН_С_ВН" localSheetId="0">#REF!</definedName>
    <definedName name="ВН_С_ВН">#REF!</definedName>
    <definedName name="ВН_С_ДП" localSheetId="0">[27]Калькуляции!#REF!</definedName>
    <definedName name="ВН_С_ДП">[27]Калькуляции!#REF!</definedName>
    <definedName name="ВН_С_ТОЛ" localSheetId="0">#REF!</definedName>
    <definedName name="ВН_С_ТОЛ">#REF!</definedName>
    <definedName name="ВН_С_ЭКС" localSheetId="0">#REF!</definedName>
    <definedName name="ВН_С_ЭКС">#REF!</definedName>
    <definedName name="ВН_Т" localSheetId="0">#REF!</definedName>
    <definedName name="ВН_Т">#REF!</definedName>
    <definedName name="ВНИТ" localSheetId="0">#REF!</definedName>
    <definedName name="ВНИТ">#REF!</definedName>
    <definedName name="ВОД_ОБ" localSheetId="0">#REF!</definedName>
    <definedName name="ВОД_ОБ">#REF!</definedName>
    <definedName name="ВОД_Т" localSheetId="0">#REF!</definedName>
    <definedName name="ВОД_Т">#REF!</definedName>
    <definedName name="ВОЗ" localSheetId="0">#REF!</definedName>
    <definedName name="ВОЗ">#REF!</definedName>
    <definedName name="ВозрождеСрПок" localSheetId="0">#REF!</definedName>
    <definedName name="ВозрождеСрПок">#REF!</definedName>
    <definedName name="ВозрождеСрПрод" localSheetId="0">#REF!</definedName>
    <definedName name="ВозрождеСрПрод">#REF!</definedName>
    <definedName name="ВолготанКолПок" localSheetId="0">#REF!</definedName>
    <definedName name="ВолготанКолПок">#REF!</definedName>
    <definedName name="ВолготанКолПрод" localSheetId="0">#REF!</definedName>
    <definedName name="ВолготанКолПрод">#REF!</definedName>
    <definedName name="ВолготанОтн" localSheetId="0">#REF!</definedName>
    <definedName name="ВолготанОтн">#REF!</definedName>
    <definedName name="ВолготанСрПок" localSheetId="0">#REF!</definedName>
    <definedName name="ВолготанСрПок">#REF!</definedName>
    <definedName name="ВолготанСрПрод" localSheetId="0">#REF!</definedName>
    <definedName name="ВолготанСрПрод">#REF!</definedName>
    <definedName name="ВСП" localSheetId="0">#REF!</definedName>
    <definedName name="ВСП">#REF!</definedName>
    <definedName name="ВСП1" localSheetId="0">#REF!</definedName>
    <definedName name="ВСП1">#REF!</definedName>
    <definedName name="ВСП2" localSheetId="0">#REF!</definedName>
    <definedName name="ВСП2">#REF!</definedName>
    <definedName name="ВСПОМОГ" localSheetId="0">#REF!</definedName>
    <definedName name="ВСПОМОГ">#REF!</definedName>
    <definedName name="ВТОМ" localSheetId="0">#REF!</definedName>
    <definedName name="ВТОМ">#REF!</definedName>
    <definedName name="ВЫ">kk/1.81</definedName>
    <definedName name="выв" localSheetId="0">#REF!</definedName>
    <definedName name="выв">#REF!</definedName>
    <definedName name="ГАЗКолПок" localSheetId="0">#REF!</definedName>
    <definedName name="ГАЗКолПок">#REF!</definedName>
    <definedName name="ГАЗКолПрод" localSheetId="0">#REF!</definedName>
    <definedName name="ГАЗКолПрод">#REF!</definedName>
    <definedName name="ГАЗОтн" localSheetId="0">#REF!</definedName>
    <definedName name="ГАЗОтн">#REF!</definedName>
    <definedName name="ГазпромКолПок" localSheetId="0">#REF!</definedName>
    <definedName name="ГазпромКолПок">#REF!</definedName>
    <definedName name="ГазпромКолПрод" localSheetId="0">#REF!</definedName>
    <definedName name="ГазпромКолПрод">#REF!</definedName>
    <definedName name="ГазпромОтн" localSheetId="0">#REF!</definedName>
    <definedName name="ГазпромОтн">#REF!</definedName>
    <definedName name="ГазпромСрПок" localSheetId="0">#REF!</definedName>
    <definedName name="ГазпромСрПок">#REF!</definedName>
    <definedName name="ГазпромСрПрод" localSheetId="0">#REF!</definedName>
    <definedName name="ГазпромСрПрод">#REF!</definedName>
    <definedName name="ГАЗСрПок" localSheetId="0">#REF!</definedName>
    <definedName name="ГАЗСрПок">#REF!</definedName>
    <definedName name="ГАЗСрПрод" localSheetId="0">#REF!</definedName>
    <definedName name="ГАЗСрПрод">#REF!</definedName>
    <definedName name="ГАС_Ш" localSheetId="0">#REF!</definedName>
    <definedName name="ГАС_Ш">#REF!</definedName>
    <definedName name="гг" localSheetId="0">#REF!</definedName>
    <definedName name="гг">#REF!</definedName>
    <definedName name="ГИД" localSheetId="0">#REF!</definedName>
    <definedName name="ГИД">#REF!</definedName>
    <definedName name="ГИД_ЗФА" localSheetId="0">#REF!</definedName>
    <definedName name="ГИД_ЗФА">#REF!</definedName>
    <definedName name="ГЛ" localSheetId="0">#REF!</definedName>
    <definedName name="ГЛ">#REF!</definedName>
    <definedName name="ГЛ_" localSheetId="0">#REF!</definedName>
    <definedName name="ГЛ_">#REF!</definedName>
    <definedName name="ГЛ_ДП" localSheetId="0">[27]Калькуляции!#REF!</definedName>
    <definedName name="ГЛ_ДП">[27]Калькуляции!#REF!</definedName>
    <definedName name="ГЛ_Т" localSheetId="0">#REF!</definedName>
    <definedName name="ГЛ_Т">#REF!</definedName>
    <definedName name="ГЛ_Ш" localSheetId="0">#REF!</definedName>
    <definedName name="ГЛ_Ш">#REF!</definedName>
    <definedName name="глинозем">[0]!USD/1.701</definedName>
    <definedName name="ГорьковсСрПок" localSheetId="0">#REF!</definedName>
    <definedName name="ГорьковсСрПок">#REF!</definedName>
    <definedName name="ГорьковсСрПрод" localSheetId="0">#REF!</definedName>
    <definedName name="ГорьковсСрПрод">#REF!</definedName>
    <definedName name="ГР" localSheetId="0">#REF!</definedName>
    <definedName name="ГР">#REF!</definedName>
    <definedName name="гривна">'[31]UPR_Loss_DAC 2006'!$P$4</definedName>
    <definedName name="ГУМКолПок" localSheetId="0">#REF!</definedName>
    <definedName name="ГУМКолПок">#REF!</definedName>
    <definedName name="ГУМКолПрод" localSheetId="0">#REF!</definedName>
    <definedName name="ГУМКолПрод">#REF!</definedName>
    <definedName name="ГУМОтн" localSheetId="0">#REF!</definedName>
    <definedName name="ГУМОтн">#REF!</definedName>
    <definedName name="ГУМСрПок" localSheetId="0">#REF!</definedName>
    <definedName name="ГУМСрПок">#REF!</definedName>
    <definedName name="ГУМСрПрод" localSheetId="0">#REF!</definedName>
    <definedName name="ГУМСрПрод">#REF!</definedName>
    <definedName name="ДАВ_ЖИД" localSheetId="0">#REF!</definedName>
    <definedName name="ДАВ_ЖИД">#REF!</definedName>
    <definedName name="ДАВ_КАТАНКА" localSheetId="0">[27]Калькуляции!#REF!</definedName>
    <definedName name="ДАВ_КАТАНКА">[27]Калькуляции!#REF!</definedName>
    <definedName name="ДАВ_МЕЛК" localSheetId="0">#REF!</definedName>
    <definedName name="ДАВ_МЕЛК">#REF!</definedName>
    <definedName name="ДАВ_СЛИТКИ" localSheetId="0">#REF!</definedName>
    <definedName name="ДАВ_СЛИТКИ">#REF!</definedName>
    <definedName name="Дав_тв" localSheetId="0">#REF!</definedName>
    <definedName name="Дав_тв">#REF!</definedName>
    <definedName name="ДАВ_ШТАН" localSheetId="0">#REF!</definedName>
    <definedName name="ДАВ_ШТАН">#REF!</definedName>
    <definedName name="ДАВАЛЬЧЕСИЙ" localSheetId="0">#REF!</definedName>
    <definedName name="ДАВАЛЬЧЕСИЙ">#REF!</definedName>
    <definedName name="ДАВАЛЬЧЕСКИЙ" localSheetId="0">#REF!</definedName>
    <definedName name="ДАВАЛЬЧЕСКИЙ">#REF!</definedName>
    <definedName name="ДальнждСрПок" localSheetId="0">#REF!</definedName>
    <definedName name="ДальнждСрПок">#REF!</definedName>
    <definedName name="ДальнждСрПрод" localSheetId="0">#REF!</definedName>
    <definedName name="ДальнждСрПрод">#REF!</definedName>
    <definedName name="Данкор2">[28]Дебиторка!$J$27</definedName>
    <definedName name="Дата_договора">[32]БАЗА!$E$2</definedName>
    <definedName name="Дата_оплаты">[32]БАЗА!$E$4</definedName>
    <definedName name="ДЕК_РУБ" localSheetId="0">[27]Калькуляции!#REF!</definedName>
    <definedName name="ДЕК_РУБ">[27]Калькуляции!#REF!</definedName>
    <definedName name="ДЕК_Т" localSheetId="0">[27]Калькуляции!#REF!</definedName>
    <definedName name="ДЕК_Т">[27]Калькуляции!#REF!</definedName>
    <definedName name="ДЕК_ТОН" localSheetId="0">[27]Калькуляции!#REF!</definedName>
    <definedName name="ДЕК_ТОН">[27]Калькуляции!#REF!</definedName>
    <definedName name="депозиты" localSheetId="0">#REF!</definedName>
    <definedName name="депозиты">#REF!</definedName>
    <definedName name="ДИЗТОПЛИВО" localSheetId="0">#REF!</definedName>
    <definedName name="ДИЗТОПЛИВО">#REF!</definedName>
    <definedName name="ДИМА" localSheetId="0">#REF!</definedName>
    <definedName name="ДИМА">#REF!</definedName>
    <definedName name="Дионис2">[28]Дебиторка!$J$15</definedName>
    <definedName name="ДИЭТ" localSheetId="0">[27]Калькуляции!#REF!</definedName>
    <definedName name="ДИЭТ">[27]Калькуляции!#REF!</definedName>
    <definedName name="ДОГПЕР_АВЧСЫРЕЦ" localSheetId="0">[27]Калькуляции!#REF!</definedName>
    <definedName name="ДОГПЕР_АВЧСЫРЕЦ">[27]Калькуляции!#REF!</definedName>
    <definedName name="ДОГПЕР_СЫРЕЦ" localSheetId="0">[27]Калькуляции!#REF!</definedName>
    <definedName name="ДОГПЕР_СЫРЕЦ">[27]Калькуляции!#REF!</definedName>
    <definedName name="Доллар" localSheetId="0">[33]Оборудование_стоим!#REF!</definedName>
    <definedName name="Доллар">[33]Оборудование_стоим!#REF!</definedName>
    <definedName name="евро">[34]Ингонорд!$P$4</definedName>
    <definedName name="еждугорКолПок" localSheetId="0">#REF!</definedName>
    <definedName name="еждугорКолПок">#REF!</definedName>
    <definedName name="еждугорКолПрод" localSheetId="0">#REF!</definedName>
    <definedName name="еждугорКолПрод">#REF!</definedName>
    <definedName name="еждугорОтн" localSheetId="0">#REF!</definedName>
    <definedName name="еждугорОтн">#REF!</definedName>
    <definedName name="еждугорСрПок" localSheetId="0">#REF!</definedName>
    <definedName name="еждугорСрПок">#REF!</definedName>
    <definedName name="еждугорСрПрод" localSheetId="0">#REF!</definedName>
    <definedName name="еждугорСрПрод">#REF!</definedName>
    <definedName name="ЖИДКИЙ" localSheetId="0">#REF!</definedName>
    <definedName name="ЖИДКИЙ">#REF!</definedName>
    <definedName name="З0" localSheetId="0">#REF!</definedName>
    <definedName name="З0">#REF!</definedName>
    <definedName name="З1" localSheetId="0">#REF!</definedName>
    <definedName name="З1">#REF!</definedName>
    <definedName name="З10" localSheetId="0">#REF!</definedName>
    <definedName name="З10">#REF!</definedName>
    <definedName name="З11" localSheetId="0">#REF!</definedName>
    <definedName name="З11">#REF!</definedName>
    <definedName name="З12" localSheetId="0">#REF!</definedName>
    <definedName name="З12">#REF!</definedName>
    <definedName name="З13" localSheetId="0">#REF!</definedName>
    <definedName name="З13">#REF!</definedName>
    <definedName name="З14" localSheetId="0">#REF!</definedName>
    <definedName name="З14">#REF!</definedName>
    <definedName name="З2" localSheetId="0">#REF!</definedName>
    <definedName name="З2">#REF!</definedName>
    <definedName name="З3" localSheetId="0">#REF!</definedName>
    <definedName name="З3">#REF!</definedName>
    <definedName name="З4" localSheetId="0">#REF!</definedName>
    <definedName name="З4">#REF!</definedName>
    <definedName name="З5" localSheetId="0">#REF!</definedName>
    <definedName name="З5">#REF!</definedName>
    <definedName name="З6" localSheetId="0">#REF!</definedName>
    <definedName name="З6">#REF!</definedName>
    <definedName name="З7" localSheetId="0">#REF!</definedName>
    <definedName name="З7">#REF!</definedName>
    <definedName name="З8" localSheetId="0">#REF!</definedName>
    <definedName name="З8">#REF!</definedName>
    <definedName name="З81" localSheetId="0">[27]Калькуляции!#REF!</definedName>
    <definedName name="З81">[27]Калькуляции!#REF!</definedName>
    <definedName name="З9" localSheetId="0">#REF!</definedName>
    <definedName name="З9">#REF!</definedName>
    <definedName name="ЗабайкалСрПок" localSheetId="0">#REF!</definedName>
    <definedName name="ЗабайкалСрПок">#REF!</definedName>
    <definedName name="ЗабайкалСрПрод" localSheetId="0">#REF!</definedName>
    <definedName name="ЗабайкалСрПрод">#REF!</definedName>
    <definedName name="_xlnm.Print_Titles">#N/A</definedName>
    <definedName name="ЗападноСрПок" localSheetId="0">#REF!</definedName>
    <definedName name="ЗападноСрПок">#REF!</definedName>
    <definedName name="ЗападноСрПрод" localSheetId="0">#REF!</definedName>
    <definedName name="ЗападноСрПрод">#REF!</definedName>
    <definedName name="ЗАРПЛАТА" localSheetId="0">#REF!</definedName>
    <definedName name="ЗАРПЛАТА">#REF!</definedName>
    <definedName name="ззззз" localSheetId="0">#REF!</definedName>
    <definedName name="ззззз">#REF!</definedName>
    <definedName name="ЗКР" localSheetId="0">[27]Калькуляции!#REF!</definedName>
    <definedName name="ЗКР">[27]Калькуляции!#REF!</definedName>
    <definedName name="ИЗВ_М" localSheetId="0">#REF!</definedName>
    <definedName name="ИЗВ_М">#REF!</definedName>
    <definedName name="_xlnm.Extract" localSheetId="0">#REF!</definedName>
    <definedName name="_xlnm.Extract">#REF!</definedName>
    <definedName name="ИЗМНЗП_АВЧ" localSheetId="0">#REF!</definedName>
    <definedName name="ИЗМНЗП_АВЧ">#REF!</definedName>
    <definedName name="ИЗМНЗП_АТЧ" localSheetId="0">#REF!</definedName>
    <definedName name="ИЗМНЗП_АТЧ">#REF!</definedName>
    <definedName name="ии" localSheetId="0">#REF!</definedName>
    <definedName name="ии">#REF!</definedName>
    <definedName name="ИнкомбанСрПок" localSheetId="0">#REF!</definedName>
    <definedName name="ИнкомбанСрПок">#REF!</definedName>
    <definedName name="ИнкомбанСрПрод" localSheetId="0">#REF!</definedName>
    <definedName name="ИнкомбанСрПрод">#REF!</definedName>
    <definedName name="ИнтерТЭКСрПок" localSheetId="0">#REF!</definedName>
    <definedName name="ИнтерТЭКСрПок">#REF!</definedName>
    <definedName name="ИнтерТЭКСрПрод" localSheetId="0">#REF!</definedName>
    <definedName name="ИнтерТЭКСрПрод">#REF!</definedName>
    <definedName name="Иркутск2">[28]Дебиторка!$J$16</definedName>
    <definedName name="ИркутскэКолПок" localSheetId="0">#REF!</definedName>
    <definedName name="ИркутскэКолПок">#REF!</definedName>
    <definedName name="ИркутскэКолПрод" localSheetId="0">#REF!</definedName>
    <definedName name="ИркутскэКолПрод">#REF!</definedName>
    <definedName name="ИркутскэОтн" localSheetId="0">#REF!</definedName>
    <definedName name="ИркутскэОтн">#REF!</definedName>
    <definedName name="ИркутскэСрПок" localSheetId="0">#REF!</definedName>
    <definedName name="ИркутскэСрПок">#REF!</definedName>
    <definedName name="ИркутскэСрПрод" localSheetId="0">#REF!</definedName>
    <definedName name="ИркутскэСрПрод">#REF!</definedName>
    <definedName name="ИТВСП" localSheetId="0">#REF!</definedName>
    <definedName name="ИТВСП">#REF!</definedName>
    <definedName name="ИТСЫР" localSheetId="0">#REF!</definedName>
    <definedName name="ИТСЫР">#REF!</definedName>
    <definedName name="ИТТР" localSheetId="0">#REF!</definedName>
    <definedName name="ИТТР">#REF!</definedName>
    <definedName name="ИТЭН" localSheetId="0">#REF!</definedName>
    <definedName name="ИТЭН">#REF!</definedName>
    <definedName name="ИЮЛ_РУБ" localSheetId="0">[27]Калькуляции!#REF!</definedName>
    <definedName name="ИЮЛ_РУБ">[27]Калькуляции!#REF!</definedName>
    <definedName name="ИЮЛ_ТОН" localSheetId="0">[27]Калькуляции!#REF!</definedName>
    <definedName name="ИЮЛ_ТОН">[27]Калькуляции!#REF!</definedName>
    <definedName name="ИЮН_РУБ" localSheetId="0">#REF!</definedName>
    <definedName name="ИЮН_РУБ">#REF!</definedName>
    <definedName name="ИЮН_ТОН" localSheetId="0">#REF!</definedName>
    <definedName name="ИЮН_ТОН">#REF!</definedName>
    <definedName name="й">[35]акции!$A$214:$Q$214</definedName>
    <definedName name="ЙЦУ" localSheetId="0">#REF!</definedName>
    <definedName name="ЙЦУ">#REF!</definedName>
    <definedName name="к">[36]CFm!$C$20:$G$139</definedName>
    <definedName name="к_д">[37]Векселедатель!$F$6:$F$32</definedName>
    <definedName name="К_СЫР" localSheetId="0">#REF!</definedName>
    <definedName name="К_СЫР">#REF!</definedName>
    <definedName name="К_СЫР_ТОЛ" localSheetId="0">[27]Калькуляции!#REF!</definedName>
    <definedName name="К_СЫР_ТОЛ">[27]Калькуляции!#REF!</definedName>
    <definedName name="К2_РУБ" localSheetId="0">[27]Калькуляции!#REF!</definedName>
    <definedName name="К2_РУБ">[27]Калькуляции!#REF!</definedName>
    <definedName name="К2_ТОН" localSheetId="0">[27]Калькуляции!#REF!</definedName>
    <definedName name="К2_ТОН">[27]Калькуляции!#REF!</definedName>
    <definedName name="КазначСрПок" localSheetId="0">#REF!</definedName>
    <definedName name="КазначСрПок">#REF!</definedName>
    <definedName name="КазначСрПрод" localSheetId="0">#REF!</definedName>
    <definedName name="КазначСрПрод">#REF!</definedName>
    <definedName name="КамАЗКолПок" localSheetId="0">#REF!</definedName>
    <definedName name="КамАЗКолПок">#REF!</definedName>
    <definedName name="КамАЗКолПрод" localSheetId="0">#REF!</definedName>
    <definedName name="КамАЗКолПрод">#REF!</definedName>
    <definedName name="КамАЗОтн" localSheetId="0">#REF!</definedName>
    <definedName name="КамАЗОтн">#REF!</definedName>
    <definedName name="КамАЗСрПок" localSheetId="0">#REF!</definedName>
    <definedName name="КамАЗСрПок">#REF!</definedName>
    <definedName name="КамАЗСрПрод" localSheetId="0">#REF!</definedName>
    <definedName name="КамАЗСрПрод">#REF!</definedName>
    <definedName name="КАТАНКА" localSheetId="0">[27]Калькуляции!#REF!</definedName>
    <definedName name="КАТАНКА">[27]Калькуляции!#REF!</definedName>
    <definedName name="КАТАНКА_КРАМЗ" localSheetId="0">[27]Калькуляции!#REF!</definedName>
    <definedName name="КАТАНКА_КРАМЗ">[27]Калькуляции!#REF!</definedName>
    <definedName name="КБОР" localSheetId="0">[27]Калькуляции!#REF!</definedName>
    <definedName name="КБОР">[27]Калькуляции!#REF!</definedName>
    <definedName name="КВ1_РУБ" localSheetId="0">#REF!</definedName>
    <definedName name="КВ1_РУБ">#REF!</definedName>
    <definedName name="КВ1_ТОН" localSheetId="0">#REF!</definedName>
    <definedName name="КВ1_ТОН">#REF!</definedName>
    <definedName name="кв2">[5]!'[StartDialogModule].cbSelectDirPressed'</definedName>
    <definedName name="КВ2_РУБ" localSheetId="0">#REF!</definedName>
    <definedName name="КВ2_РУБ">#REF!</definedName>
    <definedName name="КВ2_ТОН" localSheetId="0">#REF!</definedName>
    <definedName name="КВ2_ТОН">#REF!</definedName>
    <definedName name="КВ3_РУБ" localSheetId="0">#REF!</definedName>
    <definedName name="КВ3_РУБ">#REF!</definedName>
    <definedName name="КВ3_ТОН" localSheetId="0">#REF!</definedName>
    <definedName name="КВ3_ТОН">#REF!</definedName>
    <definedName name="КВ4_РУБ" localSheetId="0">#REF!</definedName>
    <definedName name="КВ4_РУБ">#REF!</definedName>
    <definedName name="КВ4_ТОН" localSheetId="0">#REF!</definedName>
    <definedName name="КВ4_ТОН">#REF!</definedName>
    <definedName name="КемеровсСрПок" localSheetId="0">#REF!</definedName>
    <definedName name="КемеровсСрПок">#REF!</definedName>
    <definedName name="КемеровсСрПрод" localSheetId="0">#REF!</definedName>
    <definedName name="КемеровсСрПрод">#REF!</definedName>
    <definedName name="кл" localSheetId="0">#REF!</definedName>
    <definedName name="кл">#REF!</definedName>
    <definedName name="КнязьРюрик2">[28]Дебиторка!$J$18</definedName>
    <definedName name="КОК_ПРОК" localSheetId="0">#REF!</definedName>
    <definedName name="КОК_ПРОК">#REF!</definedName>
    <definedName name="КоминефтКолПок" localSheetId="0">#REF!</definedName>
    <definedName name="КоминефтКолПок">#REF!</definedName>
    <definedName name="КоминефтКолПрод" localSheetId="0">#REF!</definedName>
    <definedName name="КоминефтКолПрод">#REF!</definedName>
    <definedName name="КоминефтОтн" localSheetId="0">#REF!</definedName>
    <definedName name="КоминефтОтн">#REF!</definedName>
    <definedName name="КоминефтСрПок" localSheetId="0">#REF!</definedName>
    <definedName name="КоминефтСрПок">#REF!</definedName>
    <definedName name="КоминефтСрПрод" localSheetId="0">#REF!</definedName>
    <definedName name="КоминефтСрПрод">#REF!</definedName>
    <definedName name="КОМПЛЕКСНЫЙ" localSheetId="0">[27]Калькуляции!#REF!</definedName>
    <definedName name="КОМПЛЕКСНЫЙ">[27]Калькуляции!#REF!</definedName>
    <definedName name="КондопогКолПок" localSheetId="0">#REF!</definedName>
    <definedName name="КондопогКолПок">#REF!</definedName>
    <definedName name="КондопогКолПрод" localSheetId="0">#REF!</definedName>
    <definedName name="КондопогКолПрод">#REF!</definedName>
    <definedName name="КондопогОтн" localSheetId="0">#REF!</definedName>
    <definedName name="КондопогОтн">#REF!</definedName>
    <definedName name="КондопогСрПок" localSheetId="0">#REF!</definedName>
    <definedName name="КондопогСрПок">#REF!</definedName>
    <definedName name="КондопогСрПрод" localSheetId="0">#REF!</definedName>
    <definedName name="КондопогСрПрод">#REF!</definedName>
    <definedName name="КондпетрКолПок" localSheetId="0">#REF!</definedName>
    <definedName name="КондпетрКолПок">#REF!</definedName>
    <definedName name="КондпетрКолПрод" localSheetId="0">#REF!</definedName>
    <definedName name="КондпетрКолПрод">#REF!</definedName>
    <definedName name="КондпетрОтн" localSheetId="0">#REF!</definedName>
    <definedName name="КондпетрОтн">#REF!</definedName>
    <definedName name="КондпетрСрПок" localSheetId="0">#REF!</definedName>
    <definedName name="КондпетрСрПок">#REF!</definedName>
    <definedName name="КондпетрСрПрод" localSheetId="0">#REF!</definedName>
    <definedName name="КондпетрСрПрод">#REF!</definedName>
    <definedName name="КонПредОП">[38]Меню!$B$3</definedName>
    <definedName name="КОР1" localSheetId="0">[1]Корректировки!#REF!</definedName>
    <definedName name="КОР1">[1]Корректировки!#REF!</definedName>
    <definedName name="КОР10" localSheetId="0">[1]Корректировки!#REF!</definedName>
    <definedName name="КОР10">[1]Корректировки!#REF!</definedName>
    <definedName name="КОР11" localSheetId="0">[1]Корректировки!#REF!</definedName>
    <definedName name="КОР11">[1]Корректировки!#REF!</definedName>
    <definedName name="КОР12" localSheetId="0">[1]Корректировки!#REF!</definedName>
    <definedName name="КОР12">[1]Корректировки!#REF!</definedName>
    <definedName name="КОР13" localSheetId="0">[1]Корректировки!#REF!</definedName>
    <definedName name="КОР13">[1]Корректировки!#REF!</definedName>
    <definedName name="КОР14" localSheetId="0">[1]Корректировки!#REF!</definedName>
    <definedName name="КОР14">[1]Корректировки!#REF!</definedName>
    <definedName name="КОР15" localSheetId="0">[1]Корректировки!#REF!</definedName>
    <definedName name="КОР15">[1]Корректировки!#REF!</definedName>
    <definedName name="КОР16" localSheetId="0">[1]Корректировки!#REF!</definedName>
    <definedName name="КОР16">[1]Корректировки!#REF!</definedName>
    <definedName name="КОР17" localSheetId="0">[1]Корректировки!#REF!</definedName>
    <definedName name="КОР17">[1]Корректировки!#REF!</definedName>
    <definedName name="КОР18" localSheetId="0">[1]Корректировки!#REF!</definedName>
    <definedName name="КОР18">[1]Корректировки!#REF!</definedName>
    <definedName name="КОР19" localSheetId="0">[1]Корректировки!#REF!</definedName>
    <definedName name="КОР19">[1]Корректировки!#REF!</definedName>
    <definedName name="КОР2" localSheetId="0">[1]Корректировки!#REF!</definedName>
    <definedName name="КОР2">[1]Корректировки!#REF!</definedName>
    <definedName name="КОР20" localSheetId="0">[1]Корректировки!#REF!</definedName>
    <definedName name="КОР20">[1]Корректировки!#REF!</definedName>
    <definedName name="КОР21" localSheetId="0">[1]Корректировки!#REF!</definedName>
    <definedName name="КОР21">[1]Корректировки!#REF!</definedName>
    <definedName name="КОР22" localSheetId="0">[1]Корректировки!#REF!</definedName>
    <definedName name="КОР22">[1]Корректировки!#REF!</definedName>
    <definedName name="КОР23" localSheetId="0">[1]Корректировки!#REF!</definedName>
    <definedName name="КОР23">[1]Корректировки!#REF!</definedName>
    <definedName name="КОР24" localSheetId="0">[1]Корректировки!#REF!</definedName>
    <definedName name="КОР24">[1]Корректировки!#REF!</definedName>
    <definedName name="КОР25" localSheetId="0">[1]Корректировки!#REF!</definedName>
    <definedName name="КОР25">[1]Корректировки!#REF!</definedName>
    <definedName name="КОР3" localSheetId="0">[1]Корректировки!#REF!</definedName>
    <definedName name="КОР3">[1]Корректировки!#REF!</definedName>
    <definedName name="КОР4" localSheetId="0">[1]Корректировки!#REF!</definedName>
    <definedName name="КОР4">[1]Корректировки!#REF!</definedName>
    <definedName name="КОР5" localSheetId="0">[1]Корректировки!#REF!</definedName>
    <definedName name="КОР5">[1]Корректировки!#REF!</definedName>
    <definedName name="КОР6" localSheetId="0">[1]Корректировки!#REF!</definedName>
    <definedName name="КОР6">[1]Корректировки!#REF!</definedName>
    <definedName name="КОР7" localSheetId="0">[1]Корректировки!#REF!</definedName>
    <definedName name="КОР7">[1]Корректировки!#REF!</definedName>
    <definedName name="КОР8" localSheetId="0">[1]Корректировки!#REF!</definedName>
    <definedName name="КОР8">[1]Корректировки!#REF!</definedName>
    <definedName name="КОР9" localSheetId="0">[1]Корректировки!#REF!</definedName>
    <definedName name="КОР9">[1]Корректировки!#REF!</definedName>
    <definedName name="КОРA1" localSheetId="0">[1]Корректировки!#REF!</definedName>
    <definedName name="КОРA1">[1]Корректировки!#REF!</definedName>
    <definedName name="КОРК_7" localSheetId="0">#REF!</definedName>
    <definedName name="КОРК_7">#REF!</definedName>
    <definedName name="КОРК_АВЧ" localSheetId="0">#REF!</definedName>
    <definedName name="КОРК_АВЧ">#REF!</definedName>
    <definedName name="коэф_блоки" localSheetId="0">#REF!</definedName>
    <definedName name="коэф_блоки">#REF!</definedName>
    <definedName name="коэф_глин" localSheetId="0">#REF!</definedName>
    <definedName name="коэф_глин">#REF!</definedName>
    <definedName name="коэф_кокс" localSheetId="0">#REF!</definedName>
    <definedName name="коэф_кокс">#REF!</definedName>
    <definedName name="коэф_пек" localSheetId="0">#REF!</definedName>
    <definedName name="коэф_пек">#REF!</definedName>
    <definedName name="КПП" localSheetId="0">#REF!</definedName>
    <definedName name="КПП">#REF!</definedName>
    <definedName name="кр" localSheetId="0">#REF!</definedName>
    <definedName name="кр">#REF!</definedName>
    <definedName name="КР_" localSheetId="0">#REF!</definedName>
    <definedName name="КР_">#REF!</definedName>
    <definedName name="КР_10" localSheetId="0">#REF!</definedName>
    <definedName name="КР_10">#REF!</definedName>
    <definedName name="КР_2ЦЕХ" localSheetId="0">#REF!</definedName>
    <definedName name="КР_2ЦЕХ">#REF!</definedName>
    <definedName name="КР_7" localSheetId="0">#REF!</definedName>
    <definedName name="КР_7">#REF!</definedName>
    <definedName name="КР_8" localSheetId="0">#REF!</definedName>
    <definedName name="КР_8">#REF!</definedName>
    <definedName name="кр_до165" localSheetId="0">#REF!</definedName>
    <definedName name="кр_до165">#REF!</definedName>
    <definedName name="КР_КРАМЗ" localSheetId="0">#REF!</definedName>
    <definedName name="КР_КРАМЗ">#REF!</definedName>
    <definedName name="КР_ЛОК" localSheetId="0">[27]Калькуляции!#REF!</definedName>
    <definedName name="КР_ЛОК">[27]Калькуляции!#REF!</definedName>
    <definedName name="КР_ЛОК_8" localSheetId="0">[27]Калькуляции!#REF!</definedName>
    <definedName name="КР_ЛОК_8">[27]Калькуляции!#REF!</definedName>
    <definedName name="КР_ОБАН" localSheetId="0">#REF!</definedName>
    <definedName name="КР_ОБАН">#REF!</definedName>
    <definedName name="кр_с8б" localSheetId="0">#REF!</definedName>
    <definedName name="кр_с8б">#REF!</definedName>
    <definedName name="КР_С8БМ" localSheetId="0">#REF!</definedName>
    <definedName name="КР_С8БМ">#REF!</definedName>
    <definedName name="КР_СУМ" localSheetId="0">#REF!</definedName>
    <definedName name="КР_СУМ">#REF!</definedName>
    <definedName name="КР_Ф" localSheetId="0">#REF!</definedName>
    <definedName name="КР_Ф">#REF!</definedName>
    <definedName name="КР_ЦЕХА" localSheetId="0">[27]Калькуляции!#REF!</definedName>
    <definedName name="КР_ЦЕХА">[27]Калькуляции!#REF!</definedName>
    <definedName name="КР_ЭЮ" localSheetId="0">[27]Калькуляции!#REF!</definedName>
    <definedName name="КР_ЭЮ">[27]Калькуляции!#REF!</definedName>
    <definedName name="КрасноярСрПок" localSheetId="0">#REF!</definedName>
    <definedName name="КрасноярСрПок">#REF!</definedName>
    <definedName name="КрасноярСрПрод" localSheetId="0">#REF!</definedName>
    <definedName name="КрасноярСрПрод">#REF!</definedName>
    <definedName name="КрасноярэнКолПок" localSheetId="0">#REF!</definedName>
    <definedName name="КрасноярэнКолПок">#REF!</definedName>
    <definedName name="КрасноярэнКолПрод" localSheetId="0">#REF!</definedName>
    <definedName name="КрасноярэнКолПрод">#REF!</definedName>
    <definedName name="КрасноярэнОтн" localSheetId="0">#REF!</definedName>
    <definedName name="КрасноярэнОтн">#REF!</definedName>
    <definedName name="КрасноярэнСрПок" localSheetId="0">#REF!</definedName>
    <definedName name="КрасноярэнСрПок">#REF!</definedName>
    <definedName name="КрасноярэнСрПрод" localSheetId="0">#REF!</definedName>
    <definedName name="КрасноярэнСрПрод">#REF!</definedName>
    <definedName name="КрасныйКолПок" localSheetId="0">#REF!</definedName>
    <definedName name="КрасныйКолПок">#REF!</definedName>
    <definedName name="КрасныйКолПрод" localSheetId="0">#REF!</definedName>
    <definedName name="КрасныйКолПрод">#REF!</definedName>
    <definedName name="КрасныйОтн" localSheetId="0">#REF!</definedName>
    <definedName name="КрасныйОтн">#REF!</definedName>
    <definedName name="КрасныйСрПок" localSheetId="0">#REF!</definedName>
    <definedName name="КрасныйСрПок">#REF!</definedName>
    <definedName name="КрасныйСрПрод" localSheetId="0">#REF!</definedName>
    <definedName name="КрасныйСрПрод">#REF!</definedName>
    <definedName name="КРЕМНИЙ" localSheetId="0">[27]Калькуляции!#REF!</definedName>
    <definedName name="КРЕМНИЙ">[27]Калькуляции!#REF!</definedName>
    <definedName name="_xlnm.Criteria" localSheetId="0">#REF!</definedName>
    <definedName name="_xlnm.Criteria">#REF!</definedName>
    <definedName name="КрПроцент" localSheetId="0">#REF!</definedName>
    <definedName name="КрПроцент">#REF!</definedName>
    <definedName name="КРУПН_КРАМЗ" localSheetId="0">#REF!</definedName>
    <definedName name="КРУПН_КРАМЗ">#REF!</definedName>
    <definedName name="КуйбышевСрПок" localSheetId="0">#REF!</definedName>
    <definedName name="КуйбышевСрПок">#REF!</definedName>
    <definedName name="КуйбышевСрПрод" localSheetId="0">#REF!</definedName>
    <definedName name="КуйбышевСрПрод">#REF!</definedName>
    <definedName name="кур" localSheetId="0">#REF!</definedName>
    <definedName name="кур">#REF!</definedName>
    <definedName name="курс" localSheetId="0">'[39]Equities summary'!#REF!</definedName>
    <definedName name="курс">'[39]Equities summary'!#REF!</definedName>
    <definedName name="КурскАЭССрПок" localSheetId="0">#REF!</definedName>
    <definedName name="КурскАЭССрПок">#REF!</definedName>
    <definedName name="КурскАЭССрПрод" localSheetId="0">#REF!</definedName>
    <definedName name="КурскАЭССрПрод">#REF!</definedName>
    <definedName name="л" localSheetId="0">#REF!</definedName>
    <definedName name="л">#REF!</definedName>
    <definedName name="ЛенэКолПок" localSheetId="0">#REF!</definedName>
    <definedName name="ЛенэКолПок">#REF!</definedName>
    <definedName name="ЛенэКолПрод" localSheetId="0">#REF!</definedName>
    <definedName name="ЛенэКолПрод">#REF!</definedName>
    <definedName name="ЛенэОтн" localSheetId="0">#REF!</definedName>
    <definedName name="ЛенэОтн">#REF!</definedName>
    <definedName name="ЛенэСрПок" localSheetId="0">#REF!</definedName>
    <definedName name="ЛенэСрПок">#REF!</definedName>
    <definedName name="ЛенэСрПрод" localSheetId="0">#REF!</definedName>
    <definedName name="ЛенэСрПрод">#REF!</definedName>
    <definedName name="ЛИГ_АЛ_М" localSheetId="0">[27]Калькуляции!#REF!</definedName>
    <definedName name="ЛИГ_АЛ_М">[27]Калькуляции!#REF!</definedName>
    <definedName name="ЛИГ_БР_ТИ" localSheetId="0">[27]Калькуляции!#REF!</definedName>
    <definedName name="ЛИГ_БР_ТИ">[27]Калькуляции!#REF!</definedName>
    <definedName name="МАГНИЙ" localSheetId="0">[27]Калькуляции!#REF!</definedName>
    <definedName name="МАГНИЙ">[27]Калькуляции!#REF!</definedName>
    <definedName name="МагнитМКСрПок" localSheetId="0">#REF!</definedName>
    <definedName name="МагнитМКСрПок">#REF!</definedName>
    <definedName name="МагнитМКСрПрод" localSheetId="0">#REF!</definedName>
    <definedName name="МагнитМКСрПрод">#REF!</definedName>
    <definedName name="МАЙ_РУБ" localSheetId="0">#REF!</definedName>
    <definedName name="МАЙ_РУБ">#REF!</definedName>
    <definedName name="МАЙ_ТОН" localSheetId="0">#REF!</definedName>
    <definedName name="МАЙ_ТОН">#REF!</definedName>
    <definedName name="МАР_РУБ" localSheetId="0">#REF!</definedName>
    <definedName name="МАР_РУБ">#REF!</definedName>
    <definedName name="МАР_ТОН" localSheetId="0">#REF!</definedName>
    <definedName name="МАР_ТОН">#REF!</definedName>
    <definedName name="МАРГ_ЛИГ" localSheetId="0">[27]Калькуляции!#REF!</definedName>
    <definedName name="МАРГ_ЛИГ">[27]Калькуляции!#REF!</definedName>
    <definedName name="МАРГ_ЛИГ_ДП" localSheetId="0">#REF!</definedName>
    <definedName name="МАРГ_ЛИГ_ДП">#REF!</definedName>
    <definedName name="МАРГ_ЛИГ_СТ" localSheetId="0">[27]Калькуляции!#REF!</definedName>
    <definedName name="МАРГ_ЛИГ_СТ">[27]Калькуляции!#REF!</definedName>
    <definedName name="МБОЕЭЭКСрПок" localSheetId="0">#REF!</definedName>
    <definedName name="МБОЕЭЭКСрПок">#REF!</definedName>
    <definedName name="МБОЕЭЭКСрПрод" localSheetId="0">#REF!</definedName>
    <definedName name="МБОЕЭЭКСрПрод">#REF!</definedName>
    <definedName name="МегионнеКолПок" localSheetId="0">#REF!</definedName>
    <definedName name="МегионнеКолПок">#REF!</definedName>
    <definedName name="МегионнеКолПрод" localSheetId="0">#REF!</definedName>
    <definedName name="МегионнеКолПрод">#REF!</definedName>
    <definedName name="МегионнеОтн" localSheetId="0">#REF!</definedName>
    <definedName name="МегионнеОтн">#REF!</definedName>
    <definedName name="МегионнеСрПок" localSheetId="0">#REF!</definedName>
    <definedName name="МегионнеСрПок">#REF!</definedName>
    <definedName name="МегионнеСрПрод" localSheetId="0">#REF!</definedName>
    <definedName name="МегионнеСрПрод">#REF!</definedName>
    <definedName name="МЕД" localSheetId="0">#REF!</definedName>
    <definedName name="МЕД">#REF!</definedName>
    <definedName name="МЕД_" localSheetId="0">#REF!</definedName>
    <definedName name="МЕД_">#REF!</definedName>
    <definedName name="МежкомбаСрПок" localSheetId="0">#REF!</definedName>
    <definedName name="МежкомбаСрПок">#REF!</definedName>
    <definedName name="МежкомбаСрПрод" localSheetId="0">#REF!</definedName>
    <definedName name="МежкомбаСрПрод">#REF!</definedName>
    <definedName name="МЕЛ_СУМ" localSheetId="0">#REF!</definedName>
    <definedName name="МЕЛ_СУМ">#REF!</definedName>
    <definedName name="МенатепСрПок" localSheetId="0">#REF!</definedName>
    <definedName name="МенатепСрПок">#REF!</definedName>
    <definedName name="МенатепСрПрод" localSheetId="0">#REF!</definedName>
    <definedName name="МенатепСрПрод">#REF!</definedName>
    <definedName name="Месяц">[40]Даты!$B$1</definedName>
    <definedName name="МЕСЯЦЫ" localSheetId="0">[41]Январь!#REF!</definedName>
    <definedName name="МЕСЯЦЫ">[41]Январь!#REF!</definedName>
    <definedName name="Мет_собс" localSheetId="0">#REF!</definedName>
    <definedName name="Мет_собс">#REF!</definedName>
    <definedName name="Мет_ЭЛЦ3" localSheetId="0">#REF!</definedName>
    <definedName name="Мет_ЭЛЦ3">#REF!</definedName>
    <definedName name="Метроном2">[28]Дебиторка!$J$14</definedName>
    <definedName name="Минфин1СрПок" localSheetId="0">#REF!</definedName>
    <definedName name="Минфин1СрПок">#REF!</definedName>
    <definedName name="Минфин1СрПрод" localSheetId="0">#REF!</definedName>
    <definedName name="Минфин1СрПрод">#REF!</definedName>
    <definedName name="Минфин2СрПок" localSheetId="0">#REF!</definedName>
    <definedName name="Минфин2СрПок">#REF!</definedName>
    <definedName name="Минфин2СрПрод" localSheetId="0">#REF!</definedName>
    <definedName name="Минфин2СрПрод">#REF!</definedName>
    <definedName name="Минфин3СрПок" localSheetId="0">#REF!</definedName>
    <definedName name="Минфин3СрПок">#REF!</definedName>
    <definedName name="Минфин3СрПрод" localSheetId="0">#REF!</definedName>
    <definedName name="Минфин3СрПрод">#REF!</definedName>
    <definedName name="Минфин4СрПок" localSheetId="0">#REF!</definedName>
    <definedName name="Минфин4СрПок">#REF!</definedName>
    <definedName name="Минфин4СрПрод" localSheetId="0">#REF!</definedName>
    <definedName name="Минфин4СрПрод">#REF!</definedName>
    <definedName name="Минфин5СрПок" localSheetId="0">#REF!</definedName>
    <definedName name="Минфин5СрПок">#REF!</definedName>
    <definedName name="Минфин5СрПрод" localSheetId="0">#REF!</definedName>
    <definedName name="Минфин5СрПрод">#REF!</definedName>
    <definedName name="Минфин6СрПок" localSheetId="0">#REF!</definedName>
    <definedName name="Минфин6СрПок">#REF!</definedName>
    <definedName name="Минфин6СрПрод" localSheetId="0">#REF!</definedName>
    <definedName name="Минфин6СрПрод">#REF!</definedName>
    <definedName name="Минфин7СрПок" localSheetId="0">#REF!</definedName>
    <definedName name="Минфин7СрПок">#REF!</definedName>
    <definedName name="Минфин7СрПрод" localSheetId="0">#REF!</definedName>
    <definedName name="Минфин7СрПрод">#REF!</definedName>
    <definedName name="Минфин8СрПок" localSheetId="0">#REF!</definedName>
    <definedName name="Минфин8СрПок">#REF!</definedName>
    <definedName name="Минфин8СрПрод" localSheetId="0">#REF!</definedName>
    <definedName name="Минфин8СрПрод">#REF!</definedName>
    <definedName name="МЛИГ_АМ" localSheetId="0">[27]Калькуляции!#REF!</definedName>
    <definedName name="МЛИГ_АМ">[27]Калькуляции!#REF!</definedName>
    <definedName name="МЛИГ_ЭЛ" localSheetId="0">[27]Калькуляции!#REF!</definedName>
    <definedName name="МЛИГ_ЭЛ">[27]Калькуляции!#REF!</definedName>
    <definedName name="МосвканбанкСрПок" localSheetId="0">#REF!</definedName>
    <definedName name="МосвканбанкСрПок">#REF!</definedName>
    <definedName name="МосвканбанкСрПрод" localSheetId="0">#REF!</definedName>
    <definedName name="МосвканбанкСрПрод">#REF!</definedName>
    <definedName name="МоскнацбСрПок" localSheetId="0">#REF!</definedName>
    <definedName name="МоскнацбСрПок">#REF!</definedName>
    <definedName name="МоскнацбСрПрод" localSheetId="0">#REF!</definedName>
    <definedName name="МоскнацбСрПрод">#REF!</definedName>
    <definedName name="МосковскКолПок" localSheetId="0">#REF!</definedName>
    <definedName name="МосковскКолПок">#REF!</definedName>
    <definedName name="МосковскКолПрод" localSheetId="0">#REF!</definedName>
    <definedName name="МосковскКолПрод">#REF!</definedName>
    <definedName name="МосковскОтн" localSheetId="0">#REF!</definedName>
    <definedName name="МосковскОтн">#REF!</definedName>
    <definedName name="МосковскСрПок" localSheetId="0">#REF!</definedName>
    <definedName name="МосковскСрПок">#REF!</definedName>
    <definedName name="МосковскСрПрод" localSheetId="0">#REF!</definedName>
    <definedName name="МосковскСрПрод">#REF!</definedName>
    <definedName name="МосэКолПок" localSheetId="0">#REF!</definedName>
    <definedName name="МосэКолПок">#REF!</definedName>
    <definedName name="МосэКолПрод" localSheetId="0">#REF!</definedName>
    <definedName name="МосэКолПрод">#REF!</definedName>
    <definedName name="МосэОтн" localSheetId="0">#REF!</definedName>
    <definedName name="МосэОтн">#REF!</definedName>
    <definedName name="МосэСрПок" localSheetId="0">#REF!</definedName>
    <definedName name="МосэСрПок">#REF!</definedName>
    <definedName name="МосэСрПрод" localSheetId="0">#REF!</definedName>
    <definedName name="МосэСрПрод">#REF!</definedName>
    <definedName name="мото" localSheetId="0">[5]!'[StartDialogModule].cbSelectDirPressed'</definedName>
    <definedName name="мото">[5]!'[StartDialogModule].cbSelectDirPressed'</definedName>
    <definedName name="МС6_РУБ" localSheetId="0">[27]Калькуляции!#REF!</definedName>
    <definedName name="МС6_РУБ">[27]Калькуляции!#REF!</definedName>
    <definedName name="МС6_ТОН" localSheetId="0">[27]Калькуляции!#REF!</definedName>
    <definedName name="МС6_ТОН">[27]Калькуляции!#REF!</definedName>
    <definedName name="МС9_РУБ" localSheetId="0">[27]Калькуляции!#REF!</definedName>
    <definedName name="МС9_РУБ">[27]Калькуляции!#REF!</definedName>
    <definedName name="МС9_ТОН" localSheetId="0">[27]Калькуляции!#REF!</definedName>
    <definedName name="МС9_ТОН">[27]Калькуляции!#REF!</definedName>
    <definedName name="Н_2ЦЕХ_СКАЛ" localSheetId="0">#REF!</definedName>
    <definedName name="Н_2ЦЕХ_СКАЛ">#REF!</definedName>
    <definedName name="Н_АЛФ" localSheetId="0">#REF!</definedName>
    <definedName name="Н_АЛФ">#REF!</definedName>
    <definedName name="Н_АМ_МЛ" localSheetId="0">[27]Калькуляции!#REF!</definedName>
    <definedName name="Н_АМ_МЛ">[27]Калькуляции!#REF!</definedName>
    <definedName name="Н_АНБЛ" localSheetId="0">#REF!</definedName>
    <definedName name="Н_АНБЛ">#REF!</definedName>
    <definedName name="Н_АНБЛ_В" localSheetId="0">[27]Калькуляции!#REF!</definedName>
    <definedName name="Н_АНБЛ_В">[27]Калькуляции!#REF!</definedName>
    <definedName name="Н_АНБЛ_Т" localSheetId="0">[27]Калькуляции!#REF!</definedName>
    <definedName name="Н_АНБЛ_Т">[27]Калькуляции!#REF!</definedName>
    <definedName name="Н_АФ_МЛ" localSheetId="0">[27]Калькуляции!#REF!</definedName>
    <definedName name="Н_АФ_МЛ">[27]Калькуляции!#REF!</definedName>
    <definedName name="Н_ВАЛФ" localSheetId="0">#REF!</definedName>
    <definedName name="Н_ВАЛФ">#REF!</definedName>
    <definedName name="Н_ВГР" localSheetId="0">#REF!</definedName>
    <definedName name="Н_ВГР">#REF!</definedName>
    <definedName name="Н_ВКРСВ" localSheetId="0">#REF!</definedName>
    <definedName name="Н_ВКРСВ">#REF!</definedName>
    <definedName name="Н_ВМЕДЬ" localSheetId="0">#REF!</definedName>
    <definedName name="Н_ВМЕДЬ">#REF!</definedName>
    <definedName name="Н_ВОДОБКРУПН" localSheetId="0">#REF!</definedName>
    <definedName name="Н_ВОДОБКРУПН">#REF!</definedName>
    <definedName name="Н_ВХЛБ" localSheetId="0">#REF!</definedName>
    <definedName name="Н_ВХЛБ">#REF!</definedName>
    <definedName name="Н_ВХЛН" localSheetId="0">#REF!</definedName>
    <definedName name="Н_ВХЛН">#REF!</definedName>
    <definedName name="Н_ГИДЗ" localSheetId="0">#REF!</definedName>
    <definedName name="Н_ГИДЗ">#REF!</definedName>
    <definedName name="Н_ГЛ_ВН" localSheetId="0">#REF!</definedName>
    <definedName name="Н_ГЛ_ВН">#REF!</definedName>
    <definedName name="Н_ГЛ_ДП" localSheetId="0">[27]Калькуляции!#REF!</definedName>
    <definedName name="Н_ГЛ_ДП">[27]Калькуляции!#REF!</definedName>
    <definedName name="Н_ГЛ_ИТ" localSheetId="0">[27]Калькуляции!#REF!</definedName>
    <definedName name="Н_ГЛ_ИТ">[27]Калькуляции!#REF!</definedName>
    <definedName name="Н_ГЛ_ТОЛ" localSheetId="0">#REF!</definedName>
    <definedName name="Н_ГЛ_ТОЛ">#REF!</definedName>
    <definedName name="Н_ГЛШ" localSheetId="0">#REF!</definedName>
    <definedName name="Н_ГЛШ">#REF!</definedName>
    <definedName name="Н_ИЗВ" localSheetId="0">#REF!</definedName>
    <definedName name="Н_ИЗВ">#REF!</definedName>
    <definedName name="Н_К_ПРОК" localSheetId="0">#REF!</definedName>
    <definedName name="Н_К_ПРОК">#REF!</definedName>
    <definedName name="Н_К_СЫР" localSheetId="0">#REF!</definedName>
    <definedName name="Н_К_СЫР">#REF!</definedName>
    <definedName name="Н_К_СЫР_П" localSheetId="0">[27]Калькуляции!#REF!</definedName>
    <definedName name="Н_К_СЫР_П">[27]Калькуляции!#REF!</definedName>
    <definedName name="Н_К_СЫР_Т" localSheetId="0">[27]Калькуляции!#REF!</definedName>
    <definedName name="Н_К_СЫР_Т">[27]Калькуляции!#REF!</definedName>
    <definedName name="Н_КАВЧ_АЛФ" localSheetId="0">#REF!</definedName>
    <definedName name="Н_КАВЧ_АЛФ">#REF!</definedName>
    <definedName name="Н_КАВЧ_ГРАФ" localSheetId="0">#REF!</definedName>
    <definedName name="Н_КАВЧ_ГРАФ">#REF!</definedName>
    <definedName name="Н_КАВЧ_КРС" localSheetId="0">#REF!</definedName>
    <definedName name="Н_КАВЧ_КРС">#REF!</definedName>
    <definedName name="Н_КАВЧ_МЕД" localSheetId="0">#REF!</definedName>
    <definedName name="Н_КАВЧ_МЕД">#REF!</definedName>
    <definedName name="Н_КАВЧ_ХЛБ" localSheetId="0">#REF!</definedName>
    <definedName name="Н_КАВЧ_ХЛБ">#REF!</definedName>
    <definedName name="Н_КАО_СКАЛ" localSheetId="0">#REF!</definedName>
    <definedName name="Н_КАО_СКАЛ">#REF!</definedName>
    <definedName name="Н_КЕРОСИН" localSheetId="0">#REF!</definedName>
    <definedName name="Н_КЕРОСИН">#REF!</definedName>
    <definedName name="Н_КЛОК_КРСМ" localSheetId="0">[27]Калькуляции!#REF!</definedName>
    <definedName name="Н_КЛОК_КРСМ">[27]Калькуляции!#REF!</definedName>
    <definedName name="Н_КЛОК_СКАЛ" localSheetId="0">[27]Калькуляции!#REF!</definedName>
    <definedName name="Н_КЛОК_СКАЛ">[27]Калькуляции!#REF!</definedName>
    <definedName name="Н_КЛОК_ФТК" localSheetId="0">[27]Калькуляции!#REF!</definedName>
    <definedName name="Н_КЛОК_ФТК">[27]Калькуляции!#REF!</definedName>
    <definedName name="Н_КОА_АБ" localSheetId="0">#REF!</definedName>
    <definedName name="Н_КОА_АБ">#REF!</definedName>
    <definedName name="Н_КОА_ГЛ" localSheetId="0">#REF!</definedName>
    <definedName name="Н_КОА_ГЛ">#REF!</definedName>
    <definedName name="Н_КОА_КРС" localSheetId="0">#REF!</definedName>
    <definedName name="Н_КОА_КРС">#REF!</definedName>
    <definedName name="Н_КОА_КРСМ" localSheetId="0">#REF!</definedName>
    <definedName name="Н_КОА_КРСМ">#REF!</definedName>
    <definedName name="Н_КОА_СКАЛ" localSheetId="0">#REF!</definedName>
    <definedName name="Н_КОА_СКАЛ">#REF!</definedName>
    <definedName name="Н_КОА_ФК" localSheetId="0">#REF!</definedName>
    <definedName name="Н_КОА_ФК">#REF!</definedName>
    <definedName name="Н_КОРК_7" localSheetId="0">#REF!</definedName>
    <definedName name="Н_КОРК_7">#REF!</definedName>
    <definedName name="Н_КОРК_АВЧ" localSheetId="0">#REF!</definedName>
    <definedName name="Н_КОРК_АВЧ">#REF!</definedName>
    <definedName name="Н_КР_АК5М2" localSheetId="0">[27]Калькуляции!#REF!</definedName>
    <definedName name="Н_КР_АК5М2">[27]Калькуляции!#REF!</definedName>
    <definedName name="Н_КР_ПАР" localSheetId="0">[27]Калькуляции!#REF!</definedName>
    <definedName name="Н_КР_ПАР">[27]Калькуляции!#REF!</definedName>
    <definedName name="Н_КР19_СКАЛ" localSheetId="0">#REF!</definedName>
    <definedName name="Н_КР19_СКАЛ">#REF!</definedName>
    <definedName name="Н_КРАК12" localSheetId="0">[27]Калькуляции!#REF!</definedName>
    <definedName name="Н_КРАК12">[27]Калькуляции!#REF!</definedName>
    <definedName name="Н_КРАК9ПЧ" localSheetId="0">[27]Калькуляции!#REF!</definedName>
    <definedName name="Н_КРАК9ПЧ">[27]Калькуляции!#REF!</definedName>
    <definedName name="Н_КРЕМ_МЛ" localSheetId="0">[27]Калькуляции!#REF!</definedName>
    <definedName name="Н_КРЕМ_МЛ">[27]Калькуляции!#REF!</definedName>
    <definedName name="Н_КРЕМАК12" localSheetId="0">[27]Калькуляции!#REF!</definedName>
    <definedName name="Н_КРЕМАК12">[27]Калькуляции!#REF!</definedName>
    <definedName name="Н_КРЕМАК5М2" localSheetId="0">[27]Калькуляции!#REF!</definedName>
    <definedName name="Н_КРЕМАК5М2">[27]Калькуляции!#REF!</definedName>
    <definedName name="Н_КРЕМАК9ПЧ" localSheetId="0">[27]Калькуляции!#REF!</definedName>
    <definedName name="Н_КРЕМАК9ПЧ">[27]Калькуляции!#REF!</definedName>
    <definedName name="Н_КРИОЛ_МЛ" localSheetId="0">[27]Калькуляции!#REF!</definedName>
    <definedName name="Н_КРИОЛ_МЛ">[27]Калькуляции!#REF!</definedName>
    <definedName name="Н_КРКРУПН" localSheetId="0">[27]Калькуляции!#REF!</definedName>
    <definedName name="Н_КРКРУПН">[27]Калькуляции!#REF!</definedName>
    <definedName name="Н_КРМЕЛКИЕ" localSheetId="0">[27]Калькуляции!#REF!</definedName>
    <definedName name="Н_КРМЕЛКИЕ">[27]Калькуляции!#REF!</definedName>
    <definedName name="Н_КРРЕКВИЗИТЫ" localSheetId="0">[27]Калькуляции!#REF!</definedName>
    <definedName name="Н_КРРЕКВИЗИТЫ">[27]Калькуляции!#REF!</definedName>
    <definedName name="Н_КРСВ" localSheetId="0">#REF!</definedName>
    <definedName name="Н_КРСВ">#REF!</definedName>
    <definedName name="Н_КРСЛИТКИ" localSheetId="0">[27]Калькуляции!#REF!</definedName>
    <definedName name="Н_КРСЛИТКИ">[27]Калькуляции!#REF!</definedName>
    <definedName name="Н_КРСМ" localSheetId="0">#REF!</definedName>
    <definedName name="Н_КРСМ">#REF!</definedName>
    <definedName name="Н_КРФ" localSheetId="0">[27]Калькуляции!#REF!</definedName>
    <definedName name="Н_КРФ">[27]Калькуляции!#REF!</definedName>
    <definedName name="Н_КСГИД" localSheetId="0">#REF!</definedName>
    <definedName name="Н_КСГИД">#REF!</definedName>
    <definedName name="Н_КСКАУСТ" localSheetId="0">#REF!</definedName>
    <definedName name="Н_КСКАУСТ">#REF!</definedName>
    <definedName name="Н_КСПЕНА" localSheetId="0">#REF!</definedName>
    <definedName name="Н_КСПЕНА">#REF!</definedName>
    <definedName name="Н_КСПЕНА_С" localSheetId="0">[27]Калькуляции!#REF!</definedName>
    <definedName name="Н_КСПЕНА_С">[27]Калькуляции!#REF!</definedName>
    <definedName name="Н_КССОДГО" localSheetId="0">#REF!</definedName>
    <definedName name="Н_КССОДГО">#REF!</definedName>
    <definedName name="Н_КССОДКАЛ" localSheetId="0">#REF!</definedName>
    <definedName name="Н_КССОДКАЛ">#REF!</definedName>
    <definedName name="Н_ЛИГ_АЛ_М" localSheetId="0">[27]Калькуляции!#REF!</definedName>
    <definedName name="Н_ЛИГ_АЛ_М">[27]Калькуляции!#REF!</definedName>
    <definedName name="Н_ЛИГ_АЛ_МАК5М2" localSheetId="0">[27]Калькуляции!#REF!</definedName>
    <definedName name="Н_ЛИГ_АЛ_МАК5М2">[27]Калькуляции!#REF!</definedName>
    <definedName name="Н_ЛИГ_БР_ТИ" localSheetId="0">[27]Калькуляции!#REF!</definedName>
    <definedName name="Н_ЛИГ_БР_ТИ">[27]Калькуляции!#REF!</definedName>
    <definedName name="Н_МАГНАК5М2" localSheetId="0">[27]Калькуляции!#REF!</definedName>
    <definedName name="Н_МАГНАК5М2">[27]Калькуляции!#REF!</definedName>
    <definedName name="Н_МАГНАК9ПЧ" localSheetId="0">[27]Калькуляции!#REF!</definedName>
    <definedName name="Н_МАГНАК9ПЧ">[27]Калькуляции!#REF!</definedName>
    <definedName name="Н_МАЗ" localSheetId="0">[27]Калькуляции!#REF!</definedName>
    <definedName name="Н_МАЗ">[27]Калькуляции!#REF!</definedName>
    <definedName name="Н_МАРГ_МЛ" localSheetId="0">[27]Калькуляции!#REF!</definedName>
    <definedName name="Н_МАРГ_МЛ">[27]Калькуляции!#REF!</definedName>
    <definedName name="Н_МАССА" localSheetId="0">#REF!</definedName>
    <definedName name="Н_МАССА">#REF!</definedName>
    <definedName name="Н_МАССА_В" localSheetId="0">[27]Калькуляции!#REF!</definedName>
    <definedName name="Н_МАССА_В">[27]Калькуляции!#REF!</definedName>
    <definedName name="Н_МАССА_П" localSheetId="0">[27]Калькуляции!#REF!</definedName>
    <definedName name="Н_МАССА_П">[27]Калькуляции!#REF!</definedName>
    <definedName name="Н_МАССА_ПК" localSheetId="0">[27]Калькуляции!#REF!</definedName>
    <definedName name="Н_МАССА_ПК">[27]Калькуляции!#REF!</definedName>
    <definedName name="Н_МЕД_АК5М2" localSheetId="0">[27]Калькуляции!#REF!</definedName>
    <definedName name="Н_МЕД_АК5М2">[27]Калькуляции!#REF!</definedName>
    <definedName name="Н_МЛ_3003" localSheetId="0">[27]Калькуляции!#REF!</definedName>
    <definedName name="Н_МЛ_3003">[27]Калькуляции!#REF!</definedName>
    <definedName name="Н_ОЛЕ" localSheetId="0">#REF!</definedName>
    <definedName name="Н_ОЛЕ">#REF!</definedName>
    <definedName name="Н_ПЕК" localSheetId="0">#REF!</definedName>
    <definedName name="Н_ПЕК">#REF!</definedName>
    <definedName name="Н_ПЕК_П" localSheetId="0">[27]Калькуляции!#REF!</definedName>
    <definedName name="Н_ПЕК_П">[27]Калькуляции!#REF!</definedName>
    <definedName name="Н_ПЕК_Т" localSheetId="0">[27]Калькуляции!#REF!</definedName>
    <definedName name="Н_ПЕК_Т">[27]Калькуляции!#REF!</definedName>
    <definedName name="Н_ПУШ" localSheetId="0">#REF!</definedName>
    <definedName name="Н_ПУШ">#REF!</definedName>
    <definedName name="Н_ПЫЛЬ" localSheetId="0">#REF!</definedName>
    <definedName name="Н_ПЫЛЬ">#REF!</definedName>
    <definedName name="Н_С8БМ_ГЛ" localSheetId="0">#REF!</definedName>
    <definedName name="Н_С8БМ_ГЛ">#REF!</definedName>
    <definedName name="Н_С8БМ_КСВ" localSheetId="0">#REF!</definedName>
    <definedName name="Н_С8БМ_КСВ">#REF!</definedName>
    <definedName name="Н_С8БМ_КСМ" localSheetId="0">#REF!</definedName>
    <definedName name="Н_С8БМ_КСМ">#REF!</definedName>
    <definedName name="Н_С8БМ_СКАЛ" localSheetId="0">#REF!</definedName>
    <definedName name="Н_С8БМ_СКАЛ">#REF!</definedName>
    <definedName name="Н_С8БМ_ФК" localSheetId="0">#REF!</definedName>
    <definedName name="Н_С8БМ_ФК">#REF!</definedName>
    <definedName name="Н_СЕРК" localSheetId="0">#REF!</definedName>
    <definedName name="Н_СЕРК">#REF!</definedName>
    <definedName name="Н_СКА" localSheetId="0">#REF!</definedName>
    <definedName name="Н_СКА">#REF!</definedName>
    <definedName name="Н_СЛ_КРСВ" localSheetId="0">#REF!</definedName>
    <definedName name="Н_СЛ_КРСВ">#REF!</definedName>
    <definedName name="Н_СОЛ_АК5М2" localSheetId="0">[27]Калькуляции!#REF!</definedName>
    <definedName name="Н_СОЛ_АК5М2">[27]Калькуляции!#REF!</definedName>
    <definedName name="Н_СОЛАК12" localSheetId="0">[27]Калькуляции!#REF!</definedName>
    <definedName name="Н_СОЛАК12">[27]Калькуляции!#REF!</definedName>
    <definedName name="Н_СОЛАК9ПЧ" localSheetId="0">[27]Калькуляции!#REF!</definedName>
    <definedName name="Н_СОЛАК9ПЧ">[27]Калькуляции!#REF!</definedName>
    <definedName name="Н_СОЛКРУПН" localSheetId="0">[27]Калькуляции!#REF!</definedName>
    <definedName name="Н_СОЛКРУПН">[27]Калькуляции!#REF!</definedName>
    <definedName name="Н_СОЛМЕЛКИЕ" localSheetId="0">[27]Калькуляции!#REF!</definedName>
    <definedName name="Н_СОЛМЕЛКИЕ">[27]Калькуляции!#REF!</definedName>
    <definedName name="Н_СОЛРЕКВИЗИТЫ" localSheetId="0">[27]Калькуляции!#REF!</definedName>
    <definedName name="Н_СОЛРЕКВИЗИТЫ">[27]Калькуляции!#REF!</definedName>
    <definedName name="Н_СОЛСЛ" localSheetId="0">[27]Калькуляции!#REF!</definedName>
    <definedName name="Н_СОЛСЛ">[27]Калькуляции!#REF!</definedName>
    <definedName name="Н_СОЛСЛИТКИ" localSheetId="0">[27]Калькуляции!#REF!</definedName>
    <definedName name="Н_СОЛСЛИТКИ">[27]Калькуляции!#REF!</definedName>
    <definedName name="Н_СОСМАС" localSheetId="0">#REF!</definedName>
    <definedName name="Н_СОСМАС">#REF!</definedName>
    <definedName name="Н_Т_КРСВ" localSheetId="0">#REF!</definedName>
    <definedName name="Н_Т_КРСВ">#REF!</definedName>
    <definedName name="Н_Т_КРСВ3" localSheetId="0">#REF!</definedName>
    <definedName name="Н_Т_КРСВ3">#REF!</definedName>
    <definedName name="Н_ТИТ_АК5М2" localSheetId="0">[27]Калькуляции!#REF!</definedName>
    <definedName name="Н_ТИТ_АК5М2">[27]Калькуляции!#REF!</definedName>
    <definedName name="Н_ТИТ_АК9ПЧ" localSheetId="0">[27]Калькуляции!#REF!</definedName>
    <definedName name="Н_ТИТ_АК9ПЧ">[27]Калькуляции!#REF!</definedName>
    <definedName name="Н_ТИТАН" localSheetId="0">#REF!</definedName>
    <definedName name="Н_ТИТАН">#REF!</definedName>
    <definedName name="Н_ТОЛЬКОБЛОКИ" localSheetId="0">[27]Калькуляции!#REF!</definedName>
    <definedName name="Н_ТОЛЬКОБЛОКИ">[27]Калькуляции!#REF!</definedName>
    <definedName name="Н_ТОЛЬКОМАССА" localSheetId="0">[27]Калькуляции!#REF!</definedName>
    <definedName name="Н_ТОЛЬКОМАССА">[27]Калькуляции!#REF!</definedName>
    <definedName name="Н_ФК" localSheetId="0">#REF!</definedName>
    <definedName name="Н_ФК">#REF!</definedName>
    <definedName name="Н_ФТК" localSheetId="0">#REF!</definedName>
    <definedName name="Н_ФТК">#REF!</definedName>
    <definedName name="Н_Х_ДИЭТ" localSheetId="0">[27]Калькуляции!#REF!</definedName>
    <definedName name="Н_Х_ДИЭТ">[27]Калькуляции!#REF!</definedName>
    <definedName name="Н_Х_КБОР" localSheetId="0">[27]Калькуляции!#REF!</definedName>
    <definedName name="Н_Х_КБОР">[27]Калькуляции!#REF!</definedName>
    <definedName name="Н_Х_ПЕК" localSheetId="0">[27]Калькуляции!#REF!</definedName>
    <definedName name="Н_Х_ПЕК">[27]Калькуляции!#REF!</definedName>
    <definedName name="Н_Х_ПОГЛ" localSheetId="0">[27]Калькуляции!#REF!</definedName>
    <definedName name="Н_Х_ПОГЛ">[27]Калькуляции!#REF!</definedName>
    <definedName name="Н_Х_ТЕРМ" localSheetId="0">[27]Калькуляции!#REF!</definedName>
    <definedName name="Н_Х_ТЕРМ">[27]Калькуляции!#REF!</definedName>
    <definedName name="Н_Х_ТЕРМ_Д" localSheetId="0">[27]Калькуляции!#REF!</definedName>
    <definedName name="Н_Х_ТЕРМ_Д">[27]Калькуляции!#REF!</definedName>
    <definedName name="Н_ХЛНАТ" localSheetId="0">#REF!</definedName>
    <definedName name="Н_ХЛНАТ">#REF!</definedName>
    <definedName name="Н_ШАРЫ" localSheetId="0">#REF!</definedName>
    <definedName name="Н_ШАРЫ">#REF!</definedName>
    <definedName name="Н_ЭНАК12" localSheetId="0">[27]Калькуляции!#REF!</definedName>
    <definedName name="Н_ЭНАК12">[27]Калькуляции!#REF!</definedName>
    <definedName name="Н_ЭНАК5М2" localSheetId="0">[27]Калькуляции!#REF!</definedName>
    <definedName name="Н_ЭНАК5М2">[27]Калькуляции!#REF!</definedName>
    <definedName name="Н_ЭНАК9ПЧ" localSheetId="0">[27]Калькуляции!#REF!</definedName>
    <definedName name="Н_ЭНАК9ПЧ">[27]Калькуляции!#REF!</definedName>
    <definedName name="Н_ЭНКРУПН" localSheetId="0">#REF!</definedName>
    <definedName name="Н_ЭНКРУПН">#REF!</definedName>
    <definedName name="Н_ЭНМЕЛКИЕ" localSheetId="0">#REF!</definedName>
    <definedName name="Н_ЭНМЕЛКИЕ">#REF!</definedName>
    <definedName name="Н_ЭНРЕКВИЗИТЫ" localSheetId="0">[27]Калькуляции!#REF!</definedName>
    <definedName name="Н_ЭНРЕКВИЗИТЫ">[27]Калькуляции!#REF!</definedName>
    <definedName name="Н_ЭНСЛИТКИ" localSheetId="0">#REF!</definedName>
    <definedName name="Н_ЭНСЛИТКИ">#REF!</definedName>
    <definedName name="НАЧП" localSheetId="0">#REF!</definedName>
    <definedName name="НАЧП">#REF!</definedName>
    <definedName name="НАЧПЭО" localSheetId="0">#REF!</definedName>
    <definedName name="НАЧПЭО">#REF!</definedName>
    <definedName name="НВ_АВЧСЫР" localSheetId="0">#REF!</definedName>
    <definedName name="НВ_АВЧСЫР">#REF!</definedName>
    <definedName name="НВ_ДАВАЛ" localSheetId="0">#REF!</definedName>
    <definedName name="НВ_ДАВАЛ">#REF!</definedName>
    <definedName name="НВ_КРУПНЫЕ" localSheetId="0">#REF!</definedName>
    <definedName name="НВ_КРУПНЫЕ">#REF!</definedName>
    <definedName name="НВ_ПУСКАВЧ" localSheetId="0">#REF!</definedName>
    <definedName name="НВ_ПУСКАВЧ">#REF!</definedName>
    <definedName name="НВ_РЕКВИЗИТЫ" localSheetId="0">#REF!</definedName>
    <definedName name="НВ_РЕКВИЗИТЫ">#REF!</definedName>
    <definedName name="НВ_СЛИТКИ" localSheetId="0">#REF!</definedName>
    <definedName name="НВ_СЛИТКИ">#REF!</definedName>
    <definedName name="НВ_СПЛАВ6063" localSheetId="0">#REF!</definedName>
    <definedName name="НВ_СПЛАВ6063">#REF!</definedName>
    <definedName name="НВ_ЧМЖ" localSheetId="0">#REF!</definedName>
    <definedName name="НВ_ЧМЖ">#REF!</definedName>
    <definedName name="НефтехимСрПок" localSheetId="0">#REF!</definedName>
    <definedName name="НефтехимСрПок">#REF!</definedName>
    <definedName name="НефтехимСрПрод" localSheetId="0">#REF!</definedName>
    <definedName name="НефтехимСрПрод">#REF!</definedName>
    <definedName name="НЗП_АВЧ" localSheetId="0">#REF!</definedName>
    <definedName name="НЗП_АВЧ">#REF!</definedName>
    <definedName name="НЗП_АТЧ" localSheetId="0">#REF!</definedName>
    <definedName name="НЗП_АТЧ">#REF!</definedName>
    <definedName name="НЗП_АТЧВАВЧ" localSheetId="0">#REF!</definedName>
    <definedName name="НЗП_АТЧВАВЧ">#REF!</definedName>
    <definedName name="НижневарКолПок" localSheetId="0">#REF!</definedName>
    <definedName name="НижневарКолПок">#REF!</definedName>
    <definedName name="НижневарКолПрод" localSheetId="0">#REF!</definedName>
    <definedName name="НижневарКолПрод">#REF!</definedName>
    <definedName name="НижневарОтн" localSheetId="0">#REF!</definedName>
    <definedName name="НижневарОтн">#REF!</definedName>
    <definedName name="НижневарСрПок" localSheetId="0">#REF!</definedName>
    <definedName name="НижневарСрПок">#REF!</definedName>
    <definedName name="НижневарСрПрод" localSheetId="0">#REF!</definedName>
    <definedName name="НижневарСрПрод">#REF!</definedName>
    <definedName name="НижнетагКолПок" localSheetId="0">#REF!</definedName>
    <definedName name="НижнетагКолПок">#REF!</definedName>
    <definedName name="НижнетагКолПрод" localSheetId="0">#REF!</definedName>
    <definedName name="НижнетагКолПрод">#REF!</definedName>
    <definedName name="НижнетагОтн" localSheetId="0">#REF!</definedName>
    <definedName name="НижнетагОтн">#REF!</definedName>
    <definedName name="НижнетагСрПок" localSheetId="0">#REF!</definedName>
    <definedName name="НижнетагСрПок">#REF!</definedName>
    <definedName name="НижнетагСрПрод" localSheetId="0">#REF!</definedName>
    <definedName name="НижнетагСрПрод">#REF!</definedName>
    <definedName name="НижтагМКСрПок" localSheetId="0">#REF!</definedName>
    <definedName name="НижтагМКСрПок">#REF!</definedName>
    <definedName name="НижтагМКСрПрод" localSheetId="0">#REF!</definedName>
    <definedName name="НижтагМКСрПрод">#REF!</definedName>
    <definedName name="НН_АВЧСЫР" localSheetId="0">[27]Калькуляции!#REF!</definedName>
    <definedName name="НН_АВЧСЫР">[27]Калькуляции!#REF!</definedName>
    <definedName name="НН_АВЧТОВ" localSheetId="0">#REF!</definedName>
    <definedName name="НН_АВЧТОВ">#REF!</definedName>
    <definedName name="НоволипеКолПок" localSheetId="0">#REF!</definedName>
    <definedName name="НоволипеКолПок">#REF!</definedName>
    <definedName name="НоволипеКолПрод" localSheetId="0">#REF!</definedName>
    <definedName name="НоволипеКолПрод">#REF!</definedName>
    <definedName name="НоволипеОтн" localSheetId="0">#REF!</definedName>
    <definedName name="НоволипеОтн">#REF!</definedName>
    <definedName name="НоволипеСрПок" localSheetId="0">#REF!</definedName>
    <definedName name="НоволипеСрПок">#REF!</definedName>
    <definedName name="НоволипеСрПрод" localSheetId="0">#REF!</definedName>
    <definedName name="НоволипеСрПрод">#REF!</definedName>
    <definedName name="НовосибиКолПок" localSheetId="0">#REF!</definedName>
    <definedName name="НовосибиКолПок">#REF!</definedName>
    <definedName name="НовосибиКолПрод" localSheetId="0">#REF!</definedName>
    <definedName name="НовосибиКолПрод">#REF!</definedName>
    <definedName name="НовосибиОтн" localSheetId="0">#REF!</definedName>
    <definedName name="НовосибиОтн">#REF!</definedName>
    <definedName name="НовосибиСрПок" localSheetId="0">#REF!</definedName>
    <definedName name="НовосибиСрПок">#REF!</definedName>
    <definedName name="НовосибиСрПрод" localSheetId="0">#REF!</definedName>
    <definedName name="НовосибиСрПрод">#REF!</definedName>
    <definedName name="Номер_договора">[32]БАЗА!$C$2</definedName>
    <definedName name="НорильскКолПок" localSheetId="0">#REF!</definedName>
    <definedName name="НорильскКолПок">#REF!</definedName>
    <definedName name="НорильскКолПрод" localSheetId="0">#REF!</definedName>
    <definedName name="НорильскКолПрод">#REF!</definedName>
    <definedName name="НорильскОтн" localSheetId="0">#REF!</definedName>
    <definedName name="НорильскОтн">#REF!</definedName>
    <definedName name="НорильскСрПок" localSheetId="0">#REF!</definedName>
    <definedName name="НорильскСрПок">#REF!</definedName>
    <definedName name="НорильскСрПрод" localSheetId="0">#REF!</definedName>
    <definedName name="НорильскСрПрод">#REF!</definedName>
    <definedName name="НОЯ_РУБ" localSheetId="0">[27]Калькуляции!#REF!</definedName>
    <definedName name="НОЯ_РУБ">[27]Калькуляции!#REF!</definedName>
    <definedName name="НОЯ_ТОН" localSheetId="0">[27]Калькуляции!#REF!</definedName>
    <definedName name="НОЯ_ТОН">[27]Калькуляции!#REF!</definedName>
    <definedName name="НоябрьскКолПок" localSheetId="0">#REF!</definedName>
    <definedName name="НоябрьскКолПок">#REF!</definedName>
    <definedName name="НоябрьскКолПрод" localSheetId="0">#REF!</definedName>
    <definedName name="НоябрьскКолПрод">#REF!</definedName>
    <definedName name="НоябрьскОтн" localSheetId="0">#REF!</definedName>
    <definedName name="НоябрьскОтн">#REF!</definedName>
    <definedName name="НоябрьскСрПок" localSheetId="0">#REF!</definedName>
    <definedName name="НоябрьскСрПок">#REF!</definedName>
    <definedName name="НоябрьскСрПрод" localSheetId="0">#REF!</definedName>
    <definedName name="НоябрьскСрПрод">#REF!</definedName>
    <definedName name="НС_МАРГЛИГ" localSheetId="0">[27]Калькуляции!#REF!</definedName>
    <definedName name="НС_МАРГЛИГ">[27]Калькуляции!#REF!</definedName>
    <definedName name="НТ_АВЧСЫР" localSheetId="0">#REF!</definedName>
    <definedName name="НТ_АВЧСЫР">#REF!</definedName>
    <definedName name="НТ_АК12" localSheetId="0">[27]Калькуляции!#REF!</definedName>
    <definedName name="НТ_АК12">[27]Калькуляции!#REF!</definedName>
    <definedName name="НТ_АК5М2" localSheetId="0">[27]Калькуляции!#REF!</definedName>
    <definedName name="НТ_АК5М2">[27]Калькуляции!#REF!</definedName>
    <definedName name="НТ_АК9ПЧ" localSheetId="0">[27]Калькуляции!#REF!</definedName>
    <definedName name="НТ_АК9ПЧ">[27]Калькуляции!#REF!</definedName>
    <definedName name="НТ_АЛЖ" localSheetId="0">[27]Калькуляции!#REF!</definedName>
    <definedName name="НТ_АЛЖ">[27]Калькуляции!#REF!</definedName>
    <definedName name="НТ_ДАВАЛ" localSheetId="0">#REF!</definedName>
    <definedName name="НТ_ДАВАЛ">#REF!</definedName>
    <definedName name="НТ_КАТАНКА" localSheetId="0">[27]Калькуляции!#REF!</definedName>
    <definedName name="НТ_КАТАНКА">[27]Калькуляции!#REF!</definedName>
    <definedName name="НТ_КРУПНЫЕ" localSheetId="0">#REF!</definedName>
    <definedName name="НТ_КРУПНЫЕ">#REF!</definedName>
    <definedName name="НТ_РЕКВИЗИТЫ" localSheetId="0">#REF!</definedName>
    <definedName name="НТ_РЕКВИЗИТЫ">#REF!</definedName>
    <definedName name="НТ_СЛИТКИ" localSheetId="0">#REF!</definedName>
    <definedName name="НТ_СЛИТКИ">#REF!</definedName>
    <definedName name="НТ_СПЛАВ6063" localSheetId="0">#REF!</definedName>
    <definedName name="НТ_СПЛАВ6063">#REF!</definedName>
    <definedName name="НТ_ЧМ" localSheetId="0">[27]Калькуляции!#REF!</definedName>
    <definedName name="НТ_ЧМ">[27]Калькуляции!#REF!</definedName>
    <definedName name="НТ_ЧМЖ" localSheetId="0">#REF!</definedName>
    <definedName name="НТ_ЧМЖ">#REF!</definedName>
    <definedName name="о_д">[37]Векселедатель!$E$6:$E$32</definedName>
    <definedName name="об_эксп" localSheetId="0">#REF!</definedName>
    <definedName name="об_эксп">#REF!</definedName>
    <definedName name="Область_дат">[40]Даты!$A$1:$B$12</definedName>
    <definedName name="_xlnm.Print_Area" localSheetId="0">'3-Илова'!$B$2:$I$311</definedName>
    <definedName name="_xlnm.Print_Area">#N/A</definedName>
    <definedName name="Оборотка" hidden="1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ОБЩ" localSheetId="0">#REF!</definedName>
    <definedName name="ОБЩ">#REF!</definedName>
    <definedName name="ОБЩ_ВН" localSheetId="0">[27]Калькуляции!#REF!</definedName>
    <definedName name="ОБЩ_ВН">[27]Калькуляции!#REF!</definedName>
    <definedName name="ОБЩ_Т" localSheetId="0">#REF!</definedName>
    <definedName name="ОБЩ_Т">#REF!</definedName>
    <definedName name="ОБЩ_ТОЛ" localSheetId="0">[27]Калькуляции!#REF!</definedName>
    <definedName name="ОБЩ_ТОЛ">[27]Калькуляции!#REF!</definedName>
    <definedName name="ОБЩ_ЭКС" localSheetId="0">[27]Калькуляции!#REF!</definedName>
    <definedName name="ОБЩ_ЭКС">[27]Калькуляции!#REF!</definedName>
    <definedName name="ОБЩЕ_В" localSheetId="0">[27]Калькуляции!#REF!</definedName>
    <definedName name="ОБЩЕ_В">[27]Калькуляции!#REF!</definedName>
    <definedName name="ОБЩЕ_ДП" localSheetId="0">[27]Калькуляции!#REF!</definedName>
    <definedName name="ОБЩЕ_ДП">[27]Калькуляции!#REF!</definedName>
    <definedName name="ОБЩЕ_Т" localSheetId="0">[27]Калькуляции!#REF!</definedName>
    <definedName name="ОБЩЕ_Т">[27]Калькуляции!#REF!</definedName>
    <definedName name="ОБЩЕ_Т_А" localSheetId="0">[27]Калькуляции!#REF!</definedName>
    <definedName name="ОБЩЕ_Т_А">[27]Калькуляции!#REF!</definedName>
    <definedName name="ОБЩЕ_Т_П" localSheetId="0">[27]Калькуляции!#REF!</definedName>
    <definedName name="ОБЩЕ_Т_П">[27]Калькуляции!#REF!</definedName>
    <definedName name="ОБЩЕ_Т_ПК" localSheetId="0">[27]Калькуляции!#REF!</definedName>
    <definedName name="ОБЩЕ_Т_ПК">[27]Калькуляции!#REF!</definedName>
    <definedName name="ОБЩЕ_Э" localSheetId="0">[27]Калькуляции!#REF!</definedName>
    <definedName name="ОБЩЕ_Э">[27]Калькуляции!#REF!</definedName>
    <definedName name="ОБЩИТ" localSheetId="0">#REF!</definedName>
    <definedName name="ОБЩИТ">#REF!</definedName>
    <definedName name="объёмы" localSheetId="0">#REF!</definedName>
    <definedName name="объёмы">#REF!</definedName>
    <definedName name="ОКТ_РУБ" localSheetId="0">[27]Калькуляции!#REF!</definedName>
    <definedName name="ОКТ_РУБ">[27]Калькуляции!#REF!</definedName>
    <definedName name="ОКТ_ТОН" localSheetId="0">[27]Калькуляции!#REF!</definedName>
    <definedName name="ОКТ_ТОН">[27]Калькуляции!#REF!</definedName>
    <definedName name="ОктябрьсСрПок" localSheetId="0">#REF!</definedName>
    <definedName name="ОктябрьсСрПок">#REF!</definedName>
    <definedName name="ОктябрьсСрПрод" localSheetId="0">#REF!</definedName>
    <definedName name="ОктябрьсСрПрод">#REF!</definedName>
    <definedName name="ОЛЕ" localSheetId="0">#REF!</definedName>
    <definedName name="ОЛЕ">#REF!</definedName>
    <definedName name="он" localSheetId="0">#REF!</definedName>
    <definedName name="он">#REF!</definedName>
    <definedName name="ОнэксимбСрПок" localSheetId="0">#REF!</definedName>
    <definedName name="ОнэксимбСрПок">#REF!</definedName>
    <definedName name="ОнэксимбСрПрод" localSheetId="0">#REF!</definedName>
    <definedName name="ОнэксимбСрПрод">#REF!</definedName>
    <definedName name="оо" localSheetId="0">#REF!</definedName>
    <definedName name="оо">#REF!</definedName>
    <definedName name="ОП">[38]Меню!$B$7</definedName>
    <definedName name="ОренбургКолПок" localSheetId="0">#REF!</definedName>
    <definedName name="ОренбургКолПок">#REF!</definedName>
    <definedName name="ОренбургКолПрод" localSheetId="0">#REF!</definedName>
    <definedName name="ОренбургКолПрод">#REF!</definedName>
    <definedName name="ОренбургОтн" localSheetId="0">#REF!</definedName>
    <definedName name="ОренбургОтн">#REF!</definedName>
    <definedName name="ОренбургСрПок" localSheetId="0">#REF!</definedName>
    <definedName name="ОренбургСрПок">#REF!</definedName>
    <definedName name="ОренбургСрПрод" localSheetId="0">#REF!</definedName>
    <definedName name="ОренбургСрПрод">#REF!</definedName>
    <definedName name="ОС_АЛ_Ф" localSheetId="0">#REF!</definedName>
    <definedName name="ОС_АЛ_Ф">#REF!</definedName>
    <definedName name="ОС_АН_Б" localSheetId="0">#REF!</definedName>
    <definedName name="ОС_АН_Б">#REF!</definedName>
    <definedName name="ОС_АН_Б_ТОЛ" localSheetId="0">[27]Калькуляции!#REF!</definedName>
    <definedName name="ОС_АН_Б_ТОЛ">[27]Калькуляции!#REF!</definedName>
    <definedName name="ОС_БАР" localSheetId="0">#REF!</definedName>
    <definedName name="ОС_БАР">#REF!</definedName>
    <definedName name="ОС_ГИД" localSheetId="0">#REF!</definedName>
    <definedName name="ОС_ГИД">#REF!</definedName>
    <definedName name="ОС_ГИД_ЗФА" localSheetId="0">#REF!</definedName>
    <definedName name="ОС_ГИД_ЗФА">#REF!</definedName>
    <definedName name="ОС_ГЛ" localSheetId="0">#REF!</definedName>
    <definedName name="ОС_ГЛ">#REF!</definedName>
    <definedName name="ОС_ГЛ_ДП" localSheetId="0">[27]Калькуляции!#REF!</definedName>
    <definedName name="ОС_ГЛ_ДП">[27]Калькуляции!#REF!</definedName>
    <definedName name="ОС_ГЛ_Т" localSheetId="0">#REF!</definedName>
    <definedName name="ОС_ГЛ_Т">#REF!</definedName>
    <definedName name="ОС_ГЛ_Ш" localSheetId="0">#REF!</definedName>
    <definedName name="ОС_ГЛ_Ш">#REF!</definedName>
    <definedName name="ОС_ГР" localSheetId="0">#REF!</definedName>
    <definedName name="ОС_ГР">#REF!</definedName>
    <definedName name="ОС_ДИЭТ" localSheetId="0">[27]Калькуляции!#REF!</definedName>
    <definedName name="ОС_ДИЭТ">[27]Калькуляции!#REF!</definedName>
    <definedName name="ОС_ИЗВ_М" localSheetId="0">#REF!</definedName>
    <definedName name="ОС_ИЗВ_М">#REF!</definedName>
    <definedName name="ОС_К_СЫР" localSheetId="0">#REF!</definedName>
    <definedName name="ОС_К_СЫР">#REF!</definedName>
    <definedName name="ОС_К_СЫР_ТОЛ" localSheetId="0">[27]Калькуляции!#REF!</definedName>
    <definedName name="ОС_К_СЫР_ТОЛ">[27]Калькуляции!#REF!</definedName>
    <definedName name="ОС_КБОР" localSheetId="0">[27]Калькуляции!#REF!</definedName>
    <definedName name="ОС_КБОР">[27]Калькуляции!#REF!</definedName>
    <definedName name="ОС_КОК_ПРОК" localSheetId="0">#REF!</definedName>
    <definedName name="ОС_КОК_ПРОК">#REF!</definedName>
    <definedName name="ОС_КОРК_7" localSheetId="0">#REF!</definedName>
    <definedName name="ОС_КОРК_7">#REF!</definedName>
    <definedName name="ОС_КОРК_АВЧ" localSheetId="0">#REF!</definedName>
    <definedName name="ОС_КОРК_АВЧ">#REF!</definedName>
    <definedName name="ОС_КР" localSheetId="0">#REF!</definedName>
    <definedName name="ОС_КР">#REF!</definedName>
    <definedName name="ОС_КРЕМНИЙ" localSheetId="0">[27]Калькуляции!#REF!</definedName>
    <definedName name="ОС_КРЕМНИЙ">[27]Калькуляции!#REF!</definedName>
    <definedName name="ОС_ЛИГ_АЛ_М" localSheetId="0">[27]Калькуляции!#REF!</definedName>
    <definedName name="ОС_ЛИГ_АЛ_М">[27]Калькуляции!#REF!</definedName>
    <definedName name="ОС_ЛИГ_БР_ТИ" localSheetId="0">[27]Калькуляции!#REF!</definedName>
    <definedName name="ОС_ЛИГ_БР_ТИ">[27]Калькуляции!#REF!</definedName>
    <definedName name="ОС_МАГНИЙ" localSheetId="0">[27]Калькуляции!#REF!</definedName>
    <definedName name="ОС_МАГНИЙ">[27]Калькуляции!#REF!</definedName>
    <definedName name="ОС_МЕД" localSheetId="0">#REF!</definedName>
    <definedName name="ОС_МЕД">#REF!</definedName>
    <definedName name="ОС_ОЛЕ" localSheetId="0">#REF!</definedName>
    <definedName name="ОС_ОЛЕ">#REF!</definedName>
    <definedName name="ОС_П_УГ" localSheetId="0">#REF!</definedName>
    <definedName name="ОС_П_УГ">#REF!</definedName>
    <definedName name="ОС_П_УГ_С" localSheetId="0">[27]Калькуляции!#REF!</definedName>
    <definedName name="ОС_П_УГ_С">[27]Калькуляции!#REF!</definedName>
    <definedName name="ОС_П_ЦЕМ" localSheetId="0">#REF!</definedName>
    <definedName name="ОС_П_ЦЕМ">#REF!</definedName>
    <definedName name="ОС_ПЕК" localSheetId="0">#REF!</definedName>
    <definedName name="ОС_ПЕК">#REF!</definedName>
    <definedName name="ОС_ПЕК_ТОЛ" localSheetId="0">[27]Калькуляции!#REF!</definedName>
    <definedName name="ОС_ПЕК_ТОЛ">[27]Калькуляции!#REF!</definedName>
    <definedName name="ОС_ПОГЛ" localSheetId="0">[27]Калькуляции!#REF!</definedName>
    <definedName name="ОС_ПОГЛ">[27]Калькуляции!#REF!</definedName>
    <definedName name="ОС_ПОД_К" localSheetId="0">#REF!</definedName>
    <definedName name="ОС_ПОД_К">#REF!</definedName>
    <definedName name="ОС_ПУШ" localSheetId="0">#REF!</definedName>
    <definedName name="ОС_ПУШ">#REF!</definedName>
    <definedName name="ОС_С_КАЛ" localSheetId="0">#REF!</definedName>
    <definedName name="ОС_С_КАЛ">#REF!</definedName>
    <definedName name="ОС_С_КАУ" localSheetId="0">#REF!</definedName>
    <definedName name="ОС_С_КАУ">#REF!</definedName>
    <definedName name="ОС_С_ПУСК" localSheetId="0">#REF!</definedName>
    <definedName name="ОС_С_ПУСК">#REF!</definedName>
    <definedName name="ОС_СЕР_К" localSheetId="0">#REF!</definedName>
    <definedName name="ОС_СЕР_К">#REF!</definedName>
    <definedName name="ОС_СК_АН" localSheetId="0">#REF!</definedName>
    <definedName name="ОС_СК_АН">#REF!</definedName>
    <definedName name="ОС_ТЕРМ" localSheetId="0">[27]Калькуляции!#REF!</definedName>
    <definedName name="ОС_ТЕРМ">[27]Калькуляции!#REF!</definedName>
    <definedName name="ОС_ТЕРМ_ДАВ" localSheetId="0">[27]Калькуляции!#REF!</definedName>
    <definedName name="ОС_ТЕРМ_ДАВ">[27]Калькуляции!#REF!</definedName>
    <definedName name="ОС_ТИ" localSheetId="0">#REF!</definedName>
    <definedName name="ОС_ТИ">#REF!</definedName>
    <definedName name="ОС_ФЛ_К" localSheetId="0">#REF!</definedName>
    <definedName name="ОС_ФЛ_К">#REF!</definedName>
    <definedName name="ОС_ФТ_К" localSheetId="0">#REF!</definedName>
    <definedName name="ОС_ФТ_К">#REF!</definedName>
    <definedName name="ОС_ХЛ_Н" localSheetId="0">#REF!</definedName>
    <definedName name="ОС_ХЛ_Н">#REF!</definedName>
    <definedName name="ОСВ">[0]!USD/1.701</definedName>
    <definedName name="Осн_средства2" localSheetId="0">#REF!</definedName>
    <definedName name="Осн_средства2">#REF!</definedName>
    <definedName name="ОстАква2">[28]Дебиторка!$J$28</definedName>
    <definedName name="Очаково2">[28]Дебиторка!$J$30</definedName>
    <definedName name="Оша2">[28]Дебиторка!$J$31</definedName>
    <definedName name="П_КГ_С" localSheetId="0">[27]Калькуляции!#REF!</definedName>
    <definedName name="П_КГ_С">[27]Калькуляции!#REF!</definedName>
    <definedName name="П_УГ" localSheetId="0">#REF!</definedName>
    <definedName name="П_УГ">#REF!</definedName>
    <definedName name="П_УГ_С" localSheetId="0">[27]Калькуляции!#REF!</definedName>
    <definedName name="П_УГ_С">[27]Калькуляции!#REF!</definedName>
    <definedName name="П_ЦЕМ" localSheetId="0">#REF!</definedName>
    <definedName name="П_ЦЕМ">#REF!</definedName>
    <definedName name="ПАР" localSheetId="0">#REF!</definedName>
    <definedName name="ПАР">#REF!</definedName>
    <definedName name="ПГ1_РУБ" localSheetId="0">[27]Калькуляции!#REF!</definedName>
    <definedName name="ПГ1_РУБ">[27]Калькуляции!#REF!</definedName>
    <definedName name="ПГ1_ТОН" localSheetId="0">[27]Калькуляции!#REF!</definedName>
    <definedName name="ПГ1_ТОН">[27]Калькуляции!#REF!</definedName>
    <definedName name="ПГ2_РУБ" localSheetId="0">[27]Калькуляции!#REF!</definedName>
    <definedName name="ПГ2_РУБ">[27]Калькуляции!#REF!</definedName>
    <definedName name="ПГ2_ТОН" localSheetId="0">[27]Калькуляции!#REF!</definedName>
    <definedName name="ПГ2_ТОН">[27]Калькуляции!#REF!</definedName>
    <definedName name="ПЕК" localSheetId="0">#REF!</definedName>
    <definedName name="ПЕК">#REF!</definedName>
    <definedName name="ПЕК_ТОЛ" localSheetId="0">[27]Калькуляции!#REF!</definedName>
    <definedName name="ПЕК_ТОЛ">[27]Калькуляции!#REF!</definedName>
    <definedName name="Пепси2">[28]Дебиторка!$J$33</definedName>
    <definedName name="Период" localSheetId="0">#REF!</definedName>
    <definedName name="Период">#REF!</definedName>
    <definedName name="период_с">[42]Титульный_лист!$F$3</definedName>
    <definedName name="ПермьнефКолПок" localSheetId="0">#REF!</definedName>
    <definedName name="ПермьнефКолПок">#REF!</definedName>
    <definedName name="ПермьнефКолПрод" localSheetId="0">#REF!</definedName>
    <definedName name="ПермьнефКолПрод">#REF!</definedName>
    <definedName name="ПермьнефОтн" localSheetId="0">#REF!</definedName>
    <definedName name="ПермьнефОтн">#REF!</definedName>
    <definedName name="ПермьнефСрПок" localSheetId="0">#REF!</definedName>
    <definedName name="ПермьнефСрПок">#REF!</definedName>
    <definedName name="ПермьнефСрПрод" localSheetId="0">#REF!</definedName>
    <definedName name="ПермьнефСрПрод">#REF!</definedName>
    <definedName name="Пивовар2">[28]Дебиторка!$J$46</definedName>
    <definedName name="ПЛ1_РУБ" localSheetId="0">[27]Калькуляции!#REF!</definedName>
    <definedName name="ПЛ1_РУБ">[27]Калькуляции!#REF!</definedName>
    <definedName name="ПЛ1_ТОН" localSheetId="0">[27]Калькуляции!#REF!</definedName>
    <definedName name="ПЛ1_ТОН">[27]Калькуляции!#REF!</definedName>
    <definedName name="план" localSheetId="0">#REF!</definedName>
    <definedName name="план">#REF!</definedName>
    <definedName name="план1" localSheetId="0">#REF!</definedName>
    <definedName name="план1">#REF!</definedName>
    <definedName name="ПЛМ2">[28]Дебиторка!$J$35</definedName>
    <definedName name="ПОГЛ" localSheetId="0">[27]Калькуляции!#REF!</definedName>
    <definedName name="ПОГЛ">[27]Калькуляции!#REF!</definedName>
    <definedName name="ПОД_К" localSheetId="0">#REF!</definedName>
    <definedName name="ПОД_К">#REF!</definedName>
    <definedName name="ПОД_КО" localSheetId="0">#REF!</definedName>
    <definedName name="ПОД_КО">#REF!</definedName>
    <definedName name="ПОДОВАЯ" localSheetId="0">[27]Калькуляции!#REF!</definedName>
    <definedName name="ПОДОВАЯ">[27]Калькуляции!#REF!</definedName>
    <definedName name="ПОДОВАЯ_Г" localSheetId="0">[27]Калькуляции!#REF!</definedName>
    <definedName name="ПОДОВАЯ_Г">[27]Калькуляции!#REF!</definedName>
    <definedName name="Пок10" localSheetId="0">#REF!</definedName>
    <definedName name="Пок10">#REF!</definedName>
    <definedName name="Пок11" localSheetId="0">#REF!</definedName>
    <definedName name="Пок11">#REF!</definedName>
    <definedName name="Пок12" localSheetId="0">#REF!</definedName>
    <definedName name="Пок12">#REF!</definedName>
    <definedName name="Пок13" localSheetId="0">#REF!</definedName>
    <definedName name="Пок13">#REF!</definedName>
    <definedName name="Пок14" localSheetId="0">#REF!</definedName>
    <definedName name="Пок14">#REF!</definedName>
    <definedName name="Пок15" localSheetId="0">#REF!</definedName>
    <definedName name="Пок15">#REF!</definedName>
    <definedName name="Пок16" localSheetId="0">#REF!</definedName>
    <definedName name="Пок16">#REF!</definedName>
    <definedName name="Пок17" localSheetId="0">#REF!</definedName>
    <definedName name="Пок17">#REF!</definedName>
    <definedName name="Пок18" localSheetId="0">#REF!</definedName>
    <definedName name="Пок18">#REF!</definedName>
    <definedName name="Пок19" localSheetId="0">#REF!</definedName>
    <definedName name="Пок19">#REF!</definedName>
    <definedName name="Пок20" localSheetId="0">#REF!</definedName>
    <definedName name="Пок20">#REF!</definedName>
    <definedName name="Пок21" localSheetId="0">#REF!</definedName>
    <definedName name="Пок21">#REF!</definedName>
    <definedName name="Пок22" localSheetId="0">#REF!</definedName>
    <definedName name="Пок22">#REF!</definedName>
    <definedName name="Пок23" localSheetId="0">#REF!</definedName>
    <definedName name="Пок23">#REF!</definedName>
    <definedName name="Пок24" localSheetId="0">#REF!</definedName>
    <definedName name="Пок24">#REF!</definedName>
    <definedName name="Пок25" localSheetId="0">#REF!</definedName>
    <definedName name="Пок25">#REF!</definedName>
    <definedName name="Пок26" localSheetId="0">#REF!</definedName>
    <definedName name="Пок26">#REF!</definedName>
    <definedName name="Пок27" localSheetId="0">#REF!</definedName>
    <definedName name="Пок27">#REF!</definedName>
    <definedName name="Пок28" localSheetId="0">#REF!</definedName>
    <definedName name="Пок28">#REF!</definedName>
    <definedName name="Пок29" localSheetId="0">#REF!</definedName>
    <definedName name="Пок29">#REF!</definedName>
    <definedName name="Пок30" localSheetId="0">#REF!</definedName>
    <definedName name="Пок30">#REF!</definedName>
    <definedName name="Пок31" localSheetId="0">#REF!</definedName>
    <definedName name="Пок31">#REF!</definedName>
    <definedName name="Пок32" localSheetId="0">#REF!</definedName>
    <definedName name="Пок32">#REF!</definedName>
    <definedName name="Пок8" localSheetId="0">#REF!</definedName>
    <definedName name="Пок8">#REF!</definedName>
    <definedName name="Пок9" localSheetId="0">#REF!</definedName>
    <definedName name="Пок9">#REF!</definedName>
    <definedName name="Покупатель">[32]Настройка!$B$3</definedName>
    <definedName name="ПОЛН" localSheetId="0">#REF!</definedName>
    <definedName name="ПОЛН">#REF!</definedName>
    <definedName name="Полная_себестоимость_2" localSheetId="0">[43]июнь9!#REF!</definedName>
    <definedName name="Полная_себестоимость_2">[43]июнь9!#REF!</definedName>
    <definedName name="пост">'[44]постоянные затраты'!$F$18</definedName>
    <definedName name="пр">[6]ДСП!$D$3:$D$42</definedName>
    <definedName name="Превышение">[41]Январь!$G$121:$I$121</definedName>
    <definedName name="ПРИЗНАКИ_Суммирования">[41]Январь!$B$11:$B$264</definedName>
    <definedName name="Проверка" localSheetId="0">[41]Январь!#REF!</definedName>
    <definedName name="Проверка">[41]Январь!#REF!</definedName>
    <definedName name="Прод10" localSheetId="0">#REF!</definedName>
    <definedName name="Прод10">#REF!</definedName>
    <definedName name="Прод11" localSheetId="0">#REF!</definedName>
    <definedName name="Прод11">#REF!</definedName>
    <definedName name="Прод12" localSheetId="0">#REF!</definedName>
    <definedName name="Прод12">#REF!</definedName>
    <definedName name="Прод13" localSheetId="0">#REF!</definedName>
    <definedName name="Прод13">#REF!</definedName>
    <definedName name="Прод14" localSheetId="0">#REF!</definedName>
    <definedName name="Прод14">#REF!</definedName>
    <definedName name="Прод15" localSheetId="0">#REF!</definedName>
    <definedName name="Прод15">#REF!</definedName>
    <definedName name="Прод16" localSheetId="0">#REF!</definedName>
    <definedName name="Прод16">#REF!</definedName>
    <definedName name="Прод17" localSheetId="0">#REF!</definedName>
    <definedName name="Прод17">#REF!</definedName>
    <definedName name="Прод18" localSheetId="0">#REF!</definedName>
    <definedName name="Прод18">#REF!</definedName>
    <definedName name="Прод19" localSheetId="0">#REF!</definedName>
    <definedName name="Прод19">#REF!</definedName>
    <definedName name="Прод20" localSheetId="0">#REF!</definedName>
    <definedName name="Прод20">#REF!</definedName>
    <definedName name="Прод21" localSheetId="0">#REF!</definedName>
    <definedName name="Прод21">#REF!</definedName>
    <definedName name="Прод22" localSheetId="0">#REF!</definedName>
    <definedName name="Прод22">#REF!</definedName>
    <definedName name="Прод23" localSheetId="0">#REF!</definedName>
    <definedName name="Прод23">#REF!</definedName>
    <definedName name="Прод24" localSheetId="0">#REF!</definedName>
    <definedName name="Прод24">#REF!</definedName>
    <definedName name="Прод25" localSheetId="0">#REF!</definedName>
    <definedName name="Прод25">#REF!</definedName>
    <definedName name="Прод26" localSheetId="0">#REF!</definedName>
    <definedName name="Прод26">#REF!</definedName>
    <definedName name="Прод27" localSheetId="0">#REF!</definedName>
    <definedName name="Прод27">#REF!</definedName>
    <definedName name="Прод28" localSheetId="0">#REF!</definedName>
    <definedName name="Прод28">#REF!</definedName>
    <definedName name="Прод29" localSheetId="0">#REF!</definedName>
    <definedName name="Прод29">#REF!</definedName>
    <definedName name="Прод30" localSheetId="0">#REF!</definedName>
    <definedName name="Прод30">#REF!</definedName>
    <definedName name="Прод31" localSheetId="0">#REF!</definedName>
    <definedName name="Прод31">#REF!</definedName>
    <definedName name="Прод32" localSheetId="0">#REF!</definedName>
    <definedName name="Прод32">#REF!</definedName>
    <definedName name="Прод8" localSheetId="0">#REF!</definedName>
    <definedName name="Прод8">#REF!</definedName>
    <definedName name="Прод9" localSheetId="0">#REF!</definedName>
    <definedName name="Прод9">#REF!</definedName>
    <definedName name="Продавец">[32]Настройка!$B$17</definedName>
    <definedName name="Продэкспо2">[28]Дебиторка!$J$34</definedName>
    <definedName name="ПромстроСрПок" localSheetId="0">#REF!</definedName>
    <definedName name="ПромстроСрПок">#REF!</definedName>
    <definedName name="ПромстроСрПрод" localSheetId="0">#REF!</definedName>
    <definedName name="ПромстроСрПрод">#REF!</definedName>
    <definedName name="ПурнефтеКолПок" localSheetId="0">#REF!</definedName>
    <definedName name="ПурнефтеКолПок">#REF!</definedName>
    <definedName name="ПурнефтеКолПрод" localSheetId="0">#REF!</definedName>
    <definedName name="ПурнефтеКолПрод">#REF!</definedName>
    <definedName name="ПурнефтеОтн" localSheetId="0">#REF!</definedName>
    <definedName name="ПурнефтеОтн">#REF!</definedName>
    <definedName name="ПурнефтеСрПок" localSheetId="0">#REF!</definedName>
    <definedName name="ПурнефтеСрПок">#REF!</definedName>
    <definedName name="ПурнефтеСрПрод" localSheetId="0">#REF!</definedName>
    <definedName name="ПурнефтеСрПрод">#REF!</definedName>
    <definedName name="ПУСК_АВЧ" localSheetId="0">#REF!</definedName>
    <definedName name="ПУСК_АВЧ">#REF!</definedName>
    <definedName name="ПУСК_АВЧ_ЛОК" localSheetId="0">[27]Калькуляции!#REF!</definedName>
    <definedName name="ПУСК_АВЧ_ЛОК">[27]Калькуляции!#REF!</definedName>
    <definedName name="ПУСК_ЛОК" localSheetId="0">[27]Калькуляции!#REF!</definedName>
    <definedName name="ПУСК_ЛОК">[27]Калькуляции!#REF!</definedName>
    <definedName name="ПУСК_ОБАН" localSheetId="0">#REF!</definedName>
    <definedName name="ПУСК_ОБАН">#REF!</definedName>
    <definedName name="ПУСК_С8БМ" localSheetId="0">#REF!</definedName>
    <definedName name="ПУСК_С8БМ">#REF!</definedName>
    <definedName name="ПУСКОВЫЕ" localSheetId="0">#REF!</definedName>
    <definedName name="ПУСКОВЫЕ">#REF!</definedName>
    <definedName name="ПУШ" localSheetId="0">#REF!</definedName>
    <definedName name="ПУШ">#REF!</definedName>
    <definedName name="Радуга2">[28]Дебиторка!$J$36</definedName>
    <definedName name="РАОКолПок" localSheetId="0">#REF!</definedName>
    <definedName name="РАОКолПок">#REF!</definedName>
    <definedName name="РАОКолПрод" localSheetId="0">#REF!</definedName>
    <definedName name="РАОКолПрод">#REF!</definedName>
    <definedName name="РАООтн" localSheetId="0">#REF!</definedName>
    <definedName name="РАООтн">#REF!</definedName>
    <definedName name="РАОСрПок" localSheetId="0">#REF!</definedName>
    <definedName name="РАОСрПок">#REF!</definedName>
    <definedName name="РАОСрПрод" localSheetId="0">#REF!</definedName>
    <definedName name="РАОСрПрод">#REF!</definedName>
    <definedName name="расшифровка" localSheetId="0">#REF!</definedName>
    <definedName name="расшифровка">#REF!</definedName>
    <definedName name="резерв2">#N/A</definedName>
    <definedName name="Ремаркет2">[28]Дебиторка!$J$37</definedName>
    <definedName name="РоссийскСрПок" localSheetId="0">#REF!</definedName>
    <definedName name="РоссийскСрПок">#REF!</definedName>
    <definedName name="РоссийскСрПрод" localSheetId="0">#REF!</definedName>
    <definedName name="РоссийскСрПрод">#REF!</definedName>
    <definedName name="РостелекКолПок" localSheetId="0">#REF!</definedName>
    <definedName name="РостелекКолПок">#REF!</definedName>
    <definedName name="РостелекКолПрод" localSheetId="0">#REF!</definedName>
    <definedName name="РостелекКолПрод">#REF!</definedName>
    <definedName name="РостелекОтн" localSheetId="0">#REF!</definedName>
    <definedName name="РостелекОтн">#REF!</definedName>
    <definedName name="РостелекСрПок" localSheetId="0">#REF!</definedName>
    <definedName name="РостелекСрПок">#REF!</definedName>
    <definedName name="РостелекСрПрод" localSheetId="0">#REF!</definedName>
    <definedName name="РостелекСрПрод">#REF!</definedName>
    <definedName name="рпочо">[0]!USD/1.701</definedName>
    <definedName name="рубль">'[45]01 Jul'!$G$497</definedName>
    <definedName name="Рустехн2">[28]Дебиторка!$J$39</definedName>
    <definedName name="С_КАЛ" localSheetId="0">#REF!</definedName>
    <definedName name="С_КАЛ">#REF!</definedName>
    <definedName name="С_КАУ" localSheetId="0">#REF!</definedName>
    <definedName name="С_КАУ">#REF!</definedName>
    <definedName name="С_КОДЫ" localSheetId="0">#REF!</definedName>
    <definedName name="С_КОДЫ">#REF!</definedName>
    <definedName name="С_ОБЪЁМЫ" localSheetId="0">#REF!</definedName>
    <definedName name="С_ОБЪЁМЫ">#REF!</definedName>
    <definedName name="С_ПУСК" localSheetId="0">#REF!</definedName>
    <definedName name="С_ПУСК">#REF!</definedName>
    <definedName name="С3103" localSheetId="0">[27]Калькуляции!#REF!</definedName>
    <definedName name="С3103">[27]Калькуляции!#REF!</definedName>
    <definedName name="СамаранеКолПок" localSheetId="0">#REF!</definedName>
    <definedName name="СамаранеКолПок">#REF!</definedName>
    <definedName name="СамаранеКолПрод" localSheetId="0">#REF!</definedName>
    <definedName name="СамаранеКолПрод">#REF!</definedName>
    <definedName name="СамаранеОтн" localSheetId="0">#REF!</definedName>
    <definedName name="СамаранеОтн">#REF!</definedName>
    <definedName name="СамаранеСрПок" localSheetId="0">#REF!</definedName>
    <definedName name="СамаранеСрПок">#REF!</definedName>
    <definedName name="СамаранеСрПрод" localSheetId="0">#REF!</definedName>
    <definedName name="СамаранеСрПрод">#REF!</definedName>
    <definedName name="СамарэнеКолПок" localSheetId="0">#REF!</definedName>
    <definedName name="СамарэнеКолПок">#REF!</definedName>
    <definedName name="СамарэнеКолПрод" localSheetId="0">#REF!</definedName>
    <definedName name="СамарэнеКолПрод">#REF!</definedName>
    <definedName name="СамарэнеОтн" localSheetId="0">#REF!</definedName>
    <definedName name="СамарэнеОтн">#REF!</definedName>
    <definedName name="СамарэнеСрПок" localSheetId="0">#REF!</definedName>
    <definedName name="СамарэнеСрПок">#REF!</definedName>
    <definedName name="СамарэнеСрПрод" localSheetId="0">#REF!</definedName>
    <definedName name="СамарэнеСрПрод">#REF!</definedName>
    <definedName name="СбербанкКолПок" localSheetId="0">#REF!</definedName>
    <definedName name="СбербанкКолПок">#REF!</definedName>
    <definedName name="СбербанкКолПрод" localSheetId="0">#REF!</definedName>
    <definedName name="СбербанкКолПрод">#REF!</definedName>
    <definedName name="СбербанкОтн" localSheetId="0">#REF!</definedName>
    <definedName name="СбербанкОтн">#REF!</definedName>
    <definedName name="СбербанкСрПок" localSheetId="0">#REF!</definedName>
    <definedName name="СбербанкСрПок">#REF!</definedName>
    <definedName name="СбербанкСрПрод" localSheetId="0">#REF!</definedName>
    <definedName name="СбербанкСрПрод">#REF!</definedName>
    <definedName name="СберРФСрПок" localSheetId="0">#REF!</definedName>
    <definedName name="СберРФСрПок">#REF!</definedName>
    <definedName name="СберРФСрПрод" localSheetId="0">#REF!</definedName>
    <definedName name="СберРФСрПрод">#REF!</definedName>
    <definedName name="СвердловКолПок" localSheetId="0">#REF!</definedName>
    <definedName name="СвердловКолПок">#REF!</definedName>
    <definedName name="СвердловКолПрод" localSheetId="0">#REF!</definedName>
    <definedName name="СвердловКолПрод">#REF!</definedName>
    <definedName name="СвердловОтн" localSheetId="0">#REF!</definedName>
    <definedName name="СвердловОтн">#REF!</definedName>
    <definedName name="СвердловСрПок" localSheetId="0">#REF!</definedName>
    <definedName name="СвердловСрПок">#REF!</definedName>
    <definedName name="СвердловСрПрод" localSheetId="0">#REF!</definedName>
    <definedName name="СвердловСрПрод">#REF!</definedName>
    <definedName name="СевернаяСрПок" localSheetId="0">#REF!</definedName>
    <definedName name="СевернаяСрПок">#REF!</definedName>
    <definedName name="СевернаяСрПрод" localSheetId="0">#REF!</definedName>
    <definedName name="СевернаяСрПрод">#REF!</definedName>
    <definedName name="СевероКаСрПок" localSheetId="0">#REF!</definedName>
    <definedName name="СевероКаСрПок">#REF!</definedName>
    <definedName name="СевероКаСрПрод" localSheetId="0">#REF!</definedName>
    <definedName name="СевероКаСрПрод">#REF!</definedName>
    <definedName name="СеверстаСрПок" localSheetId="0">#REF!</definedName>
    <definedName name="СеверстаСрПок">#REF!</definedName>
    <definedName name="СеверстаСрПрод" localSheetId="0">#REF!</definedName>
    <definedName name="СеверстаСрПрод">#REF!</definedName>
    <definedName name="СегодняRTS" localSheetId="0">#REF!</definedName>
    <definedName name="СегодняRTS">#REF!</definedName>
    <definedName name="Сейл2">[28]Дебиторка!$J$41</definedName>
    <definedName name="СЕН_РУБ" localSheetId="0">[27]Калькуляции!#REF!</definedName>
    <definedName name="СЕН_РУБ">[27]Калькуляции!#REF!</definedName>
    <definedName name="СЕН_ТОН" localSheetId="0">[27]Калькуляции!#REF!</definedName>
    <definedName name="СЕН_ТОН">[27]Калькуляции!#REF!</definedName>
    <definedName name="СЕР_К" localSheetId="0">#REF!</definedName>
    <definedName name="СЕР_К">#REF!</definedName>
    <definedName name="СК_АН" localSheetId="0">#REF!</definedName>
    <definedName name="СК_АН">#REF!</definedName>
    <definedName name="СОЦСТРАХ" localSheetId="0">#REF!</definedName>
    <definedName name="СОЦСТРАХ">#REF!</definedName>
    <definedName name="СПбГТСКолПок" localSheetId="0">#REF!</definedName>
    <definedName name="СПбГТСКолПок">#REF!</definedName>
    <definedName name="СПбГТСКолПрод" localSheetId="0">#REF!</definedName>
    <definedName name="СПбГТСКолПрод">#REF!</definedName>
    <definedName name="СПбГТСОтн" localSheetId="0">#REF!</definedName>
    <definedName name="СПбГТСОтн">#REF!</definedName>
    <definedName name="СПбГТССрПок" localSheetId="0">#REF!</definedName>
    <definedName name="СПбГТССрПок">#REF!</definedName>
    <definedName name="СПбГТССрПрод" localSheetId="0">#REF!</definedName>
    <definedName name="СПбГТССрПрод">#REF!</definedName>
    <definedName name="список1">'[46]Лист не изменять'!$B$3:$B$6</definedName>
    <definedName name="СписЦБ" localSheetId="0">#REF!</definedName>
    <definedName name="СписЦБ">#REF!</definedName>
    <definedName name="СПЛАВ6063" localSheetId="0">#REF!</definedName>
    <definedName name="СПЛАВ6063">#REF!</definedName>
    <definedName name="СПЛАВ6063_КРАМЗ" localSheetId="0">#REF!</definedName>
    <definedName name="СПЛАВ6063_КРАМЗ">#REF!</definedName>
    <definedName name="Срок">[38]Меню!$B$9</definedName>
    <definedName name="СС_АВЧ" localSheetId="0">#REF!</definedName>
    <definedName name="СС_АВЧ">#REF!</definedName>
    <definedName name="СС_АВЧВН" localSheetId="0">#REF!</definedName>
    <definedName name="СС_АВЧВН">#REF!</definedName>
    <definedName name="СС_АВЧДП">[27]Калькуляции!$A$401:$IV$401</definedName>
    <definedName name="СС_АВЧТОЛ" localSheetId="0">#REF!</definedName>
    <definedName name="СС_АВЧТОЛ">#REF!</definedName>
    <definedName name="СС_АЛФТЗФА" localSheetId="0">#REF!</definedName>
    <definedName name="СС_АЛФТЗФА">#REF!</definedName>
    <definedName name="СС_КРСМЕШ" localSheetId="0">#REF!</definedName>
    <definedName name="СС_КРСМЕШ">#REF!</definedName>
    <definedName name="СС_МАРГ_ЛИГ" localSheetId="0">[27]Калькуляции!#REF!</definedName>
    <definedName name="СС_МАРГ_ЛИГ">[27]Калькуляции!#REF!</definedName>
    <definedName name="СС_МАРГ_ЛИГ_ДП" localSheetId="0">#REF!</definedName>
    <definedName name="СС_МАРГ_ЛИГ_ДП">#REF!</definedName>
    <definedName name="СС_МАС" localSheetId="0">[27]Калькуляции!#REF!</definedName>
    <definedName name="СС_МАС">[27]Калькуляции!#REF!</definedName>
    <definedName name="СС_МАССА" localSheetId="0">#REF!</definedName>
    <definedName name="СС_МАССА">#REF!</definedName>
    <definedName name="СС_МАССА_П">[27]Калькуляции!$A$177:$IV$177</definedName>
    <definedName name="СС_МАССА_ПК">[27]Калькуляции!$A$178:$IV$178</definedName>
    <definedName name="СС_МАССАСРЕД" localSheetId="0">[27]Калькуляции!#REF!</definedName>
    <definedName name="СС_МАССАСРЕД">[27]Калькуляции!#REF!</definedName>
    <definedName name="СС_МАССАСРЕДН" localSheetId="0">[27]Калькуляции!#REF!</definedName>
    <definedName name="СС_МАССАСРЕДН">[27]Калькуляции!#REF!</definedName>
    <definedName name="СС_СЫР" localSheetId="0">#REF!</definedName>
    <definedName name="СС_СЫР">#REF!</definedName>
    <definedName name="СС_СЫРВН" localSheetId="0">#REF!</definedName>
    <definedName name="СС_СЫРВН">#REF!</definedName>
    <definedName name="СС_СЫРДП">[27]Калькуляции!$A$67:$IV$67</definedName>
    <definedName name="СС_СЫРТОЛ" localSheetId="0">#REF!</definedName>
    <definedName name="СС_СЫРТОЛ">#REF!</definedName>
    <definedName name="СС_СЫРТОЛ_А">[27]Калькуляции!$A$65:$IV$65</definedName>
    <definedName name="СС_СЫРТОЛ_П">[27]Калькуляции!$A$63:$IV$63</definedName>
    <definedName name="СС_СЫРТОЛ_ПК">[27]Калькуляции!$A$64:$IV$64</definedName>
    <definedName name="Старкон2">[28]Дебиторка!$J$45</definedName>
    <definedName name="СтрокаЗаголовок">[41]Январь!$C$8:$C$264</definedName>
    <definedName name="СтрокаИмя">[41]Январь!$D$8:$D$264</definedName>
    <definedName name="СтрокаКод">[41]Январь!$E$8:$E$264</definedName>
    <definedName name="СтрокаСумма">[41]Январь!$B$8:$B$264</definedName>
    <definedName name="СургутнеКолПок" localSheetId="0">#REF!</definedName>
    <definedName name="СургутнеКолПок">#REF!</definedName>
    <definedName name="СургутнеКолПрод" localSheetId="0">#REF!</definedName>
    <definedName name="СургутнеКолПрод">#REF!</definedName>
    <definedName name="СургутнеОтн" localSheetId="0">#REF!</definedName>
    <definedName name="СургутнеОтн">#REF!</definedName>
    <definedName name="СургутнеСрПок" localSheetId="0">#REF!</definedName>
    <definedName name="СургутнеСрПок">#REF!</definedName>
    <definedName name="СургутнеСрПрод" localSheetId="0">#REF!</definedName>
    <definedName name="СургутнеСрПрод">#REF!</definedName>
    <definedName name="Счета">'[47]Оборотная ведомость'!$J$4:$K$518</definedName>
    <definedName name="СЫР" localSheetId="0">#REF!</definedName>
    <definedName name="СЫР">#REF!</definedName>
    <definedName name="СЫР_ВН" localSheetId="0">#REF!</definedName>
    <definedName name="СЫР_ВН">#REF!</definedName>
    <definedName name="СЫР_ДП" localSheetId="0">[27]Калькуляции!#REF!</definedName>
    <definedName name="СЫР_ДП">[27]Калькуляции!#REF!</definedName>
    <definedName name="СЫР_ТОЛ" localSheetId="0">#REF!</definedName>
    <definedName name="СЫР_ТОЛ">#REF!</definedName>
    <definedName name="СЫР_ТОЛ_А" localSheetId="0">[27]Калькуляции!#REF!</definedName>
    <definedName name="СЫР_ТОЛ_А">[27]Калькуляции!#REF!</definedName>
    <definedName name="СЫР_ТОЛ_К" localSheetId="0">[27]Калькуляции!#REF!</definedName>
    <definedName name="СЫР_ТОЛ_К">[27]Калькуляции!#REF!</definedName>
    <definedName name="СЫР_ТОЛ_П" localSheetId="0">[27]Калькуляции!#REF!</definedName>
    <definedName name="СЫР_ТОЛ_П">[27]Калькуляции!#REF!</definedName>
    <definedName name="СЫР_ТОЛ_ПК" localSheetId="0">[27]Калькуляции!#REF!</definedName>
    <definedName name="СЫР_ТОЛ_ПК">[27]Калькуляции!#REF!</definedName>
    <definedName name="СЫР_ТОЛ_СУМ" localSheetId="0">[27]Калькуляции!#REF!</definedName>
    <definedName name="СЫР_ТОЛ_СУМ">[27]Калькуляции!#REF!</definedName>
    <definedName name="СЫРА" localSheetId="0">#REF!</definedName>
    <definedName name="СЫРА">#REF!</definedName>
    <definedName name="СЫРЬЁ" localSheetId="0">#REF!</definedName>
    <definedName name="СЫРЬЁ">#REF!</definedName>
    <definedName name="таблица" localSheetId="0">#REF!</definedName>
    <definedName name="таблица">#REF!</definedName>
    <definedName name="Таранов2">[28]Дебиторка!$J$32</definedName>
    <definedName name="ТатнефтьКолПок" localSheetId="0">#REF!</definedName>
    <definedName name="ТатнефтьКолПок">#REF!</definedName>
    <definedName name="ТатнефтьКолПрод" localSheetId="0">#REF!</definedName>
    <definedName name="ТатнефтьКолПрод">#REF!</definedName>
    <definedName name="ТатнефтьОтн" localSheetId="0">#REF!</definedName>
    <definedName name="ТатнефтьОтн">#REF!</definedName>
    <definedName name="ТатнефтьСрПок" localSheetId="0">#REF!</definedName>
    <definedName name="ТатнефтьСрПок">#REF!</definedName>
    <definedName name="ТатнефтьСрПрод" localSheetId="0">#REF!</definedName>
    <definedName name="ТатнефтьСрПрод">#REF!</definedName>
    <definedName name="ТВ_ЭЛЦ3" localSheetId="0">#REF!</definedName>
    <definedName name="ТВ_ЭЛЦ3">#REF!</definedName>
    <definedName name="ТВЁРДЫЙ" localSheetId="0">#REF!</definedName>
    <definedName name="ТВЁРДЫЙ">#REF!</definedName>
    <definedName name="ТверьуниСрПок" localSheetId="0">#REF!</definedName>
    <definedName name="ТверьуниСрПок">#REF!</definedName>
    <definedName name="ТверьуниСрПрод" localSheetId="0">#REF!</definedName>
    <definedName name="ТверьуниСрПрод">#REF!</definedName>
    <definedName name="ТЕРМ" localSheetId="0">[27]Калькуляции!#REF!</definedName>
    <definedName name="ТЕРМ">[27]Калькуляции!#REF!</definedName>
    <definedName name="ТЕРМ_ДАВ" localSheetId="0">[27]Калькуляции!#REF!</definedName>
    <definedName name="ТЕРМ_ДАВ">[27]Калькуляции!#REF!</definedName>
    <definedName name="ТЗР" localSheetId="0">#REF!</definedName>
    <definedName name="ТЗР">#REF!</definedName>
    <definedName name="ТИ" localSheetId="0">#REF!</definedName>
    <definedName name="ТИ">#REF!</definedName>
    <definedName name="Товарная_продукция_2" localSheetId="0">[43]июнь9!#REF!</definedName>
    <definedName name="Товарная_продукция_2">[43]июнь9!#REF!</definedName>
    <definedName name="ТОВАРНЫЙ" localSheetId="0">#REF!</definedName>
    <definedName name="ТОВАРНЫЙ">#REF!</definedName>
    <definedName name="ТОЛ" localSheetId="0">#REF!</definedName>
    <definedName name="ТОЛ">#REF!</definedName>
    <definedName name="ТОЛК_МЕЛ" localSheetId="0">[27]Калькуляции!#REF!</definedName>
    <definedName name="ТОЛК_МЕЛ">[27]Калькуляции!#REF!</definedName>
    <definedName name="ТОЛК_СЛТ" localSheetId="0">[27]Калькуляции!#REF!</definedName>
    <definedName name="ТОЛК_СЛТ">[27]Калькуляции!#REF!</definedName>
    <definedName name="ТОЛК_СУМ" localSheetId="0">[27]Калькуляции!#REF!</definedName>
    <definedName name="ТОЛК_СУМ">[27]Калькуляции!#REF!</definedName>
    <definedName name="ТОЛК_ТОБ" localSheetId="0">[27]Калькуляции!#REF!</definedName>
    <definedName name="ТОЛК_ТОБ">[27]Калькуляции!#REF!</definedName>
    <definedName name="ТОЛЛИНГ_МАССА" localSheetId="0">[27]Калькуляции!#REF!</definedName>
    <definedName name="ТОЛЛИНГ_МАССА">[27]Калькуляции!#REF!</definedName>
    <definedName name="ТОЛЛИНГ_СЫРЕЦ" localSheetId="0">#REF!</definedName>
    <definedName name="ТОЛЛИНГ_СЫРЕЦ">#REF!</definedName>
    <definedName name="ТОЛЛИНГ_СЫРЬЁ" localSheetId="0">[27]Калькуляции!#REF!</definedName>
    <definedName name="ТОЛЛИНГ_СЫРЬЁ">[27]Калькуляции!#REF!</definedName>
    <definedName name="ТомскнефКолПок" localSheetId="0">#REF!</definedName>
    <definedName name="ТомскнефКолПок">#REF!</definedName>
    <definedName name="ТомскнефКолПрод" localSheetId="0">#REF!</definedName>
    <definedName name="ТомскнефКолПрод">#REF!</definedName>
    <definedName name="ТомскнефОтн" localSheetId="0">#REF!</definedName>
    <definedName name="ТомскнефОтн">#REF!</definedName>
    <definedName name="ТомскнефСрПок" localSheetId="0">#REF!</definedName>
    <definedName name="ТомскнефСрПок">#REF!</definedName>
    <definedName name="ТомскнефСрПрод" localSheetId="0">#REF!</definedName>
    <definedName name="ТомскнефСрПрод">#REF!</definedName>
    <definedName name="ТР" localSheetId="0">#REF!</definedName>
    <definedName name="ТР">#REF!</definedName>
    <definedName name="тт" localSheetId="0">#REF!</definedName>
    <definedName name="тт">#REF!</definedName>
    <definedName name="ТюменьэнСрПок" localSheetId="0">#REF!</definedName>
    <definedName name="ТюменьэнСрПок">#REF!</definedName>
    <definedName name="ТюменьэнСрПрод" localSheetId="0">#REF!</definedName>
    <definedName name="ТюменьэнСрПрод">#REF!</definedName>
    <definedName name="ув" hidden="1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УдмуртнКолПок" localSheetId="0">#REF!</definedName>
    <definedName name="УдмуртнКолПок">#REF!</definedName>
    <definedName name="УдмуртнКолПрод" localSheetId="0">#REF!</definedName>
    <definedName name="УдмуртнКолПрод">#REF!</definedName>
    <definedName name="УдмуртнОтн" localSheetId="0">#REF!</definedName>
    <definedName name="УдмуртнОтн">#REF!</definedName>
    <definedName name="УдмуртнСрПок" localSheetId="0">#REF!</definedName>
    <definedName name="УдмуртнСрПок">#REF!</definedName>
    <definedName name="УдмуртнСрПрод" localSheetId="0">#REF!</definedName>
    <definedName name="УдмуртнСрПрод">#REF!</definedName>
    <definedName name="УСЛУГИ_6063" localSheetId="0">[27]Калькуляции!#REF!</definedName>
    <definedName name="УСЛУГИ_6063">[27]Калькуляции!#REF!</definedName>
    <definedName name="факт" localSheetId="0">#REF!</definedName>
    <definedName name="факт">#REF!</definedName>
    <definedName name="факт1" localSheetId="0">#REF!</definedName>
    <definedName name="факт1">#REF!</definedName>
    <definedName name="ФЕВ_РУБ" localSheetId="0">#REF!</definedName>
    <definedName name="ФЕВ_РУБ">#REF!</definedName>
    <definedName name="ФЕВ_ТОН" localSheetId="0">#REF!</definedName>
    <definedName name="ФЕВ_ТОН">#REF!</definedName>
    <definedName name="Филиалы">'[48]Ф-лы'!$B$1:$B$22</definedName>
    <definedName name="фин_">[49]коэфф!$B$2</definedName>
    <definedName name="ФЛ_К" localSheetId="0">#REF!</definedName>
    <definedName name="ФЛ_К">#REF!</definedName>
    <definedName name="ФЛОТ_ОКСА" localSheetId="0">[27]Калькуляции!#REF!</definedName>
    <definedName name="ФЛОТ_ОКСА">[27]Калькуляции!#REF!</definedName>
    <definedName name="форм" localSheetId="0">#REF!</definedName>
    <definedName name="форм">#REF!</definedName>
    <definedName name="формулы" localSheetId="0">#REF!</definedName>
    <definedName name="формулы">#REF!</definedName>
    <definedName name="ФТ_К" localSheetId="0">#REF!</definedName>
    <definedName name="ФТ_К">#REF!</definedName>
    <definedName name="ффф" localSheetId="0">#REF!</definedName>
    <definedName name="ффф">#REF!</definedName>
    <definedName name="ФФФ1" localSheetId="0">#REF!</definedName>
    <definedName name="ФФФ1">#REF!</definedName>
    <definedName name="ФФФ2" localSheetId="0">#REF!</definedName>
    <definedName name="ФФФ2">#REF!</definedName>
    <definedName name="ФФФФ" localSheetId="0">#REF!</definedName>
    <definedName name="ФФФФ">#REF!</definedName>
    <definedName name="ФЫ" localSheetId="0">#REF!</definedName>
    <definedName name="ФЫ">#REF!</definedName>
    <definedName name="ХЛ_Н" localSheetId="0">#REF!</definedName>
    <definedName name="ХЛ_Н">#REF!</definedName>
    <definedName name="ХолдингКолПок" localSheetId="0">#REF!</definedName>
    <definedName name="ХолдингКолПок">#REF!</definedName>
    <definedName name="ХолдингКолПрод" localSheetId="0">#REF!</definedName>
    <definedName name="ХолдингКолПрод">#REF!</definedName>
    <definedName name="ХолдингОтн" localSheetId="0">#REF!</definedName>
    <definedName name="ХолдингОтн">#REF!</definedName>
    <definedName name="ХолдингСрПок" localSheetId="0">#REF!</definedName>
    <definedName name="ХолдингСрПок">#REF!</definedName>
    <definedName name="ХолдингСрПрод" localSheetId="0">#REF!</definedName>
    <definedName name="ХолдингСрПрод">#REF!</definedName>
    <definedName name="ЦЕННЗП_АВЧ" localSheetId="0">#REF!</definedName>
    <definedName name="ЦЕННЗП_АВЧ">#REF!</definedName>
    <definedName name="ЦЕННЗП_АТЧ" localSheetId="0">#REF!</definedName>
    <definedName name="ЦЕННЗП_АТЧ">#REF!</definedName>
    <definedName name="ЦЕХ_К" localSheetId="0">[27]Калькуляции!#REF!</definedName>
    <definedName name="ЦЕХ_К">[27]Калькуляции!#REF!</definedName>
    <definedName name="ЦЕХОВЫЕ" localSheetId="0">#REF!</definedName>
    <definedName name="ЦЕХОВЫЕ">#REF!</definedName>
    <definedName name="ЦЕХР" localSheetId="0">#REF!</definedName>
    <definedName name="ЦЕХР">#REF!</definedName>
    <definedName name="ЦЕХРИТ" localSheetId="0">#REF!</definedName>
    <definedName name="ЦЕХРИТ">#REF!</definedName>
    <definedName name="ЦЕХС" localSheetId="0">#REF!</definedName>
    <definedName name="ЦЕХС">#REF!</definedName>
    <definedName name="ЦЕХСЕБ_ВСЕГО">[27]Калькуляции!$A$1400:$IV$1400</definedName>
    <definedName name="ЦС_В" localSheetId="0">[27]Калькуляции!#REF!</definedName>
    <definedName name="ЦС_В">[27]Калькуляции!#REF!</definedName>
    <definedName name="ЦС_ДП" localSheetId="0">[27]Калькуляции!#REF!</definedName>
    <definedName name="ЦС_ДП">[27]Калькуляции!#REF!</definedName>
    <definedName name="ЦС_Т" localSheetId="0">[27]Калькуляции!#REF!</definedName>
    <definedName name="ЦС_Т">[27]Калькуляции!#REF!</definedName>
    <definedName name="ЦС_Т_А" localSheetId="0">[27]Калькуляции!#REF!</definedName>
    <definedName name="ЦС_Т_А">[27]Калькуляции!#REF!</definedName>
    <definedName name="ЦС_Т_П" localSheetId="0">[27]Калькуляции!#REF!</definedName>
    <definedName name="ЦС_Т_П">[27]Калькуляции!#REF!</definedName>
    <definedName name="ЦС_Т_ПК" localSheetId="0">[27]Калькуляции!#REF!</definedName>
    <definedName name="ЦС_Т_ПК">[27]Калькуляции!#REF!</definedName>
    <definedName name="ЦС_Э" localSheetId="0">[27]Калькуляции!#REF!</definedName>
    <definedName name="ЦС_Э">[27]Калькуляции!#REF!</definedName>
    <definedName name="ЦУМКолПок" localSheetId="0">#REF!</definedName>
    <definedName name="ЦУМКолПок">#REF!</definedName>
    <definedName name="ЦУМКолПрод" localSheetId="0">#REF!</definedName>
    <definedName name="ЦУМКолПрод">#REF!</definedName>
    <definedName name="ЦУМОтн" localSheetId="0">#REF!</definedName>
    <definedName name="ЦУМОтн">#REF!</definedName>
    <definedName name="ЦУМСрПок" localSheetId="0">#REF!</definedName>
    <definedName name="ЦУМСрПок">#REF!</definedName>
    <definedName name="ЦУМСрПрод" localSheetId="0">#REF!</definedName>
    <definedName name="ЦУМСрПрод">#REF!</definedName>
    <definedName name="ЧерногорКолПок" localSheetId="0">#REF!</definedName>
    <definedName name="ЧерногорКолПок">#REF!</definedName>
    <definedName name="ЧерногорКолПрод" localSheetId="0">#REF!</definedName>
    <definedName name="ЧерногорКолПрод">#REF!</definedName>
    <definedName name="ЧерногорОтн" localSheetId="0">#REF!</definedName>
    <definedName name="ЧерногорОтн">#REF!</definedName>
    <definedName name="ЧерногорСрПок" localSheetId="0">#REF!</definedName>
    <definedName name="ЧерногорСрПок">#REF!</definedName>
    <definedName name="ЧерногорСрПрод" localSheetId="0">#REF!</definedName>
    <definedName name="ЧерногорСрПрод">#REF!</definedName>
    <definedName name="ШифрыИмя">[50]Позиция!$B$4:$E$322</definedName>
    <definedName name="ШТАНГИ" localSheetId="0">#REF!</definedName>
    <definedName name="ШТАНГИ">#REF!</definedName>
    <definedName name="ъ" localSheetId="0">#REF!</definedName>
    <definedName name="ъ">#REF!</definedName>
    <definedName name="ыва">[0]!USD/1.701</definedName>
    <definedName name="ЫЫЫЫ" localSheetId="0">#REF!</definedName>
    <definedName name="ЫЫЫЫ">#REF!</definedName>
    <definedName name="ьь" localSheetId="0">#REF!</definedName>
    <definedName name="ьь">#REF!</definedName>
    <definedName name="ЭН" localSheetId="0">#REF!</definedName>
    <definedName name="ЭН">#REF!</definedName>
    <definedName name="ЭнергоатСрПок" localSheetId="0">#REF!</definedName>
    <definedName name="ЭнергоатСрПок">#REF!</definedName>
    <definedName name="ЭнергоатСрПрод" localSheetId="0">#REF!</definedName>
    <definedName name="ЭнергоатСрПрод">#REF!</definedName>
    <definedName name="Эталон2">[28]Дебиторка!$J$48</definedName>
    <definedName name="ЭЭ" localSheetId="0">#REF!</definedName>
    <definedName name="ЭЭ">#REF!</definedName>
    <definedName name="ЭЭ_" localSheetId="0">#REF!</definedName>
    <definedName name="ЭЭ_">#REF!</definedName>
    <definedName name="ЭЭ_ДП" localSheetId="0">[27]Калькуляции!#REF!</definedName>
    <definedName name="ЭЭ_ДП">[27]Калькуляции!#REF!</definedName>
    <definedName name="ЭЭ_ЗФА" localSheetId="0">#REF!</definedName>
    <definedName name="ЭЭ_ЗФА">#REF!</definedName>
    <definedName name="ЭЭ_Т" localSheetId="0">#REF!</definedName>
    <definedName name="ЭЭ_Т">#REF!</definedName>
    <definedName name="ЭЭ_ТОЛ" localSheetId="0">[27]Калькуляции!#REF!</definedName>
    <definedName name="ЭЭ_ТОЛ">[27]Калькуляции!#REF!</definedName>
    <definedName name="ЮганскнеКолПок" localSheetId="0">#REF!</definedName>
    <definedName name="ЮганскнеКолПок">#REF!</definedName>
    <definedName name="ЮганскнеКолПрод" localSheetId="0">#REF!</definedName>
    <definedName name="ЮганскнеКолПрод">#REF!</definedName>
    <definedName name="ЮганскнеОтн" localSheetId="0">#REF!</definedName>
    <definedName name="ЮганскнеОтн">#REF!</definedName>
    <definedName name="ЮганскнеСрПок" localSheetId="0">#REF!</definedName>
    <definedName name="ЮганскнеСрПок">#REF!</definedName>
    <definedName name="ЮганскнеСрПрод" localSheetId="0">#REF!</definedName>
    <definedName name="ЮганскнеСрПрод">#REF!</definedName>
    <definedName name="ЮгоВостоСрПок" localSheetId="0">#REF!</definedName>
    <definedName name="ЮгоВостоСрПок">#REF!</definedName>
    <definedName name="ЮгоВостоСрПрод" localSheetId="0">#REF!</definedName>
    <definedName name="ЮгоВостоСрПрод">#REF!</definedName>
    <definedName name="я">kk/1.81</definedName>
    <definedName name="ЯНВ_РУБ" localSheetId="0">#REF!</definedName>
    <definedName name="ЯНВ_РУБ">#REF!</definedName>
    <definedName name="ЯНВ_ТОН" localSheetId="0">#REF!</definedName>
    <definedName name="ЯНВ_ТОН">#REF!</definedName>
    <definedName name="Ярпиво2">[28]Дебиторка!$J$49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" i="1" l="1"/>
  <c r="H20" i="1"/>
  <c r="G20" i="1"/>
  <c r="F20" i="1"/>
  <c r="E20" i="1"/>
  <c r="D20" i="1"/>
  <c r="G22" i="1"/>
  <c r="G23" i="1"/>
  <c r="G24" i="1"/>
  <c r="D22" i="1"/>
  <c r="D23" i="1"/>
  <c r="D24" i="1"/>
  <c r="G302" i="1" l="1"/>
  <c r="G301" i="1"/>
  <c r="G300" i="1"/>
  <c r="G299" i="1"/>
  <c r="G28" i="1"/>
  <c r="G27" i="1"/>
  <c r="G26" i="1"/>
  <c r="G25" i="1"/>
  <c r="G17" i="1"/>
  <c r="G16" i="1"/>
  <c r="G18" i="1" s="1"/>
  <c r="G13" i="1"/>
  <c r="D302" i="1" l="1"/>
  <c r="D301" i="1"/>
  <c r="D300" i="1"/>
  <c r="D299" i="1"/>
  <c r="G298" i="1"/>
  <c r="G296" i="1" s="1"/>
  <c r="D298" i="1"/>
  <c r="I296" i="1"/>
  <c r="H296" i="1"/>
  <c r="F296" i="1"/>
  <c r="E296" i="1"/>
  <c r="G295" i="1"/>
  <c r="D295" i="1"/>
  <c r="G294" i="1"/>
  <c r="D294" i="1"/>
  <c r="G293" i="1"/>
  <c r="D293" i="1"/>
  <c r="G292" i="1"/>
  <c r="D292" i="1"/>
  <c r="G291" i="1"/>
  <c r="D291" i="1"/>
  <c r="G290" i="1"/>
  <c r="D290" i="1"/>
  <c r="G289" i="1"/>
  <c r="D289" i="1"/>
  <c r="G288" i="1"/>
  <c r="D288" i="1"/>
  <c r="G287" i="1"/>
  <c r="D287" i="1"/>
  <c r="G286" i="1"/>
  <c r="D286" i="1"/>
  <c r="I284" i="1"/>
  <c r="H284" i="1"/>
  <c r="F284" i="1"/>
  <c r="E284" i="1"/>
  <c r="G283" i="1"/>
  <c r="D283" i="1"/>
  <c r="G282" i="1"/>
  <c r="D282" i="1"/>
  <c r="I280" i="1"/>
  <c r="H280" i="1"/>
  <c r="F280" i="1"/>
  <c r="E280" i="1"/>
  <c r="G279" i="1"/>
  <c r="D279" i="1"/>
  <c r="G278" i="1"/>
  <c r="D278" i="1"/>
  <c r="G277" i="1"/>
  <c r="D277" i="1"/>
  <c r="G276" i="1"/>
  <c r="D276" i="1"/>
  <c r="G275" i="1"/>
  <c r="D275" i="1"/>
  <c r="G274" i="1"/>
  <c r="D274" i="1"/>
  <c r="G273" i="1"/>
  <c r="D273" i="1"/>
  <c r="G272" i="1"/>
  <c r="D272" i="1"/>
  <c r="G271" i="1"/>
  <c r="D271" i="1"/>
  <c r="G270" i="1"/>
  <c r="D270" i="1"/>
  <c r="I268" i="1"/>
  <c r="H268" i="1"/>
  <c r="F268" i="1"/>
  <c r="E268" i="1"/>
  <c r="G267" i="1"/>
  <c r="D267" i="1"/>
  <c r="G266" i="1"/>
  <c r="D266" i="1"/>
  <c r="G265" i="1"/>
  <c r="D265" i="1"/>
  <c r="I263" i="1"/>
  <c r="H263" i="1"/>
  <c r="F263" i="1"/>
  <c r="E263" i="1"/>
  <c r="G262" i="1"/>
  <c r="D262" i="1"/>
  <c r="G261" i="1"/>
  <c r="D261" i="1"/>
  <c r="G260" i="1"/>
  <c r="D260" i="1"/>
  <c r="G259" i="1"/>
  <c r="D259" i="1"/>
  <c r="G258" i="1"/>
  <c r="D258" i="1"/>
  <c r="G257" i="1"/>
  <c r="D257" i="1"/>
  <c r="G256" i="1"/>
  <c r="D256" i="1"/>
  <c r="G255" i="1"/>
  <c r="D255" i="1"/>
  <c r="G254" i="1"/>
  <c r="D254" i="1"/>
  <c r="G253" i="1"/>
  <c r="D253" i="1"/>
  <c r="I251" i="1"/>
  <c r="H251" i="1"/>
  <c r="F251" i="1"/>
  <c r="E251" i="1"/>
  <c r="G250" i="1"/>
  <c r="D250" i="1"/>
  <c r="G249" i="1"/>
  <c r="D249" i="1"/>
  <c r="G248" i="1"/>
  <c r="D248" i="1"/>
  <c r="G247" i="1"/>
  <c r="D247" i="1"/>
  <c r="G246" i="1"/>
  <c r="D246" i="1"/>
  <c r="G245" i="1"/>
  <c r="D245" i="1"/>
  <c r="G244" i="1"/>
  <c r="D244" i="1"/>
  <c r="I242" i="1"/>
  <c r="H242" i="1"/>
  <c r="F242" i="1"/>
  <c r="E242" i="1"/>
  <c r="G241" i="1"/>
  <c r="D241" i="1"/>
  <c r="G240" i="1"/>
  <c r="D240" i="1"/>
  <c r="G239" i="1"/>
  <c r="D239" i="1"/>
  <c r="G238" i="1"/>
  <c r="D238" i="1"/>
  <c r="G237" i="1"/>
  <c r="D237" i="1"/>
  <c r="I235" i="1"/>
  <c r="H235" i="1"/>
  <c r="F235" i="1"/>
  <c r="E235" i="1"/>
  <c r="G234" i="1"/>
  <c r="D234" i="1"/>
  <c r="G231" i="1"/>
  <c r="D231" i="1"/>
  <c r="G230" i="1"/>
  <c r="D230" i="1"/>
  <c r="G229" i="1"/>
  <c r="D229" i="1"/>
  <c r="G228" i="1"/>
  <c r="D228" i="1"/>
  <c r="G227" i="1"/>
  <c r="D227" i="1"/>
  <c r="G226" i="1"/>
  <c r="D226" i="1"/>
  <c r="G225" i="1"/>
  <c r="D225" i="1"/>
  <c r="G224" i="1"/>
  <c r="D224" i="1"/>
  <c r="D222" i="1" s="1"/>
  <c r="I222" i="1"/>
  <c r="H222" i="1"/>
  <c r="F222" i="1"/>
  <c r="E222" i="1"/>
  <c r="G221" i="1"/>
  <c r="D221" i="1"/>
  <c r="G220" i="1"/>
  <c r="D220" i="1"/>
  <c r="G219" i="1"/>
  <c r="D219" i="1"/>
  <c r="G218" i="1"/>
  <c r="D218" i="1"/>
  <c r="G217" i="1"/>
  <c r="D217" i="1"/>
  <c r="G216" i="1"/>
  <c r="D216" i="1"/>
  <c r="G215" i="1"/>
  <c r="D215" i="1"/>
  <c r="G214" i="1"/>
  <c r="G211" i="1" s="1"/>
  <c r="D214" i="1"/>
  <c r="G213" i="1"/>
  <c r="D213" i="1"/>
  <c r="I211" i="1"/>
  <c r="H211" i="1"/>
  <c r="F211" i="1"/>
  <c r="E211" i="1"/>
  <c r="G210" i="1"/>
  <c r="G207" i="1" s="1"/>
  <c r="D210" i="1"/>
  <c r="G209" i="1"/>
  <c r="D209" i="1"/>
  <c r="I207" i="1"/>
  <c r="H207" i="1"/>
  <c r="F207" i="1"/>
  <c r="E207" i="1"/>
  <c r="G206" i="1"/>
  <c r="D206" i="1"/>
  <c r="G205" i="1"/>
  <c r="D205" i="1"/>
  <c r="G204" i="1"/>
  <c r="D204" i="1"/>
  <c r="G203" i="1"/>
  <c r="D203" i="1"/>
  <c r="G202" i="1"/>
  <c r="D202" i="1"/>
  <c r="G201" i="1"/>
  <c r="D201" i="1"/>
  <c r="G200" i="1"/>
  <c r="G197" i="1" s="1"/>
  <c r="D200" i="1"/>
  <c r="G199" i="1"/>
  <c r="D199" i="1"/>
  <c r="I197" i="1"/>
  <c r="H197" i="1"/>
  <c r="F197" i="1"/>
  <c r="E197" i="1"/>
  <c r="G196" i="1"/>
  <c r="D196" i="1"/>
  <c r="G195" i="1"/>
  <c r="D195" i="1"/>
  <c r="G194" i="1"/>
  <c r="D194" i="1"/>
  <c r="G193" i="1"/>
  <c r="D193" i="1"/>
  <c r="D190" i="1" s="1"/>
  <c r="G192" i="1"/>
  <c r="D192" i="1"/>
  <c r="I190" i="1"/>
  <c r="H190" i="1"/>
  <c r="F190" i="1"/>
  <c r="F189" i="1" s="1"/>
  <c r="E190" i="1"/>
  <c r="I186" i="1"/>
  <c r="H186" i="1"/>
  <c r="F186" i="1"/>
  <c r="E186" i="1"/>
  <c r="G185" i="1"/>
  <c r="D185" i="1"/>
  <c r="G184" i="1"/>
  <c r="D184" i="1"/>
  <c r="G183" i="1"/>
  <c r="D183" i="1"/>
  <c r="G182" i="1"/>
  <c r="D182" i="1"/>
  <c r="G181" i="1"/>
  <c r="D181" i="1"/>
  <c r="G180" i="1"/>
  <c r="D180" i="1"/>
  <c r="G179" i="1"/>
  <c r="D179" i="1"/>
  <c r="G174" i="1"/>
  <c r="D174" i="1"/>
  <c r="G173" i="1"/>
  <c r="D173" i="1"/>
  <c r="G172" i="1"/>
  <c r="D172" i="1"/>
  <c r="G171" i="1"/>
  <c r="D171" i="1"/>
  <c r="G170" i="1"/>
  <c r="D170" i="1"/>
  <c r="G169" i="1"/>
  <c r="D169" i="1"/>
  <c r="G168" i="1"/>
  <c r="D168" i="1"/>
  <c r="G167" i="1"/>
  <c r="D167" i="1"/>
  <c r="G166" i="1"/>
  <c r="D166" i="1"/>
  <c r="I165" i="1"/>
  <c r="H165" i="1"/>
  <c r="F165" i="1"/>
  <c r="E165" i="1"/>
  <c r="G164" i="1"/>
  <c r="D164" i="1"/>
  <c r="G163" i="1"/>
  <c r="D163" i="1"/>
  <c r="G162" i="1"/>
  <c r="D162" i="1"/>
  <c r="G161" i="1"/>
  <c r="D161" i="1"/>
  <c r="G160" i="1"/>
  <c r="D160" i="1"/>
  <c r="G159" i="1"/>
  <c r="D159" i="1"/>
  <c r="G158" i="1"/>
  <c r="D158" i="1"/>
  <c r="G157" i="1"/>
  <c r="D157" i="1"/>
  <c r="I156" i="1"/>
  <c r="H156" i="1"/>
  <c r="F156" i="1"/>
  <c r="E156" i="1"/>
  <c r="G155" i="1"/>
  <c r="D155" i="1"/>
  <c r="G154" i="1"/>
  <c r="D154" i="1"/>
  <c r="I153" i="1"/>
  <c r="H153" i="1"/>
  <c r="H151" i="1" s="1"/>
  <c r="F153" i="1"/>
  <c r="E153" i="1"/>
  <c r="I151" i="1"/>
  <c r="G150" i="1"/>
  <c r="D150" i="1"/>
  <c r="G149" i="1"/>
  <c r="D149" i="1"/>
  <c r="G148" i="1"/>
  <c r="D148" i="1"/>
  <c r="G147" i="1"/>
  <c r="D147" i="1"/>
  <c r="I146" i="1"/>
  <c r="H146" i="1"/>
  <c r="F146" i="1"/>
  <c r="E146" i="1"/>
  <c r="G145" i="1"/>
  <c r="D145" i="1"/>
  <c r="G144" i="1"/>
  <c r="D144" i="1"/>
  <c r="G143" i="1"/>
  <c r="D143" i="1"/>
  <c r="G142" i="1"/>
  <c r="D142" i="1"/>
  <c r="G141" i="1"/>
  <c r="D141" i="1"/>
  <c r="G140" i="1"/>
  <c r="D140" i="1"/>
  <c r="G139" i="1"/>
  <c r="D139" i="1"/>
  <c r="G138" i="1"/>
  <c r="D138" i="1"/>
  <c r="G137" i="1"/>
  <c r="D137" i="1"/>
  <c r="I135" i="1"/>
  <c r="H135" i="1"/>
  <c r="F135" i="1"/>
  <c r="E135" i="1"/>
  <c r="G134" i="1"/>
  <c r="D134" i="1"/>
  <c r="G133" i="1"/>
  <c r="D133" i="1"/>
  <c r="G132" i="1"/>
  <c r="D132" i="1"/>
  <c r="G131" i="1"/>
  <c r="D131" i="1"/>
  <c r="G130" i="1"/>
  <c r="D130" i="1"/>
  <c r="G129" i="1"/>
  <c r="D129" i="1"/>
  <c r="G128" i="1"/>
  <c r="D128" i="1"/>
  <c r="G127" i="1"/>
  <c r="D127" i="1"/>
  <c r="D124" i="1" s="1"/>
  <c r="G126" i="1"/>
  <c r="D126" i="1"/>
  <c r="I124" i="1"/>
  <c r="H124" i="1"/>
  <c r="F124" i="1"/>
  <c r="E124" i="1"/>
  <c r="G123" i="1"/>
  <c r="D123" i="1"/>
  <c r="G122" i="1"/>
  <c r="D122" i="1"/>
  <c r="G121" i="1"/>
  <c r="D121" i="1"/>
  <c r="G120" i="1"/>
  <c r="D120" i="1"/>
  <c r="G119" i="1"/>
  <c r="D119" i="1"/>
  <c r="G118" i="1"/>
  <c r="D118" i="1"/>
  <c r="D116" i="1" s="1"/>
  <c r="I116" i="1"/>
  <c r="H116" i="1"/>
  <c r="F116" i="1"/>
  <c r="E116" i="1"/>
  <c r="G115" i="1"/>
  <c r="D115" i="1"/>
  <c r="G114" i="1"/>
  <c r="D114" i="1"/>
  <c r="G113" i="1"/>
  <c r="D113" i="1"/>
  <c r="G112" i="1"/>
  <c r="D112" i="1"/>
  <c r="G111" i="1"/>
  <c r="D111" i="1"/>
  <c r="I109" i="1"/>
  <c r="H109" i="1"/>
  <c r="F109" i="1"/>
  <c r="E109" i="1"/>
  <c r="G108" i="1"/>
  <c r="D108" i="1"/>
  <c r="G107" i="1"/>
  <c r="D107" i="1"/>
  <c r="G106" i="1"/>
  <c r="D106" i="1"/>
  <c r="G105" i="1"/>
  <c r="D105" i="1"/>
  <c r="G104" i="1"/>
  <c r="D104" i="1"/>
  <c r="G103" i="1"/>
  <c r="D103" i="1"/>
  <c r="G102" i="1"/>
  <c r="D102" i="1"/>
  <c r="G101" i="1"/>
  <c r="D101" i="1"/>
  <c r="G100" i="1"/>
  <c r="D100" i="1"/>
  <c r="G99" i="1"/>
  <c r="D99" i="1"/>
  <c r="I97" i="1"/>
  <c r="H97" i="1"/>
  <c r="F97" i="1"/>
  <c r="E97" i="1"/>
  <c r="G94" i="1"/>
  <c r="D94" i="1"/>
  <c r="G93" i="1"/>
  <c r="D93" i="1"/>
  <c r="G92" i="1"/>
  <c r="D92" i="1"/>
  <c r="G91" i="1"/>
  <c r="D91" i="1"/>
  <c r="G90" i="1"/>
  <c r="D90" i="1"/>
  <c r="G89" i="1"/>
  <c r="D89" i="1"/>
  <c r="I88" i="1"/>
  <c r="H88" i="1"/>
  <c r="F88" i="1"/>
  <c r="E88" i="1"/>
  <c r="G85" i="1"/>
  <c r="D85" i="1"/>
  <c r="G84" i="1"/>
  <c r="D84" i="1"/>
  <c r="G83" i="1"/>
  <c r="D83" i="1"/>
  <c r="G82" i="1"/>
  <c r="D82" i="1"/>
  <c r="G81" i="1"/>
  <c r="D81" i="1"/>
  <c r="G80" i="1"/>
  <c r="D80" i="1"/>
  <c r="G79" i="1"/>
  <c r="D79" i="1"/>
  <c r="G78" i="1"/>
  <c r="D78" i="1"/>
  <c r="G77" i="1"/>
  <c r="D77" i="1"/>
  <c r="G76" i="1"/>
  <c r="D76" i="1"/>
  <c r="I74" i="1"/>
  <c r="H74" i="1"/>
  <c r="F74" i="1"/>
  <c r="E74" i="1"/>
  <c r="G73" i="1"/>
  <c r="D73" i="1"/>
  <c r="G72" i="1"/>
  <c r="D72" i="1"/>
  <c r="G71" i="1"/>
  <c r="D71" i="1"/>
  <c r="G70" i="1"/>
  <c r="D70" i="1"/>
  <c r="G69" i="1"/>
  <c r="D69" i="1"/>
  <c r="G68" i="1"/>
  <c r="D68" i="1"/>
  <c r="G67" i="1"/>
  <c r="D67" i="1"/>
  <c r="G66" i="1"/>
  <c r="D66" i="1"/>
  <c r="G65" i="1"/>
  <c r="D65" i="1"/>
  <c r="G64" i="1"/>
  <c r="D64" i="1"/>
  <c r="I63" i="1"/>
  <c r="H63" i="1"/>
  <c r="F63" i="1"/>
  <c r="E63" i="1"/>
  <c r="G62" i="1"/>
  <c r="D62" i="1"/>
  <c r="G61" i="1"/>
  <c r="D61" i="1"/>
  <c r="G60" i="1"/>
  <c r="D60" i="1"/>
  <c r="G59" i="1"/>
  <c r="D59" i="1"/>
  <c r="G58" i="1"/>
  <c r="D58" i="1"/>
  <c r="G57" i="1"/>
  <c r="D57" i="1"/>
  <c r="G56" i="1"/>
  <c r="D56" i="1"/>
  <c r="G55" i="1"/>
  <c r="D55" i="1"/>
  <c r="I54" i="1"/>
  <c r="H54" i="1"/>
  <c r="F54" i="1"/>
  <c r="E54" i="1"/>
  <c r="G53" i="1"/>
  <c r="D53" i="1"/>
  <c r="G52" i="1"/>
  <c r="D52" i="1"/>
  <c r="I51" i="1"/>
  <c r="I49" i="1" s="1"/>
  <c r="H51" i="1"/>
  <c r="F51" i="1"/>
  <c r="E51" i="1"/>
  <c r="G48" i="1"/>
  <c r="D48" i="1"/>
  <c r="G47" i="1"/>
  <c r="D47" i="1"/>
  <c r="G46" i="1"/>
  <c r="D46" i="1"/>
  <c r="G45" i="1"/>
  <c r="D45" i="1"/>
  <c r="G44" i="1"/>
  <c r="D44" i="1"/>
  <c r="I42" i="1"/>
  <c r="H42" i="1"/>
  <c r="F42" i="1"/>
  <c r="E42" i="1"/>
  <c r="G41" i="1"/>
  <c r="D41" i="1"/>
  <c r="G40" i="1"/>
  <c r="D40" i="1"/>
  <c r="G39" i="1"/>
  <c r="D39" i="1"/>
  <c r="G38" i="1"/>
  <c r="D38" i="1"/>
  <c r="I36" i="1"/>
  <c r="H36" i="1"/>
  <c r="F36" i="1"/>
  <c r="E36" i="1"/>
  <c r="G35" i="1"/>
  <c r="D35" i="1"/>
  <c r="G34" i="1"/>
  <c r="D34" i="1"/>
  <c r="G33" i="1"/>
  <c r="D33" i="1"/>
  <c r="G32" i="1"/>
  <c r="D32" i="1"/>
  <c r="I30" i="1"/>
  <c r="H30" i="1"/>
  <c r="F30" i="1"/>
  <c r="E30" i="1"/>
  <c r="G29" i="1"/>
  <c r="D29" i="1"/>
  <c r="D28" i="1"/>
  <c r="D27" i="1"/>
  <c r="D26" i="1"/>
  <c r="D25" i="1"/>
  <c r="I18" i="1"/>
  <c r="H18" i="1"/>
  <c r="F18" i="1"/>
  <c r="E18" i="1"/>
  <c r="D17" i="1"/>
  <c r="D16" i="1"/>
  <c r="I14" i="1"/>
  <c r="H14" i="1"/>
  <c r="F14" i="1"/>
  <c r="E14" i="1"/>
  <c r="D13" i="1"/>
  <c r="G12" i="1"/>
  <c r="G14" i="1" s="1"/>
  <c r="D12" i="1"/>
  <c r="D14" i="1" l="1"/>
  <c r="G54" i="1"/>
  <c r="G63" i="1"/>
  <c r="G74" i="1"/>
  <c r="G88" i="1"/>
  <c r="G153" i="1"/>
  <c r="D197" i="1"/>
  <c r="I189" i="1"/>
  <c r="G222" i="1"/>
  <c r="G189" i="1" s="1"/>
  <c r="G242" i="1"/>
  <c r="G268" i="1"/>
  <c r="D189" i="1"/>
  <c r="G124" i="1"/>
  <c r="G135" i="1"/>
  <c r="G190" i="1"/>
  <c r="G280" i="1"/>
  <c r="I95" i="1"/>
  <c r="G165" i="1"/>
  <c r="D242" i="1"/>
  <c r="D251" i="1"/>
  <c r="D263" i="1"/>
  <c r="D88" i="1"/>
  <c r="H189" i="1"/>
  <c r="D135" i="1"/>
  <c r="D211" i="1"/>
  <c r="E189" i="1"/>
  <c r="D74" i="1"/>
  <c r="G97" i="1"/>
  <c r="G109" i="1"/>
  <c r="D156" i="1"/>
  <c r="G186" i="1"/>
  <c r="G316" i="1" s="1"/>
  <c r="G235" i="1"/>
  <c r="F95" i="1"/>
  <c r="H188" i="1"/>
  <c r="D296" i="1"/>
  <c r="D18" i="1"/>
  <c r="D97" i="1"/>
  <c r="D95" i="1" s="1"/>
  <c r="D109" i="1"/>
  <c r="G146" i="1"/>
  <c r="D165" i="1"/>
  <c r="D235" i="1"/>
  <c r="G251" i="1"/>
  <c r="G233" i="1" s="1"/>
  <c r="G263" i="1"/>
  <c r="D280" i="1"/>
  <c r="G30" i="1"/>
  <c r="G42" i="1"/>
  <c r="D54" i="1"/>
  <c r="D63" i="1"/>
  <c r="D30" i="1"/>
  <c r="D36" i="1"/>
  <c r="D42" i="1"/>
  <c r="G51" i="1"/>
  <c r="G284" i="1"/>
  <c r="D284" i="1"/>
  <c r="E232" i="1"/>
  <c r="D268" i="1"/>
  <c r="H233" i="1"/>
  <c r="H232" i="1"/>
  <c r="H303" i="1" s="1"/>
  <c r="H304" i="1" s="1"/>
  <c r="I232" i="1"/>
  <c r="E233" i="1"/>
  <c r="F232" i="1"/>
  <c r="I233" i="1"/>
  <c r="F233" i="1"/>
  <c r="D207" i="1"/>
  <c r="F188" i="1"/>
  <c r="I188" i="1"/>
  <c r="E188" i="1"/>
  <c r="E303" i="1" s="1"/>
  <c r="E304" i="1" s="1"/>
  <c r="D188" i="1"/>
  <c r="D186" i="1"/>
  <c r="D316" i="1" s="1"/>
  <c r="F151" i="1"/>
  <c r="G156" i="1"/>
  <c r="E151" i="1"/>
  <c r="D153" i="1"/>
  <c r="D146" i="1"/>
  <c r="H95" i="1"/>
  <c r="H175" i="1" s="1"/>
  <c r="G116" i="1"/>
  <c r="E95" i="1"/>
  <c r="I175" i="1"/>
  <c r="H49" i="1"/>
  <c r="H19" i="1" s="1"/>
  <c r="H86" i="1" s="1"/>
  <c r="E49" i="1"/>
  <c r="E19" i="1" s="1"/>
  <c r="E86" i="1" s="1"/>
  <c r="F49" i="1"/>
  <c r="D51" i="1"/>
  <c r="G36" i="1"/>
  <c r="I19" i="1"/>
  <c r="I86" i="1" s="1"/>
  <c r="F19" i="1"/>
  <c r="F86" i="1" s="1"/>
  <c r="G95" i="1"/>
  <c r="G151" i="1" l="1"/>
  <c r="F175" i="1"/>
  <c r="F176" i="1" s="1"/>
  <c r="G188" i="1"/>
  <c r="G49" i="1"/>
  <c r="D151" i="1"/>
  <c r="D175" i="1" s="1"/>
  <c r="F303" i="1"/>
  <c r="F304" i="1" s="1"/>
  <c r="G232" i="1"/>
  <c r="G303" i="1" s="1"/>
  <c r="G317" i="1" s="1"/>
  <c r="D233" i="1"/>
  <c r="D232" i="1"/>
  <c r="D303" i="1" s="1"/>
  <c r="G19" i="1"/>
  <c r="G86" i="1" s="1"/>
  <c r="D49" i="1"/>
  <c r="D19" i="1" s="1"/>
  <c r="D86" i="1" s="1"/>
  <c r="I303" i="1"/>
  <c r="I304" i="1" s="1"/>
  <c r="G175" i="1"/>
  <c r="E175" i="1"/>
  <c r="E176" i="1" s="1"/>
  <c r="I176" i="1"/>
  <c r="H176" i="1"/>
  <c r="D176" i="1" l="1"/>
  <c r="D315" i="1" s="1"/>
  <c r="D317" i="1"/>
  <c r="D304" i="1"/>
  <c r="G304" i="1"/>
  <c r="G176" i="1"/>
  <c r="G315" i="1" s="1"/>
  <c r="G318" i="1" s="1"/>
  <c r="D318" i="1" l="1"/>
</calcChain>
</file>

<file path=xl/comments1.xml><?xml version="1.0" encoding="utf-8"?>
<comments xmlns="http://schemas.openxmlformats.org/spreadsheetml/2006/main">
  <authors>
    <author>Furkat Kodirov</author>
  </authors>
  <commentList>
    <comment ref="B286" authorId="0" shapeId="0">
      <text>
        <r>
          <rPr>
            <b/>
            <sz val="9"/>
            <color indexed="81"/>
            <rFont val="Tahoma"/>
            <charset val="1"/>
          </rPr>
          <t>Furkat Kodirov:</t>
        </r>
        <r>
          <rPr>
            <sz val="9"/>
            <color indexed="81"/>
            <rFont val="Tahoma"/>
            <charset val="1"/>
          </rPr>
          <t xml:space="preserve">
VMQ ilovasida yo'q</t>
        </r>
      </text>
    </comment>
  </commentList>
</comments>
</file>

<file path=xl/sharedStrings.xml><?xml version="1.0" encoding="utf-8"?>
<sst xmlns="http://schemas.openxmlformats.org/spreadsheetml/2006/main" count="409" uniqueCount="218">
  <si>
    <t>Нобанк ва бошқа молиявий ташкилотлар шарҳини 
шакллантириш бўйича статистик ҳисоботларни юритиш 
тартиби тўғрисидаги Низомга
3-илова</t>
  </si>
  <si>
    <t>Ташкилот номи:
Наименование организации:</t>
  </si>
  <si>
    <t>Ҳисобот даври:
Отчетный период:</t>
  </si>
  <si>
    <t>Изоҳ / Примечание</t>
  </si>
  <si>
    <t>минг сум
тыс.сум</t>
  </si>
  <si>
    <t>Кўрсаткичлар номи 
Наименование показателя</t>
  </si>
  <si>
    <t>Сатр
 коди
Код стр.</t>
  </si>
  <si>
    <t>Ҳисобот даври бошига
На начало отчетного периода</t>
  </si>
  <si>
    <t>Ҳисобот даври охирига
На конец отчетного периода</t>
  </si>
  <si>
    <t>Жами:
Всего:</t>
  </si>
  <si>
    <t>3=4+5</t>
  </si>
  <si>
    <t>6=7+8</t>
  </si>
  <si>
    <t>Актив</t>
  </si>
  <si>
    <t>I. Узоқ муддатли активлар
I. Долгосрочные активы</t>
  </si>
  <si>
    <t xml:space="preserve">Асосий воситалар:
Основные средства: </t>
  </si>
  <si>
    <t>Бошланғич (қайта тиклаш) қиймати (0100, 0300)
Первоначальная (восстановительная) стоимость (0100, 0300)</t>
  </si>
  <si>
    <t>010</t>
  </si>
  <si>
    <t>Эскириш суммаси  (0200)
Сумма износа (0200)</t>
  </si>
  <si>
    <t>011</t>
  </si>
  <si>
    <t>қолдиқ (баланс) қиймати (сатр. 010 - 011)
Остаточная (балансовая) стоимость (стр. 010-011)</t>
  </si>
  <si>
    <t>012</t>
  </si>
  <si>
    <t>Номоддий активлар:
Нематериальные активы:</t>
  </si>
  <si>
    <t xml:space="preserve">Бошланғич қиймати (0400)
Первоначальная стоимость (0400) </t>
  </si>
  <si>
    <t>020</t>
  </si>
  <si>
    <t xml:space="preserve">Амортизация суммаси (0500) 
Сумма амортизации (0500) </t>
  </si>
  <si>
    <t>021</t>
  </si>
  <si>
    <t>Қолдиқ (баланс) қиймати (сатр. 020 - 021)
Остаточная (балансовая) стоимость (стр. 020-021)</t>
  </si>
  <si>
    <t>022</t>
  </si>
  <si>
    <r>
      <t xml:space="preserve">Узоқ муддатли инвестициялар, </t>
    </r>
    <r>
      <rPr>
        <sz val="10"/>
        <color indexed="8"/>
        <rFont val="Times New Roman"/>
        <family val="1"/>
        <charset val="204"/>
      </rPr>
      <t xml:space="preserve">жами (сатр.040+050+060+070+080), шу жумладан:
</t>
    </r>
    <r>
      <rPr>
        <b/>
        <sz val="10"/>
        <color indexed="8"/>
        <rFont val="Times New Roman"/>
        <family val="1"/>
        <charset val="204"/>
      </rPr>
      <t xml:space="preserve">Долгосрочные инвестиции, </t>
    </r>
    <r>
      <rPr>
        <sz val="10"/>
        <color indexed="8"/>
        <rFont val="Times New Roman"/>
        <family val="1"/>
        <charset val="204"/>
      </rPr>
      <t>всего (стр.040+050+060+070+080), в том числе:</t>
    </r>
  </si>
  <si>
    <t>030</t>
  </si>
  <si>
    <t>Қимматли қоғозлар (0610)
Ценные бумаги (0610)</t>
  </si>
  <si>
    <t>040</t>
  </si>
  <si>
    <t xml:space="preserve">шундан: 
из нее:  </t>
  </si>
  <si>
    <t>Тижорат банклари;
Коммерческие банки;</t>
  </si>
  <si>
    <t>Нобанк ва бошқа молиявий ташкилотлар;
Небанковские и другие финансовые организации;</t>
  </si>
  <si>
    <t>Давлат номолиявий ташкилотлар;
Государственные нефинансовые организации;</t>
  </si>
  <si>
    <t>Нодавлат номолиявий ташкилотлар;
Негосударственные нефинансовые организации;</t>
  </si>
  <si>
    <t>Норезидентлар;
Нерезиденты;</t>
  </si>
  <si>
    <t>Шўъба хўжалик жамиятларига инвестициялар (0620)
Инвестиции в дочерние хозяйственные общества (0620)</t>
  </si>
  <si>
    <t>050</t>
  </si>
  <si>
    <t xml:space="preserve">Қарам хўжалик жамиятларига инвестициялар (0630)
Инвестиции в зависимые хозяйственные общества (0630) </t>
  </si>
  <si>
    <t>060</t>
  </si>
  <si>
    <t>Чет эл капитали мавжуд бўлган корхоналарга инвестициялар (0640)
Инвестиции в предприятие с иностранным капиталом (0640)</t>
  </si>
  <si>
    <t>070</t>
  </si>
  <si>
    <t>Бошқа узоқ муддатли инвестициялар (0690) 
Прочие долгосрочные инвестиции (0690)</t>
  </si>
  <si>
    <t>080</t>
  </si>
  <si>
    <t>Депозитлар:
Депозиты:</t>
  </si>
  <si>
    <t xml:space="preserve">Узоқ муддатли қимматли коғозлар 
Долгосрочные ценные бумаги </t>
  </si>
  <si>
    <t>Ўзбекистон Республикаси республика бюджетидан молиялаштириладиган ташкилотлар;
Организации финансируемые из республиканского бюджета Республики Узбекистан;</t>
  </si>
  <si>
    <t>Қорақалпоғистон Республикаси бюджетидан, вилоятлар ва Тошкент шаҳар маҳаллий бюджетларидан, туманлар ва шаҳарлар бюджетларидан молиялаштириладиган ташкилотлар;
Организации финансируемые из бюджета Республики Каракалпакстан, местных бюджетов областей и города Ташкента, бюджетов районов и городов;</t>
  </si>
  <si>
    <t>Марказий банк;
Центральный банк;</t>
  </si>
  <si>
    <t>Бошқа инвестициялар:
Другие инвестиции:</t>
  </si>
  <si>
    <t>Ўрнатиладиган асбоб-ускуналар (0700)
Оборудование к установке (0700)</t>
  </si>
  <si>
    <t>090</t>
  </si>
  <si>
    <t xml:space="preserve">Капитал қўйилмалар (0800)
Капитальные вложения (0800) </t>
  </si>
  <si>
    <t>100</t>
  </si>
  <si>
    <t xml:space="preserve">Узоқ муддатли дебиторлик қарзлари (0910, 0920, 0930, 0940)
Долгосрочная дебиторская задолженность (0910, 0920, 0930, 0940) </t>
  </si>
  <si>
    <t>110</t>
  </si>
  <si>
    <t>Жисмоний шахслар;
Физические лица;</t>
  </si>
  <si>
    <t xml:space="preserve">Узоқ муддатли кечиктирилган харажатлар (0950, 0960, 0990)
Долгосрочные отсроченные расходы (0950, 0960, 0990) </t>
  </si>
  <si>
    <t>120</t>
  </si>
  <si>
    <r>
      <rPr>
        <b/>
        <sz val="10"/>
        <color indexed="8"/>
        <rFont val="Times New Roman"/>
        <family val="1"/>
        <charset val="204"/>
      </rPr>
      <t>I бўлим бўйича жами</t>
    </r>
    <r>
      <rPr>
        <sz val="10"/>
        <color indexed="8"/>
        <rFont val="Times New Roman"/>
        <family val="1"/>
        <charset val="204"/>
      </rPr>
      <t xml:space="preserve">  (сатр. 012+022+030+090+100+110+120)
</t>
    </r>
    <r>
      <rPr>
        <b/>
        <sz val="10"/>
        <color indexed="8"/>
        <rFont val="Times New Roman"/>
        <family val="1"/>
        <charset val="204"/>
      </rPr>
      <t xml:space="preserve">Итого по разделу I </t>
    </r>
    <r>
      <rPr>
        <sz val="10"/>
        <color indexed="8"/>
        <rFont val="Times New Roman"/>
        <family val="1"/>
        <charset val="204"/>
      </rPr>
      <t xml:space="preserve"> (стр. 012+022+030+090+100+110+120)</t>
    </r>
  </si>
  <si>
    <t>130</t>
  </si>
  <si>
    <t>II. Жорий активлар
II. Текущие активы</t>
  </si>
  <si>
    <r>
      <rPr>
        <b/>
        <sz val="10"/>
        <color indexed="8"/>
        <rFont val="Times New Roman"/>
        <family val="1"/>
        <charset val="204"/>
      </rPr>
      <t xml:space="preserve">Товар-моддий захиралар, </t>
    </r>
    <r>
      <rPr>
        <sz val="10"/>
        <color indexed="8"/>
        <rFont val="Times New Roman"/>
        <family val="1"/>
        <charset val="204"/>
      </rPr>
      <t xml:space="preserve">жами (сатр.150+160+170+180), шу жумладан:
</t>
    </r>
    <r>
      <rPr>
        <b/>
        <sz val="10"/>
        <color indexed="8"/>
        <rFont val="Times New Roman"/>
        <family val="1"/>
        <charset val="204"/>
      </rPr>
      <t>Товарно-материальные запасы,</t>
    </r>
    <r>
      <rPr>
        <sz val="10"/>
        <color indexed="8"/>
        <rFont val="Times New Roman"/>
        <family val="1"/>
        <charset val="204"/>
      </rPr>
      <t xml:space="preserve"> всего (стр.150+160+170+180), в том числе:</t>
    </r>
  </si>
  <si>
    <t>140</t>
  </si>
  <si>
    <t>Ишлаб чиқариш захиралари (1000, 1100, 1500, 1600)
Производственные запасы (1000, 1100, 1500, 1600)</t>
  </si>
  <si>
    <t>150</t>
  </si>
  <si>
    <t>Тугалланмаган ишлаб чиқариш (2000, 2100, 2300, 2700)
Незавершенное производство (2000, 2100, 2300, 2700)</t>
  </si>
  <si>
    <t>160</t>
  </si>
  <si>
    <t>Тайёр маҳсулот (2800)
Готовая продукция (2800)</t>
  </si>
  <si>
    <t>170</t>
  </si>
  <si>
    <t>Товарлар (2900 дан 2980 нинг айирмаси)
Товары (2900 за минусом 2980)</t>
  </si>
  <si>
    <t>180</t>
  </si>
  <si>
    <t>Келгуси давр харажатлари (3100)
Расходы будущих периодов (3100)</t>
  </si>
  <si>
    <t>190</t>
  </si>
  <si>
    <t>Кечиктирилган харажатлар (3200)
Отсроченные расходы (3200)</t>
  </si>
  <si>
    <t>200</t>
  </si>
  <si>
    <r>
      <rPr>
        <b/>
        <sz val="10"/>
        <color indexed="8"/>
        <rFont val="Times New Roman"/>
        <family val="1"/>
        <charset val="204"/>
      </rPr>
      <t>Дебиторлар,</t>
    </r>
    <r>
      <rPr>
        <sz val="10"/>
        <color indexed="8"/>
        <rFont val="Times New Roman"/>
        <family val="1"/>
        <charset val="204"/>
      </rPr>
      <t xml:space="preserve"> жами  (сатр.220+240+250+260+270+280+290+300+310)
</t>
    </r>
    <r>
      <rPr>
        <b/>
        <sz val="10"/>
        <color indexed="8"/>
        <rFont val="Times New Roman"/>
        <family val="1"/>
        <charset val="204"/>
      </rPr>
      <t>Дебиторы,</t>
    </r>
    <r>
      <rPr>
        <sz val="10"/>
        <color indexed="8"/>
        <rFont val="Times New Roman"/>
        <family val="1"/>
        <charset val="204"/>
      </rPr>
      <t xml:space="preserve"> всего (стр.220+240+250+260+270+280+290+300+310)</t>
    </r>
  </si>
  <si>
    <t>210</t>
  </si>
  <si>
    <t xml:space="preserve">шундан: муддати ўтган
из нее: просроченная </t>
  </si>
  <si>
    <t>211</t>
  </si>
  <si>
    <t>Харидор ва буюртмачиларнинг қарзи (4000 дан 4900 нинг айирмаси)
Задолженность покупателей и заказчиков (4000 за минусом 4900)</t>
  </si>
  <si>
    <t>220</t>
  </si>
  <si>
    <t>Ажратилган бўлинмаларнинг қарзи (4110) 
Задолженность обособленных подразделений (4110)</t>
  </si>
  <si>
    <t>230</t>
  </si>
  <si>
    <t>Шўъба ва қарам хўжалик жамиятларнинг қарзи (4120)
Задолженность дочерних и зависимых хозяйственных обществ (4120)</t>
  </si>
  <si>
    <t>240</t>
  </si>
  <si>
    <t>Ходимларга берилган бўнаклар (4200)
Авансы, выданные персоналу (4200)</t>
  </si>
  <si>
    <t>250</t>
  </si>
  <si>
    <t>Товар етказиб берувчилар ва пудратчиларга берилган бўнаклар (4300)
Авансы, выданные поставщикам и подрядчикам (4300)</t>
  </si>
  <si>
    <t>260</t>
  </si>
  <si>
    <t>Бюджетга солиқлар ва бошқа мажбурий тўловлар бўйича бўнак тўловлари (4400)
Авансовые платежи по налогам и другим обязательным платежам в бюджет (4400)</t>
  </si>
  <si>
    <t>270</t>
  </si>
  <si>
    <t>Мақсадли давлат жамғармалари ва суғурталар бўйича бўнак тўловлари (4500)
Авансовые платежи в государственные целевые фонды и по страхованию (4500)</t>
  </si>
  <si>
    <t>280</t>
  </si>
  <si>
    <t>Муассисларнинг устав капиталига улушлар бўйича қарзи (4600)
Задолженность учредителей по вкладам в уставный капитал (4600)</t>
  </si>
  <si>
    <t>290</t>
  </si>
  <si>
    <t>Ходимларнинг бошқа операциялар бўйича қарзи (4700)
Задолженность персонала по прочим операциям (4700)</t>
  </si>
  <si>
    <t>300</t>
  </si>
  <si>
    <t>Бошқа дебиторлик қарзлари (4800)
Прочие дебиторские задолженности (4800)</t>
  </si>
  <si>
    <t>310</t>
  </si>
  <si>
    <r>
      <rPr>
        <b/>
        <sz val="10"/>
        <color indexed="8"/>
        <rFont val="Times New Roman"/>
        <family val="1"/>
        <charset val="204"/>
      </rPr>
      <t xml:space="preserve">Пул маблағлари, </t>
    </r>
    <r>
      <rPr>
        <sz val="10"/>
        <color indexed="8"/>
        <rFont val="Times New Roman"/>
        <family val="1"/>
        <charset val="204"/>
      </rPr>
      <t xml:space="preserve">жами (сатр.330+340+350+360), шу жумладан:
</t>
    </r>
    <r>
      <rPr>
        <b/>
        <sz val="10"/>
        <color indexed="8"/>
        <rFont val="Times New Roman"/>
        <family val="1"/>
        <charset val="204"/>
      </rPr>
      <t xml:space="preserve">Денежные средства, </t>
    </r>
    <r>
      <rPr>
        <sz val="10"/>
        <color indexed="8"/>
        <rFont val="Times New Roman"/>
        <family val="1"/>
        <charset val="204"/>
      </rPr>
      <t>всего (стр.330+340+350+360), в том числе:</t>
    </r>
  </si>
  <si>
    <t>320</t>
  </si>
  <si>
    <t>Кассадаги пул маблағлари  (5000)
Денежные средства в кассе (5000)</t>
  </si>
  <si>
    <t>330</t>
  </si>
  <si>
    <t>Ҳисоб-китоб счётидаги пул маблағлари  (5100)
Денежные средства на расчетном счете (5100)</t>
  </si>
  <si>
    <t>340</t>
  </si>
  <si>
    <t>Чет эл валютасидаги пул маблағлари (5200)
Денежные средства в иностранной валюте (5200)</t>
  </si>
  <si>
    <t>350</t>
  </si>
  <si>
    <t>Бошқа пул маблағлари ва эквивалентлари (5500, 5600, 5700)
Прочие денежные средства и эквиваленты (5500, 5600, 5700)</t>
  </si>
  <si>
    <t>360</t>
  </si>
  <si>
    <t xml:space="preserve">Қисқа муддатли инвестициялар (5800)
Краткосрочные инвестиции (5800) </t>
  </si>
  <si>
    <t>370</t>
  </si>
  <si>
    <t>Қисқа муддатли қимматли қоғозлар:
Краткосрочные ценные бумаги:</t>
  </si>
  <si>
    <t>Бошқа қисқа муддатли инвестициялар:
Другие краткосрочные инвестиции:</t>
  </si>
  <si>
    <t xml:space="preserve">Бошқа жорий активлар (5900)
Прочие текущие активы (5900) </t>
  </si>
  <si>
    <t>380</t>
  </si>
  <si>
    <r>
      <rPr>
        <b/>
        <sz val="10"/>
        <color indexed="8"/>
        <rFont val="Times New Roman"/>
        <family val="1"/>
        <charset val="204"/>
      </rPr>
      <t xml:space="preserve">II бўлим бўйича жами </t>
    </r>
    <r>
      <rPr>
        <sz val="10"/>
        <color indexed="8"/>
        <rFont val="Times New Roman"/>
        <family val="1"/>
        <charset val="204"/>
      </rPr>
      <t xml:space="preserve">(сатр.140+190+200+210+320+370+380)
</t>
    </r>
    <r>
      <rPr>
        <b/>
        <sz val="10"/>
        <color indexed="8"/>
        <rFont val="Times New Roman"/>
        <family val="1"/>
        <charset val="204"/>
      </rPr>
      <t xml:space="preserve">Итого по разделу II </t>
    </r>
    <r>
      <rPr>
        <sz val="10"/>
        <color indexed="8"/>
        <rFont val="Times New Roman"/>
        <family val="1"/>
        <charset val="204"/>
      </rPr>
      <t xml:space="preserve"> (стр. 140+190+200+210+320+370+380) </t>
    </r>
  </si>
  <si>
    <t>390</t>
  </si>
  <si>
    <r>
      <rPr>
        <b/>
        <sz val="10"/>
        <color indexed="8"/>
        <rFont val="Times New Roman"/>
        <family val="1"/>
        <charset val="204"/>
      </rPr>
      <t>Баланс активи бўйича жами</t>
    </r>
    <r>
      <rPr>
        <sz val="10"/>
        <color indexed="8"/>
        <rFont val="Times New Roman"/>
        <family val="1"/>
        <charset val="204"/>
      </rPr>
      <t xml:space="preserve"> (сатр.130+390)
</t>
    </r>
    <r>
      <rPr>
        <b/>
        <sz val="10"/>
        <color indexed="8"/>
        <rFont val="Times New Roman"/>
        <family val="1"/>
        <charset val="204"/>
      </rPr>
      <t>Всего по активу баланса</t>
    </r>
    <r>
      <rPr>
        <sz val="10"/>
        <color indexed="8"/>
        <rFont val="Times New Roman"/>
        <family val="1"/>
        <charset val="204"/>
      </rPr>
      <t xml:space="preserve"> (стр.130+стр.390)</t>
    </r>
  </si>
  <si>
    <t>400</t>
  </si>
  <si>
    <t>Пассив</t>
  </si>
  <si>
    <t xml:space="preserve">I. Ўз маблағлари манбалари 
I. Источники собственных средств </t>
  </si>
  <si>
    <t>Устав капитали (8300)
Уставный капитал (8300)</t>
  </si>
  <si>
    <t>410</t>
  </si>
  <si>
    <t xml:space="preserve">Қўшилган капитал (8400)
Добавленный капитал (8400) </t>
  </si>
  <si>
    <t>420</t>
  </si>
  <si>
    <t>Резерв капитали (8500)
Резервный капитал (8500)</t>
  </si>
  <si>
    <t>430</t>
  </si>
  <si>
    <t>Сотиб олинган хусусий акциялар (8600)
Выкупленные собственные акции (8600)</t>
  </si>
  <si>
    <t>440</t>
  </si>
  <si>
    <t>Тақсимланмаган фойда (қопланмаган зарар) (8700)
Нераспределенная прибыль (непокрытый убыток) (8700)</t>
  </si>
  <si>
    <t>450</t>
  </si>
  <si>
    <t xml:space="preserve">Мақсадли тушумлар (8800)
Целевые поступления (8800) </t>
  </si>
  <si>
    <t>460</t>
  </si>
  <si>
    <t>Келгуси давр харажатлари ва тўловлари учун захиралар (8900) 
Резервы предстоящих расходов и платежей (8900)</t>
  </si>
  <si>
    <t>470</t>
  </si>
  <si>
    <r>
      <rPr>
        <b/>
        <sz val="10"/>
        <color indexed="8"/>
        <rFont val="Times New Roman"/>
        <family val="1"/>
        <charset val="204"/>
      </rPr>
      <t>I бўлим бўйича жами</t>
    </r>
    <r>
      <rPr>
        <sz val="10"/>
        <color indexed="8"/>
        <rFont val="Times New Roman"/>
        <family val="1"/>
        <charset val="204"/>
      </rPr>
      <t xml:space="preserve"> (сатр.410+420+430-440+450+460+470)
</t>
    </r>
    <r>
      <rPr>
        <b/>
        <sz val="10"/>
        <color indexed="8"/>
        <rFont val="Times New Roman"/>
        <family val="1"/>
        <charset val="204"/>
      </rPr>
      <t xml:space="preserve">Итого по разделу I </t>
    </r>
    <r>
      <rPr>
        <sz val="10"/>
        <color indexed="8"/>
        <rFont val="Times New Roman"/>
        <family val="1"/>
        <charset val="204"/>
      </rPr>
      <t xml:space="preserve"> (стр.410+420+430-440+450+460+470)</t>
    </r>
  </si>
  <si>
    <t>480</t>
  </si>
  <si>
    <t xml:space="preserve">II. Мажбуриятлар
II. Обязательства </t>
  </si>
  <si>
    <r>
      <rPr>
        <b/>
        <sz val="10"/>
        <color indexed="8"/>
        <rFont val="Times New Roman"/>
        <family val="1"/>
        <charset val="204"/>
      </rPr>
      <t>Узоқ муддатли мажбуриятлар, жами</t>
    </r>
    <r>
      <rPr>
        <sz val="10"/>
        <color indexed="8"/>
        <rFont val="Times New Roman"/>
        <family val="1"/>
        <charset val="204"/>
      </rPr>
      <t xml:space="preserve"> (сатр.500+520+530+540+550+560+570+580+590)
</t>
    </r>
    <r>
      <rPr>
        <b/>
        <sz val="10"/>
        <color indexed="8"/>
        <rFont val="Times New Roman"/>
        <family val="1"/>
        <charset val="204"/>
      </rPr>
      <t>Долгосрочные обязательства, всего</t>
    </r>
    <r>
      <rPr>
        <sz val="10"/>
        <color indexed="8"/>
        <rFont val="Times New Roman"/>
        <family val="1"/>
        <charset val="204"/>
      </rPr>
      <t xml:space="preserve"> (стр.500+520+530+540+550+560+570+580+590)</t>
    </r>
  </si>
  <si>
    <t>490</t>
  </si>
  <si>
    <t>шу жумладан: узоқ муддатли кредиторлик қарзлари (сатр.500+520+540+560+590)
в том числе: долгосрочная кредиторская задолженность (стр.500+520+540+560+590)</t>
  </si>
  <si>
    <t>491</t>
  </si>
  <si>
    <t>Товар етказиб берувчилар ва пудратчиларга узоқ муддатли қарз (7000)
Долгосрочная задолженность поставщикам и подрядчикам (7000)</t>
  </si>
  <si>
    <t>500</t>
  </si>
  <si>
    <t>Ажратилган бўлинмаларга узоқ муддатли қарз (7110) 
Долгосрочная задолженность обособленным подразделениям (7110)</t>
  </si>
  <si>
    <t>510</t>
  </si>
  <si>
    <t>Шўъба ва қарам хўжалик жамиятларга узоқ муддатли қарз (7120) 
Долгосрочная задолженность дочерним и зависимым хозяйственным обществам (7120)</t>
  </si>
  <si>
    <t>520</t>
  </si>
  <si>
    <t>Узоқ муддатли кечиктирилган даромадлар (7210, 7220, 7230) 
Долгосрочные отсроченные  доходы  (7210, 7220, 7230)</t>
  </si>
  <si>
    <t>530</t>
  </si>
  <si>
    <t>Солиқ ва йиғимлар бўйича узоқ муддатли кечиктирилган мажбуриятлар (7240) 
Долгосрочные отсроченные  обязательства по налогам и сборам (7240)</t>
  </si>
  <si>
    <t>540</t>
  </si>
  <si>
    <t>Бошқа узоқ муддатли кечиктирилган мажбуриятлар (7250, 7290)
Прочие долгосрочные отсроченные обязательства (7250, 7290)</t>
  </si>
  <si>
    <t>550</t>
  </si>
  <si>
    <t>Харидорлар ва буюртмачилардан олинган бўнаклар (7300)
Авансы, полученные от покупателей и заказчиков (7300)</t>
  </si>
  <si>
    <t>560</t>
  </si>
  <si>
    <t>Узоқ муддатли банк кредитлари (7810)
Долгосрочные банковские кредиты (7810)</t>
  </si>
  <si>
    <t>570</t>
  </si>
  <si>
    <t>Узоқ муддатли қарзлар (7820, 7830, 7840)
Долгосрочные займы  (7820, 7830, 7840)</t>
  </si>
  <si>
    <t>580</t>
  </si>
  <si>
    <t>Бошқа узоқ муддатли кредиторлик қарзлар (7900)
Прочие долгосрочные кредиторские задолженности (7900)</t>
  </si>
  <si>
    <t>590</t>
  </si>
  <si>
    <r>
      <rPr>
        <b/>
        <sz val="10"/>
        <color indexed="8"/>
        <rFont val="Times New Roman"/>
        <family val="1"/>
        <charset val="204"/>
      </rPr>
      <t xml:space="preserve">Жорий мажбуриятлар, 
</t>
    </r>
    <r>
      <rPr>
        <sz val="10"/>
        <color indexed="8"/>
        <rFont val="Times New Roman"/>
        <family val="1"/>
        <charset val="204"/>
      </rPr>
      <t xml:space="preserve">жами сатр.610+630+640+650+660+670+680+690+700+710+720+730+740+750+760)
</t>
    </r>
    <r>
      <rPr>
        <b/>
        <sz val="10"/>
        <color indexed="8"/>
        <rFont val="Times New Roman"/>
        <family val="1"/>
        <charset val="204"/>
      </rPr>
      <t xml:space="preserve">Текущие обязательства, 
</t>
    </r>
    <r>
      <rPr>
        <sz val="10"/>
        <color indexed="8"/>
        <rFont val="Times New Roman"/>
        <family val="1"/>
        <charset val="204"/>
      </rPr>
      <t>всего</t>
    </r>
    <r>
      <rPr>
        <b/>
        <sz val="10"/>
        <color indexed="8"/>
        <rFont val="Times New Roman"/>
        <family val="1"/>
        <charset val="204"/>
      </rPr>
      <t xml:space="preserve"> </t>
    </r>
    <r>
      <rPr>
        <sz val="10"/>
        <color indexed="8"/>
        <rFont val="Times New Roman"/>
        <family val="1"/>
        <charset val="204"/>
      </rPr>
      <t>(стр.610+630+640+650+660+670+680+690+700+710+720+730+740+750+760)</t>
    </r>
  </si>
  <si>
    <t>600</t>
  </si>
  <si>
    <t>шу жумладан: жорий кредиторлик қарзлари (сатр.610+630+650+670+680+690+700+710+720+760)
в том числе: текущая кредиторская задолженность (стр.610+630+650+670+680+690+700+710+720+760)</t>
  </si>
  <si>
    <t>601</t>
  </si>
  <si>
    <t xml:space="preserve">шундан: муддати ўтган жорий кредиторлик қарзлари 
из нее: просроченная текущая кредиторская задолженность </t>
  </si>
  <si>
    <t>602</t>
  </si>
  <si>
    <t xml:space="preserve">Товар етказиб берувчилар ва пудратчиларга қарз (6000) 
Задолженность поставщикам и подрядчикам  (6000) </t>
  </si>
  <si>
    <t>610</t>
  </si>
  <si>
    <t xml:space="preserve">Ажратилган бўлинмаларга қарз (6110)
Задолженность обособленным подразделениям (6110) </t>
  </si>
  <si>
    <t>620</t>
  </si>
  <si>
    <t xml:space="preserve">Шўъба ва қарам хўжалик жамиятларга қарз (6120)
Задолженность дочерним и зависимым хозяйственным обществам (6120) </t>
  </si>
  <si>
    <t>630</t>
  </si>
  <si>
    <t>Кечиктирилган даромадлар (6210, 6220, 6230)
Отсроченные доходы (6210, 6220, 6230)</t>
  </si>
  <si>
    <t>640</t>
  </si>
  <si>
    <t>Солиқ ва йиғимлар бўйича кечиктирилган мажбуриятлар (6240) 
Отсроченные  обязательства по налогам и сборам (6240)</t>
  </si>
  <si>
    <t>650</t>
  </si>
  <si>
    <t>Бошқа кечиктирилган мажбуриятлар (6250, 6290)
Прочие отсроченные обязательства (6250, 6290)</t>
  </si>
  <si>
    <t>660</t>
  </si>
  <si>
    <t>Олинган бўнаклар (6300)
Полученные авансы (6300)</t>
  </si>
  <si>
    <t>670</t>
  </si>
  <si>
    <t>Бюджетга тўловлар бўйича қарз (6400)
Задолженность по платежам в бюджет (6400)</t>
  </si>
  <si>
    <t>680</t>
  </si>
  <si>
    <t>Суғурталар бўйича қарз (6510)
Задолженность по страхованию (6510)</t>
  </si>
  <si>
    <t>690</t>
  </si>
  <si>
    <t>Мақсадли давлат жамғармаларига тўловлар бўйича қарз (6520)
Задолженность по платежам в государственные целевые фонды (6520)</t>
  </si>
  <si>
    <t>700</t>
  </si>
  <si>
    <t>Муассисларга бўлган қарзлар (6600)
Задолженность учредителям (6600)</t>
  </si>
  <si>
    <t>710</t>
  </si>
  <si>
    <t xml:space="preserve">Меҳнатга  ҳақ тўлаш бўйича қарз (6700)
Задолженность по оплате труда (6700) </t>
  </si>
  <si>
    <t>720</t>
  </si>
  <si>
    <t>Қисқа муддатли банк кредитлари  (6810)
Краткосрочные банковские кредиты (6810)</t>
  </si>
  <si>
    <t>730</t>
  </si>
  <si>
    <t>Қисқа муддатли қарзлар (6820, 6830, 6840)
Краткосрочные займы (6820, 6830, 6840)</t>
  </si>
  <si>
    <t>740</t>
  </si>
  <si>
    <t>Узоқ муддатли мажбуриятларнинг жорий қисми (6950)
Текущая часть долгосрочных обязательств (6950)</t>
  </si>
  <si>
    <t>750</t>
  </si>
  <si>
    <t>Бошқа кредиторлик қарзлар (6950 дан ташқари 6900)
Прочие кредиторские задолженности (6900 кроме 6950)</t>
  </si>
  <si>
    <t>760</t>
  </si>
  <si>
    <r>
      <rPr>
        <b/>
        <sz val="10"/>
        <color indexed="8"/>
        <rFont val="Times New Roman"/>
        <family val="1"/>
        <charset val="204"/>
      </rPr>
      <t>II бўлим бўйича жами</t>
    </r>
    <r>
      <rPr>
        <sz val="10"/>
        <color indexed="8"/>
        <rFont val="Times New Roman"/>
        <family val="1"/>
        <charset val="204"/>
      </rPr>
      <t xml:space="preserve">  (сатр.490+600)
</t>
    </r>
    <r>
      <rPr>
        <b/>
        <sz val="10"/>
        <color indexed="8"/>
        <rFont val="Times New Roman"/>
        <family val="1"/>
        <charset val="204"/>
      </rPr>
      <t xml:space="preserve">Итого по разделу II </t>
    </r>
    <r>
      <rPr>
        <sz val="10"/>
        <color indexed="8"/>
        <rFont val="Times New Roman"/>
        <family val="1"/>
        <charset val="204"/>
      </rPr>
      <t xml:space="preserve"> (стр.490+600)</t>
    </r>
  </si>
  <si>
    <t>770</t>
  </si>
  <si>
    <r>
      <rPr>
        <b/>
        <sz val="10"/>
        <color indexed="8"/>
        <rFont val="Times New Roman"/>
        <family val="1"/>
        <charset val="204"/>
      </rPr>
      <t>Баланс пассиви бўйича жами</t>
    </r>
    <r>
      <rPr>
        <sz val="10"/>
        <color indexed="8"/>
        <rFont val="Times New Roman"/>
        <family val="1"/>
        <charset val="204"/>
      </rPr>
      <t xml:space="preserve"> (сатр.480+770)
</t>
    </r>
    <r>
      <rPr>
        <b/>
        <sz val="10"/>
        <color indexed="8"/>
        <rFont val="Times New Roman"/>
        <family val="1"/>
        <charset val="204"/>
      </rPr>
      <t xml:space="preserve">Всего по пассиву баланса </t>
    </r>
    <r>
      <rPr>
        <sz val="10"/>
        <color indexed="8"/>
        <rFont val="Times New Roman"/>
        <family val="1"/>
        <charset val="204"/>
      </rPr>
      <t>(стр.480+770)</t>
    </r>
  </si>
  <si>
    <t>780</t>
  </si>
  <si>
    <t>Рахбар:
Руководитель:</t>
  </si>
  <si>
    <t>имзо/подпись</t>
  </si>
  <si>
    <t>Бош бухгалтер:
Главный бухгалтер:</t>
  </si>
  <si>
    <t>ТЕКШИРИШ !
ПРОВЕРКА !</t>
  </si>
  <si>
    <t>Ҳисобот даври бошига</t>
  </si>
  <si>
    <t>Ҳисобот даври охирига</t>
  </si>
  <si>
    <t>АКТИВЛАР</t>
  </si>
  <si>
    <t>КАПИТАЛ</t>
  </si>
  <si>
    <t>МАЖБУРИЯТЛАР</t>
  </si>
  <si>
    <t>Миллий валютада
в национальной валюте</t>
  </si>
  <si>
    <t>Чет эл валютасида
в иностранной валюте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</si>
</sst>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р_._-;\-* #,##0.00_р_._-;_-* &quot;-&quot;??_р_._-;_-@_-"/>
  </numFmts>
  <fonts count="17" x14ac:knownFonts="1">
    <font>
      <sz val="10"/>
      <name val="Tahoma"/>
      <charset val="204"/>
    </font>
    <font>
      <sz val="11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 Cyr"/>
      <family val="2"/>
      <charset val="204"/>
    </font>
    <font>
      <sz val="12"/>
      <color indexed="8"/>
      <name val="Times New Roman"/>
      <family val="1"/>
      <charset val="204"/>
    </font>
    <font>
      <sz val="10"/>
      <color theme="1"/>
      <name val="Tahoma"/>
      <family val="2"/>
      <charset val="204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ahoma"/>
      <family val="2"/>
      <charset val="204"/>
    </font>
    <font>
      <i/>
      <sz val="10"/>
      <name val="Times New Roman"/>
      <family val="1"/>
      <charset val="204"/>
    </font>
    <font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70">
    <xf numFmtId="0" fontId="0" fillId="0" borderId="0" xfId="0"/>
    <xf numFmtId="0" fontId="2" fillId="0" borderId="0" xfId="1" applyFont="1" applyFill="1" applyAlignment="1">
      <alignment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3" fillId="0" borderId="0" xfId="2" applyFont="1" applyFill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8" fillId="0" borderId="0" xfId="1" applyFont="1" applyBorder="1" applyAlignment="1">
      <alignment horizontal="right" vertical="center" wrapText="1"/>
    </xf>
    <xf numFmtId="0" fontId="9" fillId="0" borderId="8" xfId="1" applyFont="1" applyFill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9" fillId="0" borderId="4" xfId="1" applyFont="1" applyFill="1" applyBorder="1" applyAlignment="1">
      <alignment horizontal="center" vertical="center" wrapText="1"/>
    </xf>
    <xf numFmtId="49" fontId="2" fillId="0" borderId="8" xfId="1" applyNumberFormat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9" fillId="0" borderId="4" xfId="1" applyFont="1" applyFill="1" applyBorder="1" applyAlignment="1">
      <alignment horizontal="left" vertical="center" wrapText="1"/>
    </xf>
    <xf numFmtId="0" fontId="2" fillId="0" borderId="8" xfId="1" applyFont="1" applyFill="1" applyBorder="1" applyAlignment="1">
      <alignment vertical="center" wrapText="1"/>
    </xf>
    <xf numFmtId="0" fontId="9" fillId="0" borderId="8" xfId="1" applyFont="1" applyFill="1" applyBorder="1" applyAlignment="1">
      <alignment vertical="center" wrapText="1"/>
    </xf>
    <xf numFmtId="49" fontId="9" fillId="0" borderId="8" xfId="1" applyNumberFormat="1" applyFont="1" applyBorder="1" applyAlignment="1">
      <alignment horizontal="center" vertical="center" wrapText="1"/>
    </xf>
    <xf numFmtId="0" fontId="8" fillId="0" borderId="8" xfId="1" applyFont="1" applyFill="1" applyBorder="1" applyAlignment="1">
      <alignment horizontal="left" vertical="center" wrapText="1" indent="2"/>
    </xf>
    <xf numFmtId="0" fontId="8" fillId="0" borderId="8" xfId="1" applyFont="1" applyFill="1" applyBorder="1" applyAlignment="1">
      <alignment horizontal="left" vertical="center" wrapText="1" indent="1"/>
    </xf>
    <xf numFmtId="0" fontId="8" fillId="0" borderId="8" xfId="1" applyFont="1" applyFill="1" applyBorder="1" applyAlignment="1">
      <alignment horizontal="left" vertical="center" wrapText="1" indent="3"/>
    </xf>
    <xf numFmtId="0" fontId="8" fillId="0" borderId="8" xfId="0" applyFont="1" applyFill="1" applyBorder="1" applyAlignment="1">
      <alignment horizontal="left" vertical="center" wrapText="1" indent="1"/>
    </xf>
    <xf numFmtId="164" fontId="8" fillId="0" borderId="4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8" fillId="0" borderId="8" xfId="0" applyFont="1" applyFill="1" applyBorder="1" applyAlignment="1">
      <alignment horizontal="left" vertical="center" wrapText="1" indent="3"/>
    </xf>
    <xf numFmtId="0" fontId="9" fillId="0" borderId="4" xfId="1" applyFont="1" applyFill="1" applyBorder="1" applyAlignment="1">
      <alignment vertical="center" wrapText="1"/>
    </xf>
    <xf numFmtId="49" fontId="2" fillId="0" borderId="8" xfId="1" applyNumberFormat="1" applyFont="1" applyFill="1" applyBorder="1" applyAlignment="1">
      <alignment horizontal="center" vertical="center" wrapText="1"/>
    </xf>
    <xf numFmtId="49" fontId="2" fillId="0" borderId="4" xfId="1" applyNumberFormat="1" applyFont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 wrapText="1" indent="2"/>
    </xf>
    <xf numFmtId="0" fontId="2" fillId="0" borderId="0" xfId="1" applyFont="1" applyFill="1" applyBorder="1" applyAlignment="1">
      <alignment vertical="center" wrapText="1"/>
    </xf>
    <xf numFmtId="49" fontId="9" fillId="0" borderId="0" xfId="1" applyNumberFormat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10" fillId="2" borderId="0" xfId="1" applyFont="1" applyFill="1" applyAlignment="1">
      <alignment horizontal="left" vertical="center" wrapText="1"/>
    </xf>
    <xf numFmtId="0" fontId="8" fillId="2" borderId="9" xfId="1" applyFont="1" applyFill="1" applyBorder="1" applyAlignment="1">
      <alignment vertical="center"/>
    </xf>
    <xf numFmtId="0" fontId="8" fillId="2" borderId="0" xfId="1" applyFont="1" applyFill="1" applyBorder="1" applyAlignment="1">
      <alignment vertical="center"/>
    </xf>
    <xf numFmtId="0" fontId="11" fillId="2" borderId="0" xfId="1" applyFont="1" applyFill="1" applyAlignment="1">
      <alignment vertical="center"/>
    </xf>
    <xf numFmtId="0" fontId="11" fillId="0" borderId="0" xfId="1" applyFont="1" applyAlignment="1">
      <alignment vertical="center"/>
    </xf>
    <xf numFmtId="0" fontId="10" fillId="0" borderId="0" xfId="1" applyFont="1" applyFill="1" applyAlignment="1">
      <alignment horizontal="left" vertical="center" wrapText="1"/>
    </xf>
    <xf numFmtId="0" fontId="12" fillId="0" borderId="0" xfId="1" applyFont="1" applyFill="1" applyAlignment="1">
      <alignment horizontal="left" vertical="center"/>
    </xf>
    <xf numFmtId="0" fontId="8" fillId="0" borderId="0" xfId="1" applyFont="1" applyFill="1" applyAlignment="1">
      <alignment horizontal="left" vertical="center"/>
    </xf>
    <xf numFmtId="0" fontId="2" fillId="0" borderId="0" xfId="1" applyFont="1" applyFill="1" applyAlignment="1">
      <alignment horizontal="right" vertical="center"/>
    </xf>
    <xf numFmtId="0" fontId="14" fillId="2" borderId="0" xfId="1" applyFont="1" applyFill="1" applyAlignment="1">
      <alignment horizontal="center" vertical="center" wrapText="1"/>
    </xf>
    <xf numFmtId="0" fontId="13" fillId="0" borderId="0" xfId="1" applyFont="1" applyFill="1" applyAlignment="1">
      <alignment horizontal="left" vertical="center" indent="11"/>
    </xf>
    <xf numFmtId="4" fontId="6" fillId="0" borderId="0" xfId="1" applyNumberFormat="1" applyFont="1" applyAlignment="1">
      <alignment horizontal="center" vertical="center"/>
    </xf>
    <xf numFmtId="4" fontId="2" fillId="0" borderId="8" xfId="1" applyNumberFormat="1" applyFont="1" applyBorder="1" applyAlignment="1">
      <alignment horizontal="right" vertical="center" wrapText="1"/>
    </xf>
    <xf numFmtId="4" fontId="2" fillId="2" borderId="8" xfId="1" applyNumberFormat="1" applyFont="1" applyFill="1" applyBorder="1" applyAlignment="1" applyProtection="1">
      <alignment horizontal="right" vertical="center" wrapText="1"/>
      <protection locked="0"/>
    </xf>
    <xf numFmtId="4" fontId="9" fillId="0" borderId="8" xfId="1" applyNumberFormat="1" applyFont="1" applyBorder="1" applyAlignment="1">
      <alignment horizontal="right" vertical="center" wrapText="1"/>
    </xf>
    <xf numFmtId="4" fontId="9" fillId="0" borderId="8" xfId="1" applyNumberFormat="1" applyFont="1" applyFill="1" applyBorder="1" applyAlignment="1">
      <alignment horizontal="right" vertical="center" wrapText="1"/>
    </xf>
    <xf numFmtId="4" fontId="2" fillId="0" borderId="8" xfId="1" applyNumberFormat="1" applyFont="1" applyFill="1" applyBorder="1" applyAlignment="1">
      <alignment horizontal="right" vertical="center" wrapText="1"/>
    </xf>
    <xf numFmtId="4" fontId="8" fillId="0" borderId="8" xfId="0" applyNumberFormat="1" applyFont="1" applyFill="1" applyBorder="1" applyAlignment="1">
      <alignment horizontal="right" vertical="center" wrapText="1"/>
    </xf>
    <xf numFmtId="4" fontId="8" fillId="2" borderId="8" xfId="0" applyNumberFormat="1" applyFont="1" applyFill="1" applyBorder="1" applyAlignment="1" applyProtection="1">
      <alignment horizontal="right" vertical="center" wrapText="1"/>
      <protection locked="0"/>
    </xf>
    <xf numFmtId="4" fontId="8" fillId="0" borderId="6" xfId="0" applyNumberFormat="1" applyFont="1" applyFill="1" applyBorder="1" applyAlignment="1">
      <alignment horizontal="right" vertical="center" wrapText="1"/>
    </xf>
    <xf numFmtId="4" fontId="2" fillId="0" borderId="4" xfId="1" applyNumberFormat="1" applyFont="1" applyBorder="1" applyAlignment="1">
      <alignment horizontal="right" vertical="center" wrapText="1"/>
    </xf>
    <xf numFmtId="4" fontId="2" fillId="2" borderId="4" xfId="1" applyNumberFormat="1" applyFont="1" applyFill="1" applyBorder="1" applyAlignment="1" applyProtection="1">
      <alignment horizontal="right" vertical="center" wrapText="1"/>
      <protection locked="0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2" fillId="0" borderId="10" xfId="1" applyFont="1" applyFill="1" applyBorder="1" applyAlignment="1">
      <alignment horizontal="center" vertical="center"/>
    </xf>
    <xf numFmtId="0" fontId="13" fillId="3" borderId="0" xfId="1" applyFont="1" applyFill="1" applyAlignment="1">
      <alignment horizontal="center" vertical="center" wrapText="1"/>
    </xf>
    <xf numFmtId="0" fontId="13" fillId="3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8" fillId="4" borderId="8" xfId="1" applyFont="1" applyFill="1" applyBorder="1" applyAlignment="1">
      <alignment horizontal="left" vertical="center" wrapText="1" indent="2"/>
    </xf>
    <xf numFmtId="0" fontId="8" fillId="0" borderId="8" xfId="0" applyFont="1" applyBorder="1" applyAlignment="1">
      <alignment horizontal="left" vertical="center" wrapText="1" indent="2"/>
    </xf>
  </cellXfs>
  <cellStyles count="3">
    <cellStyle name="Normal_F1_2005" xfId="2"/>
    <cellStyle name="Обычный" xfId="0" builtinId="0"/>
    <cellStyle name="Обычный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vtovazbank.ru/bin/PR5-B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vtovazbank.ru/bin/PUBLI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wc0cf40\TCB_Review\DOCUME~1\JULIA~1.SOR\LOCALS~1\Temp\Rar$DI04.210\CGK211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wmskshumilta\Shared\windows\TEMP\VVZ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3FA3C9\IN1_00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SERVER\DFSGroup\FinancialOperation\Tsen_bymagi\Veksel\Sobstven\&#1059;&#1095;&#1077;&#1090;_&#1074;&#1077;&#1082;&#1089;&#1077;&#1083;&#1077;&#1081;20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Departments%20catalog\Documents%20and%20Settings\ylogovin\Local%20Settings\Temp\05-01-01\05-01-01\munic_cb\A2912209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Departments%20catalog\ABAS\FS\Office\Insurance\Sogaz\IAS%20conversions\Cash%20Flo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MyClients\1998\Neftehim\conv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ding%20Securities_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ALEC\MAKE_I17\P18_PRO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3FA3C9\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Account\msfo\2006\30%2006%2006\Consolidation\10-LMT\Other%20source\&#1054;&#1090;&#1095;&#1077;&#1090;%206%20&#1084;&#1077;&#1089;.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svt_baza\Documents%20and%20Settings\ylogovin\Local%20Settings\Temp\05-01-01\05-01-01\munic_cb\A2912209%2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svt_baza\Documents%20and%20Settings\chetchushkov\&#1052;&#1086;&#1080;%20&#1076;&#1086;&#1082;&#1091;&#1084;&#1077;&#1085;&#1090;&#1099;\&#1048;&#1053;&#1043;&#1054;&#1057;&#1057;&#1058;&#1056;&#1040;&#1061;%20&#1051;&#1052;&#1058;\&#1056;&#1077;&#1079;&#1077;&#1088;&#1074;&#1099;\&#1056;&#1072;&#1089;&#1095;&#1077;&#1090;%20&#1088;&#1077;&#1079;&#1077;&#1088;&#1074;&#1086;&#1074;\&#1088;&#1077;&#1079;&#1077;&#1088;&#1074;&#1099;%20&#1085;&#1072;%202004_12_3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Account\msfo\30%2009%2005\Consolidation\02-Garant\Saldenliste%20092005help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Departments%20catalog\Documents%20and%20Settings\grankina-la\&#1052;&#1086;&#1080;%20&#1076;&#1086;&#1082;&#1091;&#1084;&#1077;&#1085;&#1090;&#1099;\Quotations\FINANCIAL%20INSTRUMENTS%20AS%20OF%20THE%20END%20OF%20DECEMBER%2020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Account\msfo\2005\31%2012%2005\Pension\MZ%20IGS_2005_from%20IG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bonin2\working\WORKING\Planing\BPLAN\2000\bplan2000_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vtovazbank.ru/bin/IN17/F114(6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lysov\&#1052;&#1086;&#1080;%20&#1076;&#1086;&#1082;&#1091;&#1084;&#1077;&#1085;&#1090;&#1099;\&#1053;&#1082;&#1040;&#1047;\2002BP_&#1072;&#1087;&#1088;&#1077;&#1083;&#1100;\2002BP_&#1072;&#1087;&#1088;&#1077;&#1083;&#110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Documents%20and%20Settings\trofimova-a\Local%20Settings\Temporary%20Internet%20Files\OLK2F\&#1059;&#1082;&#1088;&#1072;&#1080;&#1085;&#1072;%20&#1087;&#1088;&#1086;&#1089;&#1088;&#1086;&#1095;%20%20&#1079;&#1072;&#1076;-&#1090;&#1100;%202005%20&#1075;&#1086;&#107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BS.ABS\BANK\STNDFRM\IASCONV\Examples\conv_E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awkyvdyacheol\Eximbank_2004\Documents%20and%20Settings\install\My%20Documents\OBL_ZVIT\AUDIT_2004\AUDIT_I_Q_2004\Working_files\AUD_4_kw_2004\E-1.20_Loan_1q_2004_v1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01-kataev\&#1055;&#1044;&#1044;&#1057;\&#1040;&#1074;&#1075;&#1091;&#1089;&#1090;_&#1087;&#1088;&#1086;&#1073;&#1085;&#1099;&#1081;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bonin\c\BPLAN\kolplak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bonin2\c\My%20documents\Aluminium%20division\&#1047;&#1072;&#1074;&#1086;&#1076;&#1099;\KRAZ\&#1057;&#1084;&#1077;&#1090;&#1072;%20&#1079;&#1072;&#1090;&#1088;&#1072;&#1090;\&#1057;&#1077;&#1085;&#1090;&#1103;&#1073;&#1088;&#1100;\28.08.00\&#1073;&#1102;&#1076;&#1078;&#1077;&#1090;_&#1089;&#1077;&#1085;&#1090;&#1103;&#1073;&#1088;&#110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y\commerce\Accounts\&#1044;&#1054;&#1055;&#1051;&#1040;&#1058;&#1040;\&#1053;&#1072;%201%20&#1103;&#1085;&#1074;&#1072;&#1088;&#1103;%202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Documents%20and%20Settings\khudyakova\Local%20Settings\Temporary%20Internet%20Files\OLK4C3\&#1056;&#1077;&#1077;&#1089;&#1090;&#1088;_&#1086;&#1073;&#1097;&#1080;&#1081;_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wc0cf40\TCB_Review\Documents%20and%20Settings\Elena.Dmitrieva\Local%20Settings\Temporary%20Internet%20Files\OLK73\&#1059;&#1095;&#1090;&#1077;&#1085;&#1085;&#1099;&#1077;%20&#1074;&#1077;&#1082;&#1089;&#1077;&#1083;&#1103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Documents%20and%20Settings\oleksandr.soroka\My%20Documents\Projects\INGO%2030-06-06%20review\_TB%20and%20GL\Ingo-Ukraine%20IFRS%2030.06.2006%20EY%20Moscow_OD_v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\BACKOFF\Yudakova%20oksana\sxema%202003\sx%20Oksana\&#1055;&#1088;&#1086;&#1076;&#1072;&#1078;&#1072;\&#1054;&#1082;&#1090;&#1103;&#1073;&#1088;&#1100;\031016%20&#1087;%20&#1056;&#1040;&#1057;&#105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bonin2\working\WORKING\Planing\BPLAN\2000\BPLAN\YPA\YPA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Account\msfo\2006\30%2006%2006\Consolidation\&#1056;&#1077;&#1079;&#1077;&#1088;&#1074;&#1099;%20(UPR_Loss_DAC)\ingo_30.06.2006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Documents%20and%20Settings\balabanova\&#1056;&#1072;&#1073;&#1086;&#1095;&#1080;&#1081;%20&#1089;&#1090;&#1086;&#1083;\&#1052;&#1057;&#1060;&#1054;\Inv2005\DMVR06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svt_baza\Documents%20and%20Settings\tovmach\Local%20Settings\Temporary%20Internet%20Files\OLKA7\&#1071;&#1085;&#1074;&#1072;&#1088;&#1100;%2006%20&#1075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wmskshumilta\Shared\FinancialOperation\Tsen_bymagi\Veksel\Ychten\&#1059;&#1095;&#1090;&#1077;&#1085;&#1085;&#1099;&#1077;%20&#1074;&#1077;&#1082;&#1089;&#1077;&#1083;&#1103;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wcc90b9\NIKoil2003\BOPERATE\RUR_BANK\RUR_OBL\01_oblku_2004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Departments%20catalog\Documents%20and%20Settings\grankina-la\&#1052;&#1086;&#1080;%20&#1076;&#1086;&#1082;&#1091;&#1084;&#1077;&#1085;&#1090;&#1099;\Ingos%202004\Investments\Investments%202004_19%200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Startup" Target="&#1057;&#1087;&#1088;&#1072;&#1074;&#1086;&#1095;&#1085;&#1080;&#108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Departments%20catalog\Program%20Files\&#1052;&#1086;&#1080;%20&#1076;&#1086;&#1082;&#1091;&#1084;&#1077;&#1085;&#1090;&#1099;\postuplenie%20sredstv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Departments%20catalog\WINDOWS\TEMP\&#1047;&#1072;&#1087;&#1072;&#1076;&#1085;&#1099;&#1081;_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&#1056;&#1072;&#1073;&#1086;&#1095;&#1080;&#1081;%20&#1082;&#1072;&#1090;&#1072;&#1083;&#1086;&#1075;%20&#1087;&#1086;%20&#1072;&#1085;&#1072;&#1083;&#1080;&#1079;&#1091;\A&#1085;%20-%20&#1079;%20&#1090;&#1086;&#1074;&#1072;&#1088;&#1085;&#1086;&#1081;%20&#1087;&#1088;&#1086;&#1076;&#1091;&#1082;.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bonin\c\YAMSKIE\DOZAKL\ANALIZ\MAY\POST_Z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epetrov\&#1052;&#1086;&#1080;%20&#1076;&#1086;&#1082;&#1091;&#1084;&#1077;&#1085;&#1090;&#1099;\&#1044;&#1086;&#1082;&#1091;&#1084;&#1077;&#1085;&#1090;&#1099;\&#1054;&#1090;&#1095;&#1077;&#1090;&#1099;\20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svt_baza\Odilov_O\OFC\&#1048;&#1085;&#1089;&#1090;&#1088;&#1091;&#1082;&#1094;&#1080;&#1103;\&#1048;&#1083;&#1086;&#1074;&#1072;\&#1040;&#1079;&#1080;&#1103;%20&#1048;&#1085;&#1096;&#1091;&#1088;&#1072;&#1085;&#1089;-&#1041;&#1072;&#1083;&#1072;&#1085;&#1089;%20&#1085;&#1072;%2031.12.2018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1-Work\2006\4%20Quarter\StandAlone\Working\Trans%202006%20V8-1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SERVER\DFSGroup\FinancialOperation\Tsen_bymagi\Veksel\Filialov\&#1059;&#1095;&#1077;&#1090;_&#1074;&#1077;&#1082;&#1089;&#1077;&#1083;&#1077;&#1081;_&#1092;&#1080;&#1083;&#1080;&#1072;&#1083;&#1086;&#1074;2006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ina\&#1086;&#1090;&#1095;&#1077;&#1090;&#1099;\&#1054;&#1090;&#1095;&#1077;&#1090;&#1099;\&#1054;&#1082;&#1090;\&#1055;&#1044;&#1044;&#1057;_&#1086;&#1082;&#1090;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_APLANT\WORK\PAYPLAN_NET\AllPay\Shifr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ррект.(ф112)"/>
      <sheetName val="Приложение 5 (ф113)"/>
      <sheetName val="Частички (ф110)"/>
      <sheetName val="Баланс для публикации"/>
      <sheetName val="Корректировки"/>
      <sheetName val="Приложение 5 _ф113_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У для публ на 1.10.99 "/>
      <sheetName val="БО для публ на 1.01.99 "/>
      <sheetName val="БО для публ на 1.04.99 "/>
      <sheetName val="БО для публ на 1.07.99 "/>
      <sheetName val="БО для публ на 1.08.99 "/>
      <sheetName val="ОПУ для публ на 1.01.99"/>
      <sheetName val="ОПУ для публ на 1.04.99 "/>
      <sheetName val="ОПУ для публ на 1.07.99 "/>
      <sheetName val="Расчет БО на 1.01.99"/>
      <sheetName val="БО для публ на 1.10.99 "/>
      <sheetName val="Расчет БО на 1_01_99"/>
      <sheetName val="Выбираемые_параметр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rint"/>
      <sheetName val="Меню"/>
      <sheetName val="Выбираемые_параметры"/>
    </sheetNames>
    <sheetDataSet>
      <sheetData sheetId="0" refreshError="1">
        <row r="1">
          <cell r="A1" t="str">
            <v>ФИНМАРКЕТ</v>
          </cell>
          <cell r="R1" t="str">
            <v>ГОСУДАРСТВЕННЫЕ ЦЕННЫЕ БУМАГИ</v>
          </cell>
          <cell r="S1" t="str">
            <v>30.11.01</v>
          </cell>
        </row>
        <row r="2">
          <cell r="A2" t="str">
            <v>#ИТОГИ ТОРГОВ ЦЕННЫМИ БУМАГАМИ НА ММВБ</v>
          </cell>
        </row>
        <row r="3">
          <cell r="A3" t="str">
            <v>ИТОГИ ТОРГОВ ГОСУДАРСТВЕННЫМИ ЦЕННЫМИ БУМАГАМИ НА ММВБ 30.11.01</v>
          </cell>
        </row>
        <row r="5">
          <cell r="A5" t="str">
            <v>Номер</v>
          </cell>
          <cell r="B5" t="str">
            <v>Дата</v>
          </cell>
          <cell r="C5" t="str">
            <v>Цены сделок</v>
          </cell>
          <cell r="I5" t="str">
            <v>Котировки</v>
          </cell>
          <cell r="K5" t="str">
            <v>НКД</v>
          </cell>
          <cell r="L5" t="str">
            <v>Доходность</v>
          </cell>
          <cell r="O5" t="str">
            <v>Кол-во</v>
          </cell>
          <cell r="P5" t="str">
            <v>Оборот</v>
          </cell>
        </row>
        <row r="6">
          <cell r="A6" t="str">
            <v>выпуска</v>
          </cell>
          <cell r="B6" t="str">
            <v>погаш.</v>
          </cell>
          <cell r="C6" t="str">
            <v>(% к номиналу)</v>
          </cell>
          <cell r="I6" t="str">
            <v>закр.</v>
          </cell>
          <cell r="K6" t="str">
            <v>(руб.)</v>
          </cell>
          <cell r="L6" t="str">
            <v xml:space="preserve">(% годовых) </v>
          </cell>
          <cell r="O6" t="str">
            <v>сделок</v>
          </cell>
          <cell r="P6" t="str">
            <v>шт.</v>
          </cell>
          <cell r="Q6" t="str">
            <v>млн. р.</v>
          </cell>
          <cell r="R6" t="str">
            <v>% от</v>
          </cell>
        </row>
        <row r="7">
          <cell r="C7" t="str">
            <v>откр.</v>
          </cell>
          <cell r="D7" t="str">
            <v>мин.</v>
          </cell>
          <cell r="E7" t="str">
            <v>макс.</v>
          </cell>
          <cell r="F7" t="str">
            <v>посл.</v>
          </cell>
          <cell r="G7" t="str">
            <v>ср. вз.</v>
          </cell>
          <cell r="H7" t="str">
            <v>изм.</v>
          </cell>
          <cell r="I7" t="str">
            <v>пок.</v>
          </cell>
          <cell r="J7" t="str">
            <v>прод.</v>
          </cell>
          <cell r="L7" t="str">
            <v>пог.</v>
          </cell>
          <cell r="M7" t="str">
            <v>изм.</v>
          </cell>
          <cell r="N7" t="str">
            <v>аукц.</v>
          </cell>
          <cell r="R7" t="str">
            <v>общ.</v>
          </cell>
        </row>
        <row r="8">
          <cell r="A8" t="str">
            <v>BONDSERIE</v>
          </cell>
          <cell r="B8" t="str">
            <v>DATE_MTY</v>
          </cell>
          <cell r="C8" t="str">
            <v>PR_OPEN</v>
          </cell>
          <cell r="D8" t="str">
            <v>PR_LOW</v>
          </cell>
          <cell r="E8" t="str">
            <v>PR_HIGH</v>
          </cell>
          <cell r="F8" t="str">
            <v>PR_CLOSE</v>
          </cell>
          <cell r="G8" t="str">
            <v>PR_AVR</v>
          </cell>
          <cell r="H8" t="str">
            <v>PR_CHNG</v>
          </cell>
          <cell r="I8" t="str">
            <v>BID_CLOSE</v>
          </cell>
          <cell r="J8" t="str">
            <v>ASK_CLOSE</v>
          </cell>
          <cell r="K8" t="str">
            <v>ACCRUED</v>
          </cell>
          <cell r="L8" t="str">
            <v>YLD_MTY</v>
          </cell>
          <cell r="M8" t="str">
            <v>YLD_CHNG</v>
          </cell>
          <cell r="N8" t="str">
            <v>YLD_AUC</v>
          </cell>
          <cell r="O8" t="str">
            <v>TRADES</v>
          </cell>
          <cell r="P8" t="str">
            <v>VOL_BONDS</v>
          </cell>
          <cell r="Q8" t="str">
            <v>VOL_RUR</v>
          </cell>
          <cell r="R8" t="str">
            <v>PERCENT</v>
          </cell>
        </row>
        <row r="9">
          <cell r="A9" t="str">
            <v>НОМЕР ВЫПУСКА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0.44240000000000002</v>
          </cell>
          <cell r="R9">
            <v>0</v>
          </cell>
        </row>
        <row r="10">
          <cell r="A10" t="str">
            <v>21147</v>
          </cell>
          <cell r="B10">
            <v>37328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97</v>
          </cell>
          <cell r="K10">
            <v>0</v>
          </cell>
          <cell r="L10">
            <v>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A11" t="str">
            <v>21153</v>
          </cell>
          <cell r="B11">
            <v>37286</v>
          </cell>
          <cell r="C11">
            <v>97.8</v>
          </cell>
          <cell r="D11">
            <v>97.8</v>
          </cell>
          <cell r="E11">
            <v>97.8</v>
          </cell>
          <cell r="F11">
            <v>97.8</v>
          </cell>
          <cell r="G11">
            <v>97.8</v>
          </cell>
          <cell r="H11">
            <v>0.23000000000000398</v>
          </cell>
          <cell r="I11">
            <v>97.24</v>
          </cell>
          <cell r="J11">
            <v>98.02</v>
          </cell>
          <cell r="K11">
            <v>0</v>
          </cell>
          <cell r="L11">
            <v>13.460000038146973</v>
          </cell>
          <cell r="M11">
            <v>-1.1999998092651367</v>
          </cell>
          <cell r="O11">
            <v>1</v>
          </cell>
          <cell r="P11">
            <v>13</v>
          </cell>
          <cell r="Q11">
            <v>1.2700000000000001E-2</v>
          </cell>
          <cell r="R11">
            <v>2.7900103721770503E-3</v>
          </cell>
        </row>
        <row r="12">
          <cell r="A12" t="str">
            <v>21154</v>
          </cell>
          <cell r="B12">
            <v>37307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97</v>
          </cell>
          <cell r="J12">
            <v>98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21155</v>
          </cell>
          <cell r="B13">
            <v>37349</v>
          </cell>
          <cell r="C13">
            <v>95.8</v>
          </cell>
          <cell r="D13">
            <v>95.8</v>
          </cell>
          <cell r="E13">
            <v>95.8</v>
          </cell>
          <cell r="F13">
            <v>95.8</v>
          </cell>
          <cell r="G13">
            <v>95.8</v>
          </cell>
          <cell r="H13">
            <v>0.45000000000000284</v>
          </cell>
          <cell r="I13">
            <v>95.21</v>
          </cell>
          <cell r="J13">
            <v>96.51</v>
          </cell>
          <cell r="K13">
            <v>0</v>
          </cell>
          <cell r="L13">
            <v>12.899999618530273</v>
          </cell>
          <cell r="M13">
            <v>-1.3400001525878906</v>
          </cell>
          <cell r="O13">
            <v>1</v>
          </cell>
          <cell r="P13">
            <v>5000</v>
          </cell>
          <cell r="Q13">
            <v>4.79</v>
          </cell>
          <cell r="R13">
            <v>1.0522952506085095</v>
          </cell>
        </row>
        <row r="14">
          <cell r="A14" t="str">
            <v>21156</v>
          </cell>
          <cell r="B14">
            <v>37454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91.57</v>
          </cell>
          <cell r="J14">
            <v>91.8</v>
          </cell>
          <cell r="K14">
            <v>0</v>
          </cell>
          <cell r="L14">
            <v>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25014</v>
          </cell>
          <cell r="B15">
            <v>37330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99</v>
          </cell>
          <cell r="K15">
            <v>71.23</v>
          </cell>
          <cell r="L15">
            <v>0</v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25028</v>
          </cell>
          <cell r="B16">
            <v>37587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0.41</v>
          </cell>
          <cell r="L16">
            <v>0</v>
          </cell>
          <cell r="M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25029</v>
          </cell>
          <cell r="B17">
            <v>37952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0.41</v>
          </cell>
          <cell r="L17">
            <v>0</v>
          </cell>
          <cell r="M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25030</v>
          </cell>
          <cell r="B18">
            <v>37240</v>
          </cell>
          <cell r="C18">
            <v>99.35</v>
          </cell>
          <cell r="D18">
            <v>99.32</v>
          </cell>
          <cell r="E18">
            <v>99.47</v>
          </cell>
          <cell r="F18">
            <v>99.47</v>
          </cell>
          <cell r="G18">
            <v>99.42</v>
          </cell>
          <cell r="H18">
            <v>9.0000000000003411E-2</v>
          </cell>
          <cell r="I18">
            <v>99.43</v>
          </cell>
          <cell r="J18">
            <v>99.47</v>
          </cell>
          <cell r="K18">
            <v>0</v>
          </cell>
          <cell r="L18">
            <v>15.210000038146973</v>
          </cell>
          <cell r="M18">
            <v>-1.3599996566772461</v>
          </cell>
          <cell r="O18">
            <v>58</v>
          </cell>
          <cell r="P18">
            <v>130879</v>
          </cell>
          <cell r="Q18">
            <v>130.11850000000001</v>
          </cell>
          <cell r="R18">
            <v>28.585194063946417</v>
          </cell>
        </row>
        <row r="19">
          <cell r="A19" t="str">
            <v>25053</v>
          </cell>
          <cell r="B19">
            <v>38677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0.22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26001</v>
          </cell>
          <cell r="B20">
            <v>37695</v>
          </cell>
          <cell r="C20">
            <v>93.2</v>
          </cell>
          <cell r="D20">
            <v>93.2</v>
          </cell>
          <cell r="E20">
            <v>93.2</v>
          </cell>
          <cell r="F20">
            <v>93.2</v>
          </cell>
          <cell r="G20">
            <v>93.2</v>
          </cell>
          <cell r="H20">
            <v>0.67000000000000171</v>
          </cell>
          <cell r="I20">
            <v>92</v>
          </cell>
          <cell r="J20">
            <v>93.2</v>
          </cell>
          <cell r="K20">
            <v>71.23</v>
          </cell>
          <cell r="L20">
            <v>16.120000839233398</v>
          </cell>
          <cell r="M20">
            <v>-0.6399993896484375</v>
          </cell>
          <cell r="O20">
            <v>1</v>
          </cell>
          <cell r="P20">
            <v>10</v>
          </cell>
          <cell r="Q20">
            <v>1.0012300000000002E-2</v>
          </cell>
          <cell r="R20">
            <v>2.1995606967990773E-3</v>
          </cell>
        </row>
        <row r="21">
          <cell r="A21" t="str">
            <v>26002</v>
          </cell>
          <cell r="B21">
            <v>38061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86.8</v>
          </cell>
          <cell r="J21">
            <v>87.3</v>
          </cell>
          <cell r="K21">
            <v>71.23</v>
          </cell>
          <cell r="L21">
            <v>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26003</v>
          </cell>
          <cell r="B22">
            <v>38426</v>
          </cell>
          <cell r="C22">
            <v>81</v>
          </cell>
          <cell r="D22">
            <v>81</v>
          </cell>
          <cell r="E22">
            <v>81.03</v>
          </cell>
          <cell r="F22">
            <v>81.03</v>
          </cell>
          <cell r="G22">
            <v>81.02</v>
          </cell>
          <cell r="H22">
            <v>0.17000000000000171</v>
          </cell>
          <cell r="I22">
            <v>80.5</v>
          </cell>
          <cell r="J22">
            <v>81.02</v>
          </cell>
          <cell r="K22">
            <v>71.23</v>
          </cell>
          <cell r="L22">
            <v>18.069999694824219</v>
          </cell>
          <cell r="M22">
            <v>-7.9999923706054688E-2</v>
          </cell>
          <cell r="O22">
            <v>2</v>
          </cell>
          <cell r="P22">
            <v>1000</v>
          </cell>
          <cell r="Q22">
            <v>0.88133000000000006</v>
          </cell>
          <cell r="R22">
            <v>0.19361573553628345</v>
          </cell>
        </row>
        <row r="23">
          <cell r="A23" t="str">
            <v>26032</v>
          </cell>
          <cell r="B23">
            <v>38318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0.41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26175</v>
          </cell>
          <cell r="B24">
            <v>39041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38.31</v>
          </cell>
          <cell r="J24">
            <v>0</v>
          </cell>
          <cell r="K24">
            <v>0.22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26176</v>
          </cell>
          <cell r="B25">
            <v>39406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28.39</v>
          </cell>
          <cell r="J25">
            <v>0</v>
          </cell>
          <cell r="K25">
            <v>0.16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26177</v>
          </cell>
          <cell r="B26">
            <v>39772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23.73</v>
          </cell>
          <cell r="J26">
            <v>0</v>
          </cell>
          <cell r="K26">
            <v>0.05</v>
          </cell>
          <cell r="L26">
            <v>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26178</v>
          </cell>
          <cell r="B27">
            <v>40137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20.100000000000001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27001</v>
          </cell>
          <cell r="B28">
            <v>37293</v>
          </cell>
          <cell r="C28">
            <v>100.02</v>
          </cell>
          <cell r="D28">
            <v>100.02</v>
          </cell>
          <cell r="E28">
            <v>100.25</v>
          </cell>
          <cell r="F28">
            <v>100.11</v>
          </cell>
          <cell r="G28">
            <v>100.08</v>
          </cell>
          <cell r="H28">
            <v>6.0000000000002274E-2</v>
          </cell>
          <cell r="I28">
            <v>100.11</v>
          </cell>
          <cell r="J28">
            <v>100.2</v>
          </cell>
          <cell r="K28">
            <v>0.09</v>
          </cell>
          <cell r="L28">
            <v>15.340000152587891</v>
          </cell>
          <cell r="M28">
            <v>-0.11999988555908203</v>
          </cell>
          <cell r="O28">
            <v>16</v>
          </cell>
          <cell r="P28">
            <v>1860659</v>
          </cell>
          <cell r="Q28">
            <v>18.78865931</v>
          </cell>
          <cell r="R28">
            <v>4.1276027050551889</v>
          </cell>
        </row>
        <row r="29">
          <cell r="A29" t="str">
            <v>27002</v>
          </cell>
          <cell r="B29">
            <v>37398</v>
          </cell>
          <cell r="C29">
            <v>100.21</v>
          </cell>
          <cell r="D29">
            <v>100.2</v>
          </cell>
          <cell r="E29">
            <v>100.35</v>
          </cell>
          <cell r="F29">
            <v>100.35</v>
          </cell>
          <cell r="G29">
            <v>100.28</v>
          </cell>
          <cell r="H29">
            <v>6.0000000000002274E-2</v>
          </cell>
          <cell r="I29">
            <v>100.3</v>
          </cell>
          <cell r="J29">
            <v>100.35</v>
          </cell>
          <cell r="K29">
            <v>0.04</v>
          </cell>
          <cell r="L29">
            <v>14.899999618530273</v>
          </cell>
          <cell r="M29">
            <v>-0.30000019073486328</v>
          </cell>
          <cell r="O29">
            <v>18</v>
          </cell>
          <cell r="P29">
            <v>3694447</v>
          </cell>
          <cell r="Q29">
            <v>37.195377880000002</v>
          </cell>
          <cell r="R29">
            <v>8.1712984316728203</v>
          </cell>
        </row>
        <row r="30">
          <cell r="A30" t="str">
            <v>27003</v>
          </cell>
          <cell r="B30">
            <v>37412</v>
          </cell>
          <cell r="C30">
            <v>100.23</v>
          </cell>
          <cell r="D30">
            <v>100.23</v>
          </cell>
          <cell r="E30">
            <v>100.49</v>
          </cell>
          <cell r="F30">
            <v>100.49</v>
          </cell>
          <cell r="G30">
            <v>100.33</v>
          </cell>
          <cell r="H30">
            <v>6.0000000000002274E-2</v>
          </cell>
          <cell r="I30">
            <v>100.33</v>
          </cell>
          <cell r="J30">
            <v>100.49</v>
          </cell>
          <cell r="K30">
            <v>0.35</v>
          </cell>
          <cell r="L30">
            <v>14.920000076293945</v>
          </cell>
          <cell r="M30">
            <v>-3.9999961853027344E-2</v>
          </cell>
          <cell r="O30">
            <v>21</v>
          </cell>
          <cell r="P30">
            <v>3850847</v>
          </cell>
          <cell r="Q30">
            <v>39.98379645</v>
          </cell>
          <cell r="R30">
            <v>8.7838745523240878</v>
          </cell>
        </row>
        <row r="31">
          <cell r="A31" t="str">
            <v>27004</v>
          </cell>
          <cell r="B31">
            <v>37517</v>
          </cell>
          <cell r="C31">
            <v>100.22</v>
          </cell>
          <cell r="D31">
            <v>100.22</v>
          </cell>
          <cell r="E31">
            <v>100.65</v>
          </cell>
          <cell r="F31">
            <v>100.63</v>
          </cell>
          <cell r="G31">
            <v>100.57</v>
          </cell>
          <cell r="H31">
            <v>0.22999999999998977</v>
          </cell>
          <cell r="I31">
            <v>100.45</v>
          </cell>
          <cell r="J31">
            <v>100.63</v>
          </cell>
          <cell r="K31">
            <v>0.28999999999999998</v>
          </cell>
          <cell r="L31">
            <v>14.859999656677246</v>
          </cell>
          <cell r="M31">
            <v>-0.28000068664550781</v>
          </cell>
          <cell r="O31">
            <v>29</v>
          </cell>
          <cell r="P31">
            <v>4085047</v>
          </cell>
          <cell r="Q31">
            <v>42.266163630000001</v>
          </cell>
          <cell r="R31">
            <v>9.2852783401442824</v>
          </cell>
        </row>
        <row r="32">
          <cell r="A32" t="str">
            <v>27005</v>
          </cell>
          <cell r="B32">
            <v>37538</v>
          </cell>
          <cell r="C32">
            <v>99.4</v>
          </cell>
          <cell r="D32">
            <v>99.4</v>
          </cell>
          <cell r="E32">
            <v>99.7</v>
          </cell>
          <cell r="F32">
            <v>99.65</v>
          </cell>
          <cell r="G32">
            <v>99.57</v>
          </cell>
          <cell r="H32">
            <v>0.12999999999999545</v>
          </cell>
          <cell r="I32">
            <v>99.65</v>
          </cell>
          <cell r="J32">
            <v>99.79</v>
          </cell>
          <cell r="K32">
            <v>0.21</v>
          </cell>
          <cell r="L32">
            <v>14.739999771118164</v>
          </cell>
          <cell r="M32">
            <v>-0.27000045776367188</v>
          </cell>
          <cell r="O32">
            <v>17</v>
          </cell>
          <cell r="P32">
            <v>2601647</v>
          </cell>
          <cell r="Q32">
            <v>26.451145870000001</v>
          </cell>
          <cell r="R32">
            <v>5.810942624666783</v>
          </cell>
        </row>
        <row r="33">
          <cell r="A33" t="str">
            <v>27006</v>
          </cell>
          <cell r="B33">
            <v>37643</v>
          </cell>
          <cell r="C33">
            <v>98.3</v>
          </cell>
          <cell r="D33">
            <v>98.16</v>
          </cell>
          <cell r="E33">
            <v>98.5</v>
          </cell>
          <cell r="F33">
            <v>98.49</v>
          </cell>
          <cell r="G33">
            <v>98.46</v>
          </cell>
          <cell r="H33">
            <v>0.22999999999998977</v>
          </cell>
          <cell r="I33">
            <v>98.45</v>
          </cell>
          <cell r="J33">
            <v>98.7</v>
          </cell>
          <cell r="K33">
            <v>0.15</v>
          </cell>
          <cell r="L33">
            <v>15.100000381469727</v>
          </cell>
          <cell r="M33">
            <v>-0.21000003814697266</v>
          </cell>
          <cell r="O33">
            <v>16</v>
          </cell>
          <cell r="P33">
            <v>2505500</v>
          </cell>
          <cell r="Q33">
            <v>25.044725</v>
          </cell>
          <cell r="R33">
            <v>5.5019718518363678</v>
          </cell>
        </row>
        <row r="34">
          <cell r="A34" t="str">
            <v>27007</v>
          </cell>
          <cell r="B34">
            <v>37657</v>
          </cell>
          <cell r="C34">
            <v>98.19</v>
          </cell>
          <cell r="D34">
            <v>98.05</v>
          </cell>
          <cell r="E34">
            <v>98.4</v>
          </cell>
          <cell r="F34">
            <v>98.4</v>
          </cell>
          <cell r="G34">
            <v>98.29</v>
          </cell>
          <cell r="H34">
            <v>0.21000000000000796</v>
          </cell>
          <cell r="I34">
            <v>98.4</v>
          </cell>
          <cell r="J34">
            <v>98.65</v>
          </cell>
          <cell r="K34">
            <v>0.09</v>
          </cell>
          <cell r="L34">
            <v>15.340000152587891</v>
          </cell>
          <cell r="M34">
            <v>-0.18000030517578125</v>
          </cell>
          <cell r="O34">
            <v>20</v>
          </cell>
          <cell r="P34">
            <v>3655600</v>
          </cell>
          <cell r="Q34">
            <v>36.258203999999999</v>
          </cell>
          <cell r="R34">
            <v>7.9654145855520788</v>
          </cell>
        </row>
        <row r="35">
          <cell r="A35" t="str">
            <v>27008</v>
          </cell>
          <cell r="B35">
            <v>37762</v>
          </cell>
          <cell r="C35">
            <v>97.38</v>
          </cell>
          <cell r="D35">
            <v>97.38</v>
          </cell>
          <cell r="E35">
            <v>97.53</v>
          </cell>
          <cell r="F35">
            <v>97.49</v>
          </cell>
          <cell r="G35">
            <v>97.47</v>
          </cell>
          <cell r="H35">
            <v>0.17000000000000171</v>
          </cell>
          <cell r="I35">
            <v>97.4</v>
          </cell>
          <cell r="J35">
            <v>97.75</v>
          </cell>
          <cell r="K35">
            <v>0.04</v>
          </cell>
          <cell r="L35">
            <v>15.229999542236328</v>
          </cell>
          <cell r="M35">
            <v>-0.20000076293945313</v>
          </cell>
          <cell r="O35">
            <v>9</v>
          </cell>
          <cell r="P35">
            <v>1203600</v>
          </cell>
          <cell r="Q35">
            <v>11.779744000000001</v>
          </cell>
          <cell r="R35">
            <v>2.587843145007116</v>
          </cell>
        </row>
        <row r="36">
          <cell r="A36" t="str">
            <v>27009</v>
          </cell>
          <cell r="B36">
            <v>37776</v>
          </cell>
          <cell r="C36">
            <v>97.2</v>
          </cell>
          <cell r="D36">
            <v>97.2</v>
          </cell>
          <cell r="E36">
            <v>97.49</v>
          </cell>
          <cell r="F36">
            <v>97.45</v>
          </cell>
          <cell r="G36">
            <v>97.47</v>
          </cell>
          <cell r="H36">
            <v>0.37999999999999545</v>
          </cell>
          <cell r="I36">
            <v>97.2</v>
          </cell>
          <cell r="J36">
            <v>97.73</v>
          </cell>
          <cell r="K36">
            <v>0.35</v>
          </cell>
          <cell r="L36">
            <v>15.279999732971191</v>
          </cell>
          <cell r="M36">
            <v>-0.28999996185302734</v>
          </cell>
          <cell r="O36">
            <v>18</v>
          </cell>
          <cell r="P36">
            <v>1358847</v>
          </cell>
          <cell r="Q36">
            <v>13.719596450000001</v>
          </cell>
          <cell r="R36">
            <v>3.0140012911483023</v>
          </cell>
        </row>
        <row r="37">
          <cell r="A37" t="str">
            <v>27010</v>
          </cell>
          <cell r="B37">
            <v>37881</v>
          </cell>
          <cell r="C37">
            <v>96.5</v>
          </cell>
          <cell r="D37">
            <v>96.31</v>
          </cell>
          <cell r="E37">
            <v>96.55</v>
          </cell>
          <cell r="F37">
            <v>96.5</v>
          </cell>
          <cell r="G37">
            <v>96.47</v>
          </cell>
          <cell r="H37">
            <v>0.12000000000000455</v>
          </cell>
          <cell r="I37">
            <v>96.46</v>
          </cell>
          <cell r="J37">
            <v>96.5</v>
          </cell>
          <cell r="K37">
            <v>0.28999999999999998</v>
          </cell>
          <cell r="L37">
            <v>15.420000076293945</v>
          </cell>
          <cell r="M37">
            <v>-5.9999465942382813E-2</v>
          </cell>
          <cell r="O37">
            <v>23</v>
          </cell>
          <cell r="P37">
            <v>1621147</v>
          </cell>
          <cell r="Q37">
            <v>16.108932630000002</v>
          </cell>
          <cell r="R37">
            <v>3.5389046553071917</v>
          </cell>
        </row>
        <row r="38">
          <cell r="A38" t="str">
            <v>27011</v>
          </cell>
          <cell r="B38">
            <v>37902</v>
          </cell>
          <cell r="C38">
            <v>95.3</v>
          </cell>
          <cell r="D38">
            <v>95.3</v>
          </cell>
          <cell r="E38">
            <v>95.37</v>
          </cell>
          <cell r="F38">
            <v>95.35</v>
          </cell>
          <cell r="G38">
            <v>95.34</v>
          </cell>
          <cell r="H38">
            <v>6.0000000000002274E-2</v>
          </cell>
          <cell r="I38">
            <v>95.35</v>
          </cell>
          <cell r="J38">
            <v>95.7</v>
          </cell>
          <cell r="K38">
            <v>0.21</v>
          </cell>
          <cell r="L38">
            <v>15.460000038146973</v>
          </cell>
          <cell r="M38">
            <v>-9.0000152587890625E-2</v>
          </cell>
          <cell r="O38">
            <v>10</v>
          </cell>
          <cell r="P38">
            <v>849847</v>
          </cell>
          <cell r="Q38">
            <v>8.2808678700000016</v>
          </cell>
          <cell r="R38">
            <v>1.8191895470809196</v>
          </cell>
        </row>
        <row r="39">
          <cell r="A39" t="str">
            <v>27012</v>
          </cell>
          <cell r="B39">
            <v>37944</v>
          </cell>
          <cell r="C39">
            <v>90</v>
          </cell>
          <cell r="D39">
            <v>90</v>
          </cell>
          <cell r="E39">
            <v>90.48</v>
          </cell>
          <cell r="F39">
            <v>90.3</v>
          </cell>
          <cell r="G39">
            <v>90.18</v>
          </cell>
          <cell r="H39">
            <v>0.10000000000000853</v>
          </cell>
          <cell r="I39">
            <v>89.94</v>
          </cell>
          <cell r="J39">
            <v>90.3</v>
          </cell>
          <cell r="K39">
            <v>0.02</v>
          </cell>
          <cell r="L39">
            <v>16.709999084472656</v>
          </cell>
          <cell r="M39">
            <v>-4.000091552734375E-2</v>
          </cell>
          <cell r="O39">
            <v>13</v>
          </cell>
          <cell r="P39">
            <v>1310142</v>
          </cell>
          <cell r="Q39">
            <v>11.84080284</v>
          </cell>
          <cell r="R39">
            <v>2.6012569085435802</v>
          </cell>
        </row>
        <row r="40">
          <cell r="A40" t="str">
            <v>27013</v>
          </cell>
          <cell r="B40">
            <v>38140</v>
          </cell>
          <cell r="C40">
            <v>93.96</v>
          </cell>
          <cell r="D40">
            <v>93.96</v>
          </cell>
          <cell r="E40">
            <v>93.96</v>
          </cell>
          <cell r="F40">
            <v>93.96</v>
          </cell>
          <cell r="G40">
            <v>93.96</v>
          </cell>
          <cell r="H40">
            <v>7.9999999999998295E-2</v>
          </cell>
          <cell r="I40">
            <v>93.96</v>
          </cell>
          <cell r="J40">
            <v>94.29</v>
          </cell>
          <cell r="K40">
            <v>37.700000000000003</v>
          </cell>
          <cell r="L40">
            <v>16.850000381469727</v>
          </cell>
          <cell r="M40">
            <v>-4.9999237060546875E-2</v>
          </cell>
          <cell r="O40">
            <v>1</v>
          </cell>
          <cell r="P40">
            <v>10</v>
          </cell>
          <cell r="Q40">
            <v>9.6770000000000016E-3</v>
          </cell>
          <cell r="R40">
            <v>2.1259000292564818E-3</v>
          </cell>
        </row>
        <row r="41">
          <cell r="A41" t="str">
            <v>27014</v>
          </cell>
          <cell r="B41">
            <v>38336</v>
          </cell>
          <cell r="C41">
            <v>94</v>
          </cell>
          <cell r="D41">
            <v>94</v>
          </cell>
          <cell r="E41">
            <v>94.2</v>
          </cell>
          <cell r="F41">
            <v>94.2</v>
          </cell>
          <cell r="G41">
            <v>94.07</v>
          </cell>
          <cell r="H41">
            <v>7.9999999999998295E-2</v>
          </cell>
          <cell r="I41">
            <v>94.11</v>
          </cell>
          <cell r="J41">
            <v>94.43</v>
          </cell>
          <cell r="K41">
            <v>31.56</v>
          </cell>
          <cell r="L41">
            <v>16.209999084472656</v>
          </cell>
          <cell r="M41">
            <v>-4.000091552734375E-2</v>
          </cell>
          <cell r="O41">
            <v>2</v>
          </cell>
          <cell r="P41">
            <v>1334</v>
          </cell>
          <cell r="Q41">
            <v>1.2969010400000001</v>
          </cell>
          <cell r="R41">
            <v>0.28491081521946482</v>
          </cell>
        </row>
        <row r="42">
          <cell r="A42" t="str">
            <v>27015</v>
          </cell>
          <cell r="B42">
            <v>38021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95.05</v>
          </cell>
          <cell r="J42">
            <v>95.31</v>
          </cell>
          <cell r="K42">
            <v>8.44</v>
          </cell>
          <cell r="L42">
            <v>0</v>
          </cell>
          <cell r="M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A43" t="str">
            <v>27016</v>
          </cell>
          <cell r="B43">
            <v>37853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98.8</v>
          </cell>
          <cell r="J43">
            <v>99.25</v>
          </cell>
          <cell r="K43">
            <v>3.7</v>
          </cell>
          <cell r="L43">
            <v>0</v>
          </cell>
          <cell r="M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A44" t="str">
            <v>28001</v>
          </cell>
          <cell r="B44">
            <v>38007</v>
          </cell>
          <cell r="C44">
            <v>92.8</v>
          </cell>
          <cell r="D44">
            <v>92.8</v>
          </cell>
          <cell r="E44">
            <v>93.1</v>
          </cell>
          <cell r="F44">
            <v>93.1</v>
          </cell>
          <cell r="G44">
            <v>92.94</v>
          </cell>
          <cell r="H44">
            <v>0.23999999999999488</v>
          </cell>
          <cell r="I44">
            <v>92.8</v>
          </cell>
          <cell r="J44">
            <v>93.1</v>
          </cell>
          <cell r="K44">
            <v>0.15</v>
          </cell>
          <cell r="L44">
            <v>16.520000457763672</v>
          </cell>
          <cell r="M44">
            <v>-0.12999916076660156</v>
          </cell>
          <cell r="O44">
            <v>27</v>
          </cell>
          <cell r="P44">
            <v>3214694</v>
          </cell>
          <cell r="Q44">
            <v>30.358304100000005</v>
          </cell>
          <cell r="R44">
            <v>6.6692900252523684</v>
          </cell>
        </row>
        <row r="45">
          <cell r="A45" t="str">
            <v>Общий оборот за торговую сессию:</v>
          </cell>
          <cell r="O45">
            <v>303</v>
          </cell>
          <cell r="P45">
            <v>31950270</v>
          </cell>
          <cell r="Q45">
            <v>455.19544037000003</v>
          </cell>
          <cell r="R45">
            <v>100</v>
          </cell>
          <cell r="V45">
            <v>62651910.624633789</v>
          </cell>
          <cell r="W45">
            <v>984437162.82220638</v>
          </cell>
          <cell r="X45">
            <v>15.712803536356008</v>
          </cell>
        </row>
        <row r="46">
          <cell r="A46" t="str">
            <v>Остаток средств в Торговой системе на 11:00 текущего дня :</v>
          </cell>
          <cell r="Q46">
            <v>1832.4000244140625</v>
          </cell>
          <cell r="R46" t="str">
            <v/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 транш"/>
      <sheetName val="5 транш"/>
      <sheetName val="6 транш"/>
      <sheetName val="7 транш"/>
      <sheetName val="REPO"/>
      <sheetName val="проба"/>
      <sheetName val="Sheet2"/>
      <sheetName val="Sheet1"/>
      <sheetName val="Лист3"/>
    </sheetNames>
    <sheetDataSet>
      <sheetData sheetId="0" refreshError="1"/>
      <sheetData sheetId="1" refreshError="1">
        <row r="54">
          <cell r="B54">
            <v>36660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1_0000"/>
      <sheetName val="\\Ruwc"/>
    </sheetNames>
    <definedNames>
      <definedName name="[StartDialogModule].cbSelectDirPressed"/>
      <definedName name="StartDialogModule.cbCancel_Click"/>
      <definedName name="StartDialogModule.cbOKClick"/>
    </defined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ь"/>
      <sheetName val="Вексель_АД"/>
      <sheetName val="Вексель_АЕ"/>
      <sheetName val="ДСП"/>
      <sheetName val="01-01-05"/>
      <sheetName val="01-02-05"/>
      <sheetName val="01-03-05"/>
      <sheetName val="01-04-05"/>
      <sheetName val="01-05-05"/>
      <sheetName val="01-06-05"/>
      <sheetName val="01-07-05"/>
      <sheetName val="01-08-05"/>
      <sheetName val="01-09-05"/>
      <sheetName val="01-10-05"/>
      <sheetName val="01-11-05"/>
      <sheetName val="01-12-05"/>
      <sheetName val="01-01-06"/>
      <sheetName val="01-02-06"/>
      <sheetName val="ОТЧЕТ"/>
      <sheetName val="Реестр векселей к погашению"/>
      <sheetName val="Реестр к погашению за месяц "/>
      <sheetName val="К погашению до востр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38353</v>
          </cell>
        </row>
        <row r="4">
          <cell r="D4">
            <v>38354</v>
          </cell>
        </row>
        <row r="5">
          <cell r="D5">
            <v>38355</v>
          </cell>
        </row>
        <row r="6">
          <cell r="D6">
            <v>38356</v>
          </cell>
        </row>
        <row r="7">
          <cell r="D7">
            <v>38357</v>
          </cell>
        </row>
        <row r="8">
          <cell r="D8">
            <v>38358</v>
          </cell>
        </row>
        <row r="9">
          <cell r="D9">
            <v>38359</v>
          </cell>
        </row>
        <row r="10">
          <cell r="D10">
            <v>38360</v>
          </cell>
        </row>
        <row r="11">
          <cell r="D11">
            <v>38361</v>
          </cell>
        </row>
        <row r="12">
          <cell r="D12">
            <v>38362</v>
          </cell>
        </row>
        <row r="40">
          <cell r="B40" t="str">
            <v>"Бонус трэйд"</v>
          </cell>
        </row>
        <row r="41">
          <cell r="B41" t="str">
            <v>"ДЕПО-БАНК"</v>
          </cell>
        </row>
        <row r="42">
          <cell r="B42" t="str">
            <v>"Желдорфармация" МПС России</v>
          </cell>
        </row>
        <row r="43">
          <cell r="B43" t="str">
            <v>"ИК "Инвестиционный банкирский дом "Финансы и промышленность"</v>
          </cell>
        </row>
        <row r="44">
          <cell r="B44" t="str">
            <v>"КБ ИНТЕРКАПИТАЛ-БАНК"</v>
          </cell>
        </row>
        <row r="45">
          <cell r="B45" t="str">
            <v>"КБ МИ-БАНК"</v>
          </cell>
        </row>
        <row r="46">
          <cell r="B46" t="str">
            <v>"Стройкредит"</v>
          </cell>
        </row>
        <row r="47">
          <cell r="B47" t="str">
            <v>"Компания ТрансТелеКом"</v>
          </cell>
        </row>
        <row r="48">
          <cell r="B48" t="str">
            <v>"РЕСО-Гарантия"</v>
          </cell>
        </row>
        <row r="49">
          <cell r="B49" t="str">
            <v>"Российское страховое народное общество "РОСНО"</v>
          </cell>
        </row>
        <row r="50">
          <cell r="B50" t="str">
            <v>"Россия"</v>
          </cell>
        </row>
        <row r="51">
          <cell r="B51" t="str">
            <v>"РУСИЧ ЦЕНТР БАНК"</v>
          </cell>
        </row>
        <row r="52">
          <cell r="B52" t="str">
            <v>"ФинпромТрансЛизинг"</v>
          </cell>
        </row>
        <row r="53">
          <cell r="B53" t="str">
            <v>"Финстар-маркет</v>
          </cell>
        </row>
        <row r="54">
          <cell r="B54" t="str">
            <v>"Фирма "Транскоул"</v>
          </cell>
        </row>
        <row r="55">
          <cell r="B55" t="str">
            <v>"Русские Фонды"</v>
          </cell>
        </row>
        <row r="56">
          <cell r="B56" t="str">
            <v>"Вольфф Инвестмент Групп"</v>
          </cell>
        </row>
        <row r="57">
          <cell r="B57" t="str">
            <v>"Кузбассуглепоставка"</v>
          </cell>
        </row>
        <row r="58">
          <cell r="B58" t="str">
            <v>"АМРОБЕЛ ООО" (Бельгия)</v>
          </cell>
        </row>
        <row r="59">
          <cell r="B59" t="str">
            <v>"Ингосстрах"</v>
          </cell>
        </row>
        <row r="60">
          <cell r="B60" t="str">
            <v>"Страховая Компания "Согласие"</v>
          </cell>
        </row>
        <row r="61">
          <cell r="B61" t="str">
            <v>"Торговый Дом "Инструмент"</v>
          </cell>
        </row>
        <row r="62">
          <cell r="B62" t="str">
            <v>"Джамп  ЛТД"</v>
          </cell>
        </row>
        <row r="63">
          <cell r="B63" t="str">
            <v>Российский научно-исследовательский и проектно-конструкторский институт информатизации, автоматизации и связи Министерства путей сообщения Российской Федерации</v>
          </cell>
        </row>
        <row r="64">
          <cell r="B64" t="str">
            <v>"Кларимп"</v>
          </cell>
        </row>
        <row r="65">
          <cell r="B65" t="str">
            <v>"Техсервис-Капитал 2000"</v>
          </cell>
        </row>
        <row r="66">
          <cell r="B66" t="str">
            <v>"ТРАНСМЕТИНВЕСТ-М"</v>
          </cell>
        </row>
        <row r="67">
          <cell r="B67" t="str">
            <v>"ЮНАИТ"</v>
          </cell>
        </row>
        <row r="68">
          <cell r="B68" t="str">
            <v>"ТранстопЭнерго"</v>
          </cell>
        </row>
        <row r="69">
          <cell r="B69" t="str">
            <v>"МИРАКОН ЛИМИТЕД"</v>
          </cell>
        </row>
        <row r="70">
          <cell r="B70" t="str">
            <v>"ГАНЗАКОМБАНК"</v>
          </cell>
        </row>
        <row r="71">
          <cell r="B71" t="str">
            <v>"М.С.ИНСТРУМЕНТС"</v>
          </cell>
        </row>
        <row r="72">
          <cell r="B72" t="str">
            <v>"Совет Ветеранов железнодорожного транспорта"</v>
          </cell>
        </row>
        <row r="73">
          <cell r="B73" t="str">
            <v>GLENSIDE LIMITED, S.A.</v>
          </cell>
        </row>
        <row r="74">
          <cell r="B74" t="str">
            <v>"АльфаСтрахование"</v>
          </cell>
        </row>
        <row r="75">
          <cell r="B75" t="str">
            <v>"АльфаСтрахование"</v>
          </cell>
        </row>
        <row r="76">
          <cell r="B76" t="str">
            <v>"Финансово-Промышленный Банк" (Открытое Акционерное Общество)</v>
          </cell>
        </row>
        <row r="77">
          <cell r="B77" t="str">
            <v>"ЕЭС России"</v>
          </cell>
        </row>
        <row r="78">
          <cell r="B78" t="str">
            <v>"ВЕК" (ЗАКРЫТОЕ АКЦИОНЕРНОЕ ОБЩЕСТВО)</v>
          </cell>
        </row>
        <row r="79">
          <cell r="B79" t="str">
            <v>Проектно-конструкторско-технологическое бюро по локомотивам - филиал открытого акционерного общества  "Российские железные дороги"</v>
          </cell>
        </row>
        <row r="80">
          <cell r="B80" t="str">
            <v>"ЕВРОФИНАНС МОСНАРБАНК" (Открытое акционерное общество)</v>
          </cell>
        </row>
        <row r="81">
          <cell r="B81" t="str">
            <v>"Супербанк" (открытое акционерное общество)</v>
          </cell>
        </row>
        <row r="82">
          <cell r="B82" t="str">
            <v>"АльфаСтрахование  -  Жизнь "</v>
          </cell>
        </row>
        <row r="83">
          <cell r="B83" t="str">
            <v>"Аромасинтез"</v>
          </cell>
        </row>
        <row r="84">
          <cell r="B84" t="str">
            <v>"Московский Банк Реконструкции и Развития" (открытое акционерное общество)</v>
          </cell>
        </row>
        <row r="85">
          <cell r="B85" t="str">
            <v>"ИФК ЭКСИТОН"</v>
          </cell>
        </row>
        <row r="86">
          <cell r="B86" t="str">
            <v>"Крафтвэй корпорэйшн ПЛС"</v>
          </cell>
        </row>
        <row r="87">
          <cell r="B87" t="str">
            <v>"Государственная страховая компания "Югория"</v>
          </cell>
        </row>
        <row r="88">
          <cell r="B88" t="str">
            <v>"УНИВЕРСАЛЬ-ИНВЕСТ"</v>
          </cell>
        </row>
        <row r="89">
          <cell r="B89" t="str">
            <v>"Финансово-промышленная группа "ВОЛГА"</v>
          </cell>
        </row>
        <row r="90">
          <cell r="B90" t="str">
            <v>"РОСКОР ИНТЕРНЭШНЛ"</v>
          </cell>
        </row>
        <row r="91">
          <cell r="B91" t="str">
            <v>" Страховая компания "РЕСО-Ре"</v>
          </cell>
        </row>
        <row r="92">
          <cell r="B92" t="str">
            <v>"Страховое общество газовой промышленности"</v>
          </cell>
        </row>
        <row r="93">
          <cell r="B93" t="str">
            <v>"НОВАЯ МОСКВА" (закрытое акционерное общество)</v>
          </cell>
        </row>
        <row r="94">
          <cell r="B94" t="str">
            <v>Коммерческий Банк Межотраслевой Промышленной Интеграции (закрытое акционерное общество)</v>
          </cell>
        </row>
        <row r="95">
          <cell r="B95" t="str">
            <v>ХАНТЫ-МАНСИЙСКИЙ БАНК ОТКРЫТОЕ АКЦИОНЕРНОЕ ОБЩЕСТВО</v>
          </cell>
        </row>
        <row r="96">
          <cell r="B96" t="str">
            <v>"Управляющая компания "ПАРК АВЕНЮ КАПИТАЛ"</v>
          </cell>
        </row>
        <row r="97">
          <cell r="B97" t="str">
            <v xml:space="preserve">"Скайлон" </v>
          </cell>
        </row>
        <row r="98">
          <cell r="B98" t="str">
            <v>"ОТРАСЛЕВОЙ ЦЕНТР ВНЕДРЕНИЯ НОВОЙ ТЕХНИКИ И ТЕХНОЛОГИЙ"</v>
          </cell>
        </row>
        <row r="99">
          <cell r="B99" t="str">
            <v>"Ирида-Плей"</v>
          </cell>
        </row>
        <row r="100">
          <cell r="B100" t="str">
            <v>"Стенрей"</v>
          </cell>
        </row>
        <row r="101">
          <cell r="B101" t="str">
            <v>"Сельмашбанк" (открытое акционерное общество)</v>
          </cell>
        </row>
        <row r="102">
          <cell r="B102" t="str">
            <v>"Финансовая перспектива"</v>
          </cell>
        </row>
        <row r="103">
          <cell r="B103" t="str">
            <v>"Аквариус Дата"</v>
          </cell>
        </row>
        <row r="104">
          <cell r="B104" t="str">
            <v>"НТЦ ТРАНССИСТЕМОТЕХНИКА"</v>
          </cell>
        </row>
        <row r="105">
          <cell r="B105" t="str">
            <v>"Мультимодальная транспортная компания "ЮниТранс"</v>
          </cell>
        </row>
        <row r="106">
          <cell r="B106" t="str">
            <v>"ТФК"</v>
          </cell>
        </row>
        <row r="107">
          <cell r="B107" t="str">
            <v>"Dresdner Bank AG"</v>
          </cell>
        </row>
        <row r="108">
          <cell r="B108" t="str">
            <v>"Производственно-финансовая группа "Русское Общество Содействия Вагонному Машиностроению"</v>
          </cell>
        </row>
        <row r="109">
          <cell r="B109" t="str">
            <v>"Торговый Дом "Владимир"</v>
          </cell>
        </row>
        <row r="110">
          <cell r="B110" t="str">
            <v>"Белон"</v>
          </cell>
        </row>
        <row r="111">
          <cell r="B111" t="str">
            <v>"АРТ-Столица"</v>
          </cell>
        </row>
        <row r="112">
          <cell r="B112" t="str">
            <v>"АрсеналСтройЭксперт"</v>
          </cell>
        </row>
        <row r="113">
          <cell r="B113" t="str">
            <v>"ТПК спецтранс"</v>
          </cell>
        </row>
        <row r="114">
          <cell r="B114" t="str">
            <v>" ДОМЕНКА"</v>
          </cell>
        </row>
        <row r="115">
          <cell r="B115" t="str">
            <v>"Ветолл"</v>
          </cell>
        </row>
        <row r="116">
          <cell r="B116" t="str">
            <v>"ИнвестРесурс"</v>
          </cell>
        </row>
        <row r="117">
          <cell r="B117" t="str">
            <v>"Спецоптторг-консалтинг"</v>
          </cell>
        </row>
        <row r="118">
          <cell r="B118" t="str">
            <v>"Рейлимпэкс"</v>
          </cell>
        </row>
        <row r="119">
          <cell r="B119" t="str">
            <v>"ТЕХКОМПЛЕКТСНАБ"</v>
          </cell>
        </row>
        <row r="120">
          <cell r="B120" t="str">
            <v>"Инномет"</v>
          </cell>
        </row>
        <row r="121">
          <cell r="B121" t="str">
            <v>"Инвестиционная компания ФИНАНСОВЫЙ СОЮЗ"</v>
          </cell>
        </row>
        <row r="122">
          <cell r="B122" t="str">
            <v>"Брокерская компания "РЕГИОН"</v>
          </cell>
        </row>
        <row r="123">
          <cell r="B123" t="str">
            <v>"ИК ВЕЛЕС Капитал"</v>
          </cell>
        </row>
        <row r="124">
          <cell r="B124" t="str">
            <v>"Бизнес Инвест"</v>
          </cell>
        </row>
        <row r="125">
          <cell r="B125" t="str">
            <v>"Объединение Курскатомэнергострой"</v>
          </cell>
        </row>
        <row r="126">
          <cell r="B126" t="str">
            <v>"Металлургический коммерческий банк"</v>
          </cell>
        </row>
        <row r="127">
          <cell r="B127" t="str">
            <v>"ТЕЛ МТК"</v>
          </cell>
        </row>
        <row r="128">
          <cell r="B128" t="str">
            <v>"ТЕЛЕКОМ  МТК"</v>
          </cell>
        </row>
        <row r="129">
          <cell r="B129" t="str">
            <v>"Стройкредит"</v>
          </cell>
        </row>
        <row r="130">
          <cell r="B130" t="str">
            <v>" Крепость"</v>
          </cell>
        </row>
        <row r="131">
          <cell r="B131" t="str">
            <v>"ЭССЭ-Фонд"</v>
          </cell>
        </row>
        <row r="132">
          <cell r="B132" t="str">
            <v>"Ухтабанк"</v>
          </cell>
        </row>
        <row r="133">
          <cell r="B133" t="str">
            <v>"Морской торговый порт Усть-Луга"</v>
          </cell>
        </row>
        <row r="134">
          <cell r="B134" t="str">
            <v>"Совет Ветеранов железных дорог"</v>
          </cell>
        </row>
        <row r="135">
          <cell r="B135" t="str">
            <v>"ИНВЕСТ-ЛИДЕР"</v>
          </cell>
        </row>
        <row r="136">
          <cell r="B136" t="str">
            <v>"АРКО-ФИНАНС"</v>
          </cell>
        </row>
        <row r="137">
          <cell r="B137" t="str">
            <v>"Банк Корпоративного Финансирования"</v>
          </cell>
        </row>
        <row r="138">
          <cell r="B138" t="str">
            <v>"Деловой накопительный банк"</v>
          </cell>
        </row>
        <row r="139">
          <cell r="B139" t="str">
            <v>"Алемар"</v>
          </cell>
        </row>
        <row r="140">
          <cell r="B140" t="str">
            <v>"Пивоваренная компания "Балтика"</v>
          </cell>
        </row>
        <row r="141">
          <cell r="B141" t="str">
            <v>"ОРГРЭСБАНК" (Открытое акционерное общество)</v>
          </cell>
        </row>
        <row r="142">
          <cell r="B142" t="str">
            <v>"Инвестиционная финансовая компания "АФИНА"</v>
          </cell>
        </row>
        <row r="143">
          <cell r="B143" t="str">
            <v>"Красбанк" (Общество с ограниченной ответственностью)</v>
          </cell>
        </row>
        <row r="144">
          <cell r="B144" t="str">
            <v>"Новый век" (Общество с Ограниченной Ответственностью)</v>
          </cell>
        </row>
        <row r="145">
          <cell r="B145" t="str">
            <v>"Московский Деловой Мир" (открытое акционерное общество)</v>
          </cell>
        </row>
        <row r="146">
          <cell r="B146" t="str">
            <v>БАНК ОХРАНЫ ОКРУЖАЮЩЕЙ СРЕДЫ (ЗАКРЫТОЕ АКЦИОНЕРНОЕ ОБЩЕСТВО)</v>
          </cell>
        </row>
        <row r="147">
          <cell r="B147" t="str">
            <v>Финансовая компания "Русский Инвестиционный Клуб"</v>
          </cell>
        </row>
        <row r="148">
          <cell r="B148" t="str">
            <v>"ЮНИАСТРУМ БАНК" (ОБЩЕСТВО С ОГРАНИЧЕННОЙ ОТВЕТСТВЕННОСТЬЮ)</v>
          </cell>
        </row>
        <row r="149">
          <cell r="B149" t="str">
            <v>Коммерческий Банк "Национальный стандарт"</v>
          </cell>
        </row>
        <row r="150">
          <cell r="B150" t="str">
            <v>"КОММЕРЧЕСКИЙ БАНК ИНВЕСТИЦИЙ И СОЦИАЛЬНОГО РАЗВИТИЯ"</v>
          </cell>
        </row>
        <row r="151">
          <cell r="B151" t="str">
            <v>"Банк на Красных Воротах" (закрытое акционерное общество)</v>
          </cell>
        </row>
        <row r="152">
          <cell r="B152" t="str">
            <v>"Структура" (Общество с ограниченной ответственностью)</v>
          </cell>
        </row>
        <row r="153">
          <cell r="B153" t="str">
            <v>"ИМПУЛЬС"</v>
          </cell>
        </row>
        <row r="154">
          <cell r="B154" t="str">
            <v>"УниверБанк" (Открытое акционерное общество)</v>
          </cell>
        </row>
        <row r="155">
          <cell r="B155" t="str">
            <v>"Промышленно-строительный банк"</v>
          </cell>
        </row>
        <row r="156">
          <cell r="B156" t="str">
            <v>"МЕЖОТРАСЛЕВОЙ ПРОМЫШЛЕННЫЙ БАНК " (открытое акционерное общество)</v>
          </cell>
        </row>
        <row r="157">
          <cell r="B157" t="str">
            <v>"Промсвязьбанк" (закрытое акционерное общество)</v>
          </cell>
        </row>
        <row r="158">
          <cell r="B158" t="str">
            <v>"ИНВЕСТИЦИОННЫЙ ТОРГОВЫЙ БАНК" (закрытое акционерное общество)</v>
          </cell>
        </row>
        <row r="159">
          <cell r="B159" t="str">
            <v>"Национальный банк развития"</v>
          </cell>
        </row>
        <row r="160">
          <cell r="B160" t="str">
            <v>"Инвестиционная компания "Газфинтраст"</v>
          </cell>
        </row>
        <row r="161">
          <cell r="B161" t="str">
            <v>Инвестиционная компания "КАПИТАЛ ГРУПП"</v>
          </cell>
        </row>
        <row r="162">
          <cell r="B162" t="str">
            <v>"Дарекс"</v>
          </cell>
        </row>
        <row r="163">
          <cell r="B163" t="str">
            <v>"ДОРПРОФТРАНС"</v>
          </cell>
        </row>
        <row r="164">
          <cell r="B164" t="str">
            <v>"Негосударственный пенсионный фонд "БЛАГОСОСТОЯНИЕ"</v>
          </cell>
        </row>
        <row r="165">
          <cell r="B165" t="str">
            <v>"Страховое общество ЖАСО"</v>
          </cell>
        </row>
        <row r="166">
          <cell r="B166" t="str">
            <v>" ЭЛЛАДА ИНТЕРТРЕЙД"</v>
          </cell>
        </row>
        <row r="167">
          <cell r="B167" t="str">
            <v>"Всероссийский конструкторско-технологический центр подвижного состава"</v>
          </cell>
        </row>
        <row r="168">
          <cell r="B168" t="str">
            <v>" Гигант"</v>
          </cell>
        </row>
        <row r="169">
          <cell r="B169" t="str">
            <v>" Московская строительная компания"</v>
          </cell>
        </row>
        <row r="170">
          <cell r="B170" t="str">
            <v xml:space="preserve"> Промышленно-торговый банк (Закрытое акционерное общество)</v>
          </cell>
        </row>
        <row r="171">
          <cell r="B171" t="str">
            <v>Всероссийский научно-исследовательский институт железнодорожного транспорта Министерства путей сообщения Российской Федерации</v>
          </cell>
        </row>
        <row r="172">
          <cell r="B172" t="str">
            <v>"Фонд жилищная социальная ипотека"</v>
          </cell>
        </row>
        <row r="173">
          <cell r="B173" t="str">
            <v>«Газпромрегионгаз»</v>
          </cell>
        </row>
        <row r="174">
          <cell r="B174" t="str">
            <v>"СТАНРУС"</v>
          </cell>
        </row>
        <row r="175">
          <cell r="B175" t="str">
            <v>ЗЕНИТ (открытое акционерное общество)</v>
          </cell>
        </row>
        <row r="176">
          <cell r="B176" t="str">
            <v>"Газрегионфинанс"</v>
          </cell>
        </row>
        <row r="177">
          <cell r="B177" t="str">
            <v>Чак Юрий Семенович</v>
          </cell>
        </row>
        <row r="178">
          <cell r="B178" t="str">
            <v>"Фондовый мир"</v>
          </cell>
        </row>
        <row r="179">
          <cell r="B179" t="str">
            <v>"ДЕКОРТ-ЭСТЕЙТ"</v>
          </cell>
        </row>
        <row r="180">
          <cell r="B180" t="str">
            <v>"Трансхимэнерго"</v>
          </cell>
        </row>
        <row r="181">
          <cell r="B181" t="str">
            <v>"РЖДС-регион"</v>
          </cell>
        </row>
        <row r="182">
          <cell r="B182" t="str">
            <v>"Коммерческий банк "ГРАН"</v>
          </cell>
        </row>
        <row r="183">
          <cell r="B183" t="str">
            <v>"Финансовый партнер"</v>
          </cell>
        </row>
        <row r="184">
          <cell r="B184" t="str">
            <v>"САНТЭКО"</v>
          </cell>
        </row>
        <row r="185">
          <cell r="B185" t="str">
            <v>"ТК Аналитик"</v>
          </cell>
        </row>
        <row r="186">
          <cell r="B186" t="str">
            <v>ПЕРВЫЙ ЧЕШСКО-РОССИЙСКИЙ БАНК  Общество с Ограниченной Ответственностью</v>
          </cell>
        </row>
        <row r="187">
          <cell r="B187" t="str">
            <v>"Стар-Карго"</v>
          </cell>
        </row>
        <row r="188">
          <cell r="B188" t="str">
            <v>"ЭКСПОБАНК" (общество с ограниченной ответственностью)</v>
          </cell>
        </row>
        <row r="189">
          <cell r="B189" t="str">
            <v>Трансстройбанк (Закрытое акционерное общество)</v>
          </cell>
        </row>
        <row r="190">
          <cell r="B190" t="str">
            <v>"ПРАДО-БАНК" (Общество с ограниченной ответственностью)</v>
          </cell>
        </row>
        <row r="191">
          <cell r="B191" t="str">
            <v>"МЕТАЛЛУРГИЧЕСКИЙ ИНВЕСТИЦИОННЫЙ БАНК" (ОТКРЫТОЕ АКЦИОНЕРНОЕ ОБЩЕСТВО)</v>
          </cell>
        </row>
        <row r="192">
          <cell r="B192" t="str">
            <v>"Авто-Эксперт"</v>
          </cell>
        </row>
        <row r="193">
          <cell r="B193" t="str">
            <v>"Транспортный" (общество с ограниченной ответственностью)</v>
          </cell>
        </row>
        <row r="194">
          <cell r="B194" t="str">
            <v>Межрегиональный коммерческий банк развития связи и информатики (открытое акционерное общество)</v>
          </cell>
        </row>
        <row r="195">
          <cell r="B195" t="str">
            <v>"КРЕДИТНЫЙ АГРОПРОМБАНК" (Общество с ограниченной ответственностью)</v>
          </cell>
        </row>
        <row r="196">
          <cell r="B196" t="str">
            <v>"ММК-Трансметснаб"</v>
          </cell>
        </row>
        <row r="197">
          <cell r="B197" t="str">
            <v>"БАНК РОССИЙСКИЙ КРЕДИТ"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Sheet2"/>
      <sheetName val="a1108209"/>
      <sheetName val="ДСП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"/>
      <sheetName val="CF"/>
      <sheetName val="supporting"/>
      <sheetName val="Forex elimination"/>
    </sheetNames>
    <sheetDataSet>
      <sheetData sheetId="0" refreshError="1">
        <row r="7">
          <cell r="A7" t="str">
            <v>Number of adjustment</v>
          </cell>
        </row>
        <row r="8">
          <cell r="A8" t="str">
            <v>Number of last year adjustment</v>
          </cell>
        </row>
        <row r="9">
          <cell r="A9" t="str">
            <v>ASSETS</v>
          </cell>
        </row>
        <row r="10">
          <cell r="A10" t="str">
            <v>Cash and cash equivalents</v>
          </cell>
        </row>
        <row r="15">
          <cell r="A15" t="str">
            <v>Deposits with banks</v>
          </cell>
        </row>
        <row r="20">
          <cell r="A20" t="str">
            <v>Originated loans</v>
          </cell>
        </row>
        <row r="27">
          <cell r="A27" t="str">
            <v>Trading Securities</v>
          </cell>
        </row>
        <row r="36">
          <cell r="A36" t="str">
            <v>AFS securities</v>
          </cell>
        </row>
        <row r="46">
          <cell r="A46" t="str">
            <v>HTM</v>
          </cell>
        </row>
        <row r="49">
          <cell r="A49" t="str">
            <v>Receivables</v>
          </cell>
        </row>
        <row r="53">
          <cell r="A53" t="str">
            <v>Prepayments</v>
          </cell>
        </row>
        <row r="57">
          <cell r="A57" t="str">
            <v>Deffered acquisition costs</v>
          </cell>
        </row>
        <row r="58">
          <cell r="A58" t="str">
            <v>Other Assets</v>
          </cell>
        </row>
        <row r="59">
          <cell r="A59" t="str">
            <v>Investments in assosiates</v>
          </cell>
        </row>
        <row r="60">
          <cell r="A60" t="str">
            <v>Premices and equipment</v>
          </cell>
        </row>
        <row r="65">
          <cell r="A65" t="str">
            <v>TOTAL ASSETS</v>
          </cell>
        </row>
        <row r="67">
          <cell r="A67" t="str">
            <v>LIABILITIES</v>
          </cell>
        </row>
        <row r="68">
          <cell r="A68" t="str">
            <v>Unearned premium</v>
          </cell>
        </row>
        <row r="71">
          <cell r="A71" t="str">
            <v>Outstanding claims reserve</v>
          </cell>
        </row>
        <row r="74">
          <cell r="A74" t="str">
            <v>IBNR</v>
          </cell>
        </row>
        <row r="77">
          <cell r="A77" t="str">
            <v>Life insurance reserve</v>
          </cell>
        </row>
        <row r="80">
          <cell r="A80" t="str">
            <v xml:space="preserve">Other insurance reserves </v>
          </cell>
        </row>
        <row r="83">
          <cell r="A83" t="str">
            <v>Borrowings</v>
          </cell>
        </row>
        <row r="84">
          <cell r="A84" t="str">
            <v>Payables</v>
          </cell>
        </row>
        <row r="91">
          <cell r="A91" t="str">
            <v>Obligatory medical insurance reserves</v>
          </cell>
        </row>
        <row r="92">
          <cell r="A92" t="str">
            <v>Deffered tax liability</v>
          </cell>
        </row>
        <row r="93">
          <cell r="A93" t="str">
            <v>Other liabilities</v>
          </cell>
        </row>
        <row r="98">
          <cell r="A98" t="str">
            <v>TOTAL LIABILITIES</v>
          </cell>
        </row>
        <row r="100">
          <cell r="A100" t="str">
            <v>MINORITY INTEREST</v>
          </cell>
        </row>
        <row r="102">
          <cell r="A102" t="str">
            <v>SHAREHOLDERS FUNDS</v>
          </cell>
        </row>
        <row r="104">
          <cell r="A104" t="str">
            <v>Share capital</v>
          </cell>
        </row>
        <row r="105">
          <cell r="A105" t="str">
            <v>Share premium</v>
          </cell>
        </row>
        <row r="106">
          <cell r="A106" t="str">
            <v>Reserves</v>
          </cell>
        </row>
        <row r="113">
          <cell r="A113" t="str">
            <v>Total liabilities, Minority Interest and shareholders' funds</v>
          </cell>
        </row>
        <row r="115">
          <cell r="A115" t="str">
            <v>PROFIT &amp; LOSS</v>
          </cell>
        </row>
        <row r="118">
          <cell r="A118" t="str">
            <v>Net premiums written</v>
          </cell>
        </row>
        <row r="123">
          <cell r="A123" t="str">
            <v>Increase/decrease in provision for unearned premiums, net of reinsurance</v>
          </cell>
        </row>
        <row r="127">
          <cell r="A127" t="str">
            <v xml:space="preserve">Net premiums earned </v>
          </cell>
        </row>
        <row r="129">
          <cell r="A129" t="str">
            <v>Claims paid, net of reinsurance</v>
          </cell>
        </row>
        <row r="135">
          <cell r="A135" t="str">
            <v>Increase in loss provision, net of reinsurance</v>
          </cell>
        </row>
        <row r="144">
          <cell r="A144" t="str">
            <v>Net claims incurred</v>
          </cell>
        </row>
        <row r="146">
          <cell r="A146" t="str">
            <v>Commission Income</v>
          </cell>
        </row>
        <row r="151">
          <cell r="A151" t="str">
            <v>Acquisition costs</v>
          </cell>
        </row>
        <row r="159">
          <cell r="A159" t="str">
            <v>Change in deffered acquisition costs</v>
          </cell>
        </row>
        <row r="161">
          <cell r="A161" t="str">
            <v>ClaImshandling expenses</v>
          </cell>
        </row>
        <row r="163">
          <cell r="A163" t="str">
            <v>Insurance activity result</v>
          </cell>
        </row>
        <row r="165">
          <cell r="A165" t="str">
            <v>Net gain on investment</v>
          </cell>
        </row>
        <row r="166">
          <cell r="A166" t="str">
            <v>Interest Income</v>
          </cell>
        </row>
        <row r="167">
          <cell r="A167" t="str">
            <v>Provision for diminition in value</v>
          </cell>
        </row>
        <row r="169">
          <cell r="A169" t="str">
            <v>Net income from assosiates</v>
          </cell>
        </row>
        <row r="170">
          <cell r="A170" t="str">
            <v>FX difference</v>
          </cell>
        </row>
        <row r="172">
          <cell r="A172" t="str">
            <v>Operating expenses</v>
          </cell>
        </row>
        <row r="190">
          <cell r="A190" t="str">
            <v>Other income</v>
          </cell>
        </row>
        <row r="191">
          <cell r="A191" t="str">
            <v xml:space="preserve">Other charges </v>
          </cell>
        </row>
        <row r="192">
          <cell r="A192" t="str">
            <v>Bad debts</v>
          </cell>
        </row>
        <row r="193">
          <cell r="A193" t="str">
            <v>Impairment loss</v>
          </cell>
        </row>
        <row r="195">
          <cell r="A195" t="str">
            <v>Other activity result</v>
          </cell>
        </row>
        <row r="197">
          <cell r="A197" t="str">
            <v>Monetary loss</v>
          </cell>
        </row>
        <row r="199">
          <cell r="A199" t="str">
            <v>Profit before taxation and minority interest</v>
          </cell>
        </row>
        <row r="201">
          <cell r="A201" t="str">
            <v>Taxation</v>
          </cell>
        </row>
        <row r="205">
          <cell r="A205" t="str">
            <v>Profit before minority interest</v>
          </cell>
        </row>
        <row r="207">
          <cell r="A207" t="str">
            <v>Minority interest</v>
          </cell>
        </row>
        <row r="209">
          <cell r="A209" t="str">
            <v xml:space="preserve">Net Profit </v>
          </cell>
        </row>
        <row r="211">
          <cell r="A211" t="str">
            <v>Dividends</v>
          </cell>
        </row>
      </sheetData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ments"/>
      <sheetName val="USER GUIDE"/>
      <sheetName val="UnadjBS"/>
      <sheetName val="UnadjPL"/>
      <sheetName val="RecatBS"/>
      <sheetName val="RecatPL"/>
      <sheetName val="IAS_BS"/>
      <sheetName val="IAS_PL"/>
      <sheetName val="Cash Flow preparation"/>
      <sheetName val="Cash flow final"/>
      <sheetName val="Cash"/>
      <sheetName val="PrecMetals"/>
      <sheetName val="Loans&amp;Adv"/>
      <sheetName val="BankLoans"/>
      <sheetName val="Invest"/>
      <sheetName val="FA"/>
      <sheetName val="OA"/>
      <sheetName val="Deposits"/>
      <sheetName val="BankDeposit"/>
      <sheetName val="OL"/>
      <sheetName val="Capital"/>
      <sheetName val="Reserves"/>
      <sheetName val="calculation"/>
      <sheetName val="Check"/>
    </sheetNames>
    <sheetDataSet>
      <sheetData sheetId="0" refreshError="1">
        <row r="1">
          <cell r="A1" t="str">
            <v>BFG-Credit   as at 1/07/98</v>
          </cell>
        </row>
        <row r="2">
          <cell r="A2" t="str">
            <v>КОРРЕКТИРОВКИ</v>
          </cell>
        </row>
        <row r="3">
          <cell r="A3" t="str">
            <v>Year Ended 31/12/98</v>
          </cell>
        </row>
        <row r="4">
          <cell r="A4" t="str">
            <v>BALANCE SHEET</v>
          </cell>
          <cell r="B4" t="str">
            <v>RR'000</v>
          </cell>
        </row>
        <row r="5">
          <cell r="B5" t="str">
            <v>Российская отчетность</v>
          </cell>
          <cell r="AY5" t="str">
            <v>Отчетность по МСБУ</v>
          </cell>
        </row>
        <row r="6">
          <cell r="C6" t="str">
            <v>1998 HC revaluation</v>
          </cell>
          <cell r="D6" t="str">
            <v>1998 securities revaluation</v>
          </cell>
          <cell r="E6" t="str">
            <v>1998 precious metals revaluation</v>
          </cell>
        </row>
        <row r="7">
          <cell r="A7" t="str">
            <v>Number of adjustment</v>
          </cell>
          <cell r="C7">
            <v>1</v>
          </cell>
          <cell r="D7">
            <v>2</v>
          </cell>
          <cell r="E7">
            <v>3</v>
          </cell>
          <cell r="F7">
            <v>4</v>
          </cell>
          <cell r="G7">
            <v>5</v>
          </cell>
          <cell r="H7">
            <v>6</v>
          </cell>
          <cell r="I7">
            <v>7</v>
          </cell>
          <cell r="J7">
            <v>8</v>
          </cell>
          <cell r="K7">
            <v>9</v>
          </cell>
          <cell r="L7">
            <v>10</v>
          </cell>
          <cell r="M7">
            <v>11</v>
          </cell>
          <cell r="N7">
            <v>12</v>
          </cell>
          <cell r="O7">
            <v>13</v>
          </cell>
          <cell r="P7">
            <v>14</v>
          </cell>
          <cell r="Q7">
            <v>15</v>
          </cell>
          <cell r="R7">
            <v>16</v>
          </cell>
          <cell r="S7">
            <v>17</v>
          </cell>
          <cell r="T7">
            <v>18</v>
          </cell>
          <cell r="U7">
            <v>19</v>
          </cell>
          <cell r="V7">
            <v>20</v>
          </cell>
          <cell r="W7">
            <v>21</v>
          </cell>
          <cell r="X7">
            <v>22</v>
          </cell>
          <cell r="Y7">
            <v>23</v>
          </cell>
          <cell r="Z7">
            <v>24</v>
          </cell>
          <cell r="AA7">
            <v>25</v>
          </cell>
          <cell r="AB7">
            <v>26</v>
          </cell>
          <cell r="AC7">
            <v>27</v>
          </cell>
          <cell r="AD7">
            <v>28</v>
          </cell>
          <cell r="AE7">
            <v>29</v>
          </cell>
          <cell r="AF7">
            <v>30</v>
          </cell>
          <cell r="AG7">
            <v>31</v>
          </cell>
          <cell r="AH7">
            <v>32</v>
          </cell>
          <cell r="AI7">
            <v>33</v>
          </cell>
          <cell r="AJ7">
            <v>34</v>
          </cell>
          <cell r="AK7">
            <v>35</v>
          </cell>
          <cell r="AL7">
            <v>36</v>
          </cell>
          <cell r="AM7">
            <v>37</v>
          </cell>
          <cell r="AN7">
            <v>38</v>
          </cell>
          <cell r="AO7">
            <v>39</v>
          </cell>
          <cell r="AP7">
            <v>40</v>
          </cell>
          <cell r="AQ7">
            <v>41</v>
          </cell>
          <cell r="AR7">
            <v>42</v>
          </cell>
          <cell r="AS7">
            <v>43</v>
          </cell>
          <cell r="AT7">
            <v>44</v>
          </cell>
          <cell r="AU7">
            <v>45</v>
          </cell>
          <cell r="AV7">
            <v>46</v>
          </cell>
          <cell r="AW7">
            <v>47</v>
          </cell>
          <cell r="AX7">
            <v>48</v>
          </cell>
        </row>
        <row r="8">
          <cell r="A8" t="str">
            <v>ASSETS</v>
          </cell>
        </row>
        <row r="9">
          <cell r="A9" t="str">
            <v>Номер корректировки</v>
          </cell>
          <cell r="B9">
            <v>0</v>
          </cell>
          <cell r="C9">
            <v>1</v>
          </cell>
          <cell r="D9">
            <v>2</v>
          </cell>
          <cell r="E9">
            <v>3</v>
          </cell>
          <cell r="F9">
            <v>4</v>
          </cell>
          <cell r="G9">
            <v>5</v>
          </cell>
          <cell r="H9">
            <v>6</v>
          </cell>
          <cell r="I9">
            <v>7</v>
          </cell>
          <cell r="J9">
            <v>8</v>
          </cell>
          <cell r="K9">
            <v>9</v>
          </cell>
          <cell r="L9">
            <v>10</v>
          </cell>
          <cell r="M9">
            <v>11</v>
          </cell>
          <cell r="N9">
            <v>12</v>
          </cell>
          <cell r="O9">
            <v>13</v>
          </cell>
          <cell r="P9">
            <v>14</v>
          </cell>
          <cell r="Q9">
            <v>15</v>
          </cell>
          <cell r="R9">
            <v>16</v>
          </cell>
          <cell r="S9">
            <v>17</v>
          </cell>
          <cell r="T9">
            <v>18</v>
          </cell>
          <cell r="U9">
            <v>19</v>
          </cell>
          <cell r="V9">
            <v>20</v>
          </cell>
          <cell r="W9">
            <v>21</v>
          </cell>
          <cell r="X9">
            <v>22</v>
          </cell>
          <cell r="Y9">
            <v>23</v>
          </cell>
          <cell r="Z9">
            <v>24</v>
          </cell>
          <cell r="AA9">
            <v>25</v>
          </cell>
          <cell r="AB9">
            <v>26</v>
          </cell>
          <cell r="AC9">
            <v>27</v>
          </cell>
          <cell r="AD9">
            <v>28</v>
          </cell>
          <cell r="AE9">
            <v>29</v>
          </cell>
          <cell r="AF9">
            <v>30</v>
          </cell>
          <cell r="AG9">
            <v>31</v>
          </cell>
          <cell r="AH9">
            <v>32</v>
          </cell>
          <cell r="AI9">
            <v>33</v>
          </cell>
          <cell r="AJ9">
            <v>34</v>
          </cell>
          <cell r="AK9">
            <v>35</v>
          </cell>
          <cell r="AL9">
            <v>36</v>
          </cell>
          <cell r="AM9">
            <v>37</v>
          </cell>
          <cell r="AN9">
            <v>38</v>
          </cell>
          <cell r="AO9">
            <v>39</v>
          </cell>
          <cell r="AP9">
            <v>40</v>
          </cell>
          <cell r="AQ9">
            <v>41</v>
          </cell>
          <cell r="AR9">
            <v>42</v>
          </cell>
          <cell r="AS9">
            <v>43</v>
          </cell>
          <cell r="AT9">
            <v>44</v>
          </cell>
          <cell r="AU9">
            <v>45</v>
          </cell>
          <cell r="AV9">
            <v>46</v>
          </cell>
          <cell r="AW9">
            <v>47</v>
          </cell>
          <cell r="AX9">
            <v>48</v>
          </cell>
          <cell r="AY9">
            <v>0</v>
          </cell>
        </row>
        <row r="10">
          <cell r="A10" t="str">
            <v>Precious metals and stones</v>
          </cell>
          <cell r="B10">
            <v>0</v>
          </cell>
          <cell r="AY10">
            <v>0</v>
          </cell>
        </row>
        <row r="11">
          <cell r="A11" t="str">
            <v>Касса и краткосрочные средства</v>
          </cell>
          <cell r="B11">
            <v>15156</v>
          </cell>
          <cell r="AY11">
            <v>15156</v>
          </cell>
          <cell r="AZ11">
            <v>-500</v>
          </cell>
        </row>
        <row r="12">
          <cell r="A12" t="str">
            <v>Драгоценные металлы</v>
          </cell>
          <cell r="B12">
            <v>0</v>
          </cell>
          <cell r="AY12">
            <v>0</v>
          </cell>
        </row>
        <row r="13">
          <cell r="A13" t="str">
            <v>Ценные бумаги для перепродажи</v>
          </cell>
          <cell r="B13">
            <v>21538</v>
          </cell>
          <cell r="AY13">
            <v>21538</v>
          </cell>
          <cell r="AZ13">
            <v>0</v>
          </cell>
        </row>
        <row r="14">
          <cell r="A14" t="str">
            <v>Ценные бумаги по договорам репо</v>
          </cell>
          <cell r="B14">
            <v>0</v>
          </cell>
          <cell r="AY14">
            <v>0</v>
          </cell>
        </row>
        <row r="15">
          <cell r="A15" t="str">
            <v>Ссуды и авансовые платежи клиентам</v>
          </cell>
          <cell r="B15">
            <v>42703</v>
          </cell>
          <cell r="AY15">
            <v>42703</v>
          </cell>
          <cell r="AZ15">
            <v>42479</v>
          </cell>
        </row>
        <row r="16">
          <cell r="A16" t="str">
            <v>За вычетом:Резерва на покрытие безнадежных и сомнительныхдолгов</v>
          </cell>
          <cell r="B16">
            <v>-224</v>
          </cell>
          <cell r="AY16">
            <v>-224</v>
          </cell>
        </row>
        <row r="17">
          <cell r="A17" t="str">
            <v>Ссуды и авансовые платежи банкам</v>
          </cell>
          <cell r="B17">
            <v>11400</v>
          </cell>
          <cell r="AY17">
            <v>11400</v>
          </cell>
          <cell r="AZ17">
            <v>11354</v>
          </cell>
        </row>
        <row r="18">
          <cell r="A18" t="str">
            <v>За вычетом:Резерва на покрытие безнадежных и сомнительныхдолгов</v>
          </cell>
          <cell r="B18">
            <v>-46</v>
          </cell>
          <cell r="AY18">
            <v>-46</v>
          </cell>
        </row>
        <row r="19">
          <cell r="A19" t="str">
            <v>Основные средства</v>
          </cell>
          <cell r="B19">
            <v>784</v>
          </cell>
          <cell r="AY19">
            <v>784</v>
          </cell>
          <cell r="AZ19">
            <v>0</v>
          </cell>
        </row>
        <row r="20">
          <cell r="A20" t="str">
            <v xml:space="preserve">Инвестиции в неконсолидированные дочерние, </v>
          </cell>
          <cell r="B20">
            <v>0</v>
          </cell>
          <cell r="AY20">
            <v>0</v>
          </cell>
        </row>
        <row r="21">
          <cell r="A21" t="str">
            <v>ассоциированные компании</v>
          </cell>
          <cell r="B21">
            <v>0</v>
          </cell>
          <cell r="AY21">
            <v>0</v>
          </cell>
        </row>
        <row r="22">
          <cell r="A22" t="str">
            <v xml:space="preserve"> и прочие долгосрочные инвестиции</v>
          </cell>
          <cell r="B22">
            <v>12</v>
          </cell>
          <cell r="AY22">
            <v>12</v>
          </cell>
          <cell r="AZ22">
            <v>-1170</v>
          </cell>
        </row>
        <row r="23">
          <cell r="A23" t="str">
            <v>Резерв под обесценение долгосрочных инвестиций</v>
          </cell>
          <cell r="B23">
            <v>-1182</v>
          </cell>
          <cell r="AY23">
            <v>-1182</v>
          </cell>
        </row>
        <row r="24">
          <cell r="A24" t="str">
            <v xml:space="preserve">Наращенные доходы и отложенные расходы (предоплаты) </v>
          </cell>
          <cell r="B24">
            <v>-500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A25" t="str">
            <v>Прочие активы</v>
          </cell>
          <cell r="B25">
            <v>2295</v>
          </cell>
          <cell r="AY25">
            <v>2295</v>
          </cell>
          <cell r="AZ25">
            <v>2295</v>
          </cell>
        </row>
        <row r="26">
          <cell r="A26" t="str">
            <v>Резерв на покрытие убытков по прочим активам</v>
          </cell>
          <cell r="B26">
            <v>0</v>
          </cell>
        </row>
        <row r="27">
          <cell r="A27" t="str">
            <v>Итого по активам</v>
          </cell>
          <cell r="B27">
            <v>92436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92436</v>
          </cell>
        </row>
        <row r="28">
          <cell r="A28" t="str">
            <v>Customer accounts</v>
          </cell>
          <cell r="B28">
            <v>123</v>
          </cell>
          <cell r="AY28">
            <v>123</v>
          </cell>
        </row>
        <row r="29">
          <cell r="A29" t="str">
            <v>Заемные средства</v>
          </cell>
          <cell r="B29">
            <v>0</v>
          </cell>
          <cell r="AY29">
            <v>0</v>
          </cell>
        </row>
        <row r="30">
          <cell r="A30" t="str">
            <v>Deposits from banks</v>
          </cell>
          <cell r="B30">
            <v>0</v>
          </cell>
          <cell r="AY30">
            <v>0</v>
          </cell>
        </row>
        <row r="31">
          <cell r="A31" t="str">
            <v>Средства клиентов</v>
          </cell>
          <cell r="B31">
            <v>-17709</v>
          </cell>
          <cell r="AY31">
            <v>-17709</v>
          </cell>
        </row>
        <row r="32">
          <cell r="A32" t="str">
            <v>Счета других банков</v>
          </cell>
          <cell r="B32">
            <v>-4000</v>
          </cell>
          <cell r="AY32">
            <v>-4000</v>
          </cell>
        </row>
        <row r="33">
          <cell r="A33" t="str">
            <v>Ценные бумаги, выпущенные Банком</v>
          </cell>
          <cell r="B33">
            <v>-4036</v>
          </cell>
          <cell r="AY33">
            <v>-4036</v>
          </cell>
        </row>
        <row r="34">
          <cell r="A34" t="str">
            <v>Наращенные расходы и отложенные доходы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</row>
        <row r="35">
          <cell r="A35" t="str">
            <v>Прочие заемные средства</v>
          </cell>
          <cell r="B35">
            <v>-29373</v>
          </cell>
          <cell r="AY35">
            <v>-29373</v>
          </cell>
        </row>
        <row r="36">
          <cell r="B36">
            <v>-55118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-55118</v>
          </cell>
        </row>
        <row r="37">
          <cell r="A37" t="str">
            <v>Средства акционеров</v>
          </cell>
          <cell r="B37">
            <v>0</v>
          </cell>
          <cell r="AY37">
            <v>0</v>
          </cell>
        </row>
        <row r="38">
          <cell r="A38" t="str">
            <v>Share premium</v>
          </cell>
          <cell r="B38">
            <v>0</v>
          </cell>
          <cell r="AY38">
            <v>0</v>
          </cell>
        </row>
        <row r="39">
          <cell r="A39" t="str">
            <v>Акционерный капитал</v>
          </cell>
          <cell r="B39">
            <v>-35000</v>
          </cell>
          <cell r="AY39">
            <v>-35000</v>
          </cell>
        </row>
        <row r="40">
          <cell r="A40" t="str">
            <v>Эмиссионный доход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AY40">
            <v>0</v>
          </cell>
          <cell r="AZ40">
            <v>0</v>
          </cell>
        </row>
        <row r="41">
          <cell r="A41" t="str">
            <v>Резерв по переоценке основных средств</v>
          </cell>
          <cell r="B41">
            <v>0</v>
          </cell>
          <cell r="AY41">
            <v>0</v>
          </cell>
        </row>
        <row r="42">
          <cell r="A42" t="str">
            <v>Нераспределенная прибыль и прочие фонды</v>
          </cell>
          <cell r="B42">
            <v>-1467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-1467</v>
          </cell>
          <cell r="AZ42">
            <v>-2318</v>
          </cell>
        </row>
        <row r="43">
          <cell r="A43" t="str">
            <v>Переоценка иностранной валюты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-377</v>
          </cell>
        </row>
        <row r="44">
          <cell r="A44" t="str">
            <v>Прибыль за отчетный период</v>
          </cell>
          <cell r="B44">
            <v>-851</v>
          </cell>
          <cell r="AY44">
            <v>-851</v>
          </cell>
        </row>
        <row r="45">
          <cell r="A45" t="str">
            <v>Итого по заемным средствам и средствам акционеров</v>
          </cell>
          <cell r="B45">
            <v>-92436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-92436</v>
          </cell>
        </row>
        <row r="47">
          <cell r="A47" t="str">
            <v>ПРИБЫЛЬ И УБЫТКИ</v>
          </cell>
          <cell r="B47">
            <v>0</v>
          </cell>
          <cell r="AY47">
            <v>0</v>
          </cell>
        </row>
        <row r="48">
          <cell r="A48" t="str">
            <v>Interest income on securities</v>
          </cell>
          <cell r="B48">
            <v>0</v>
          </cell>
          <cell r="AY48">
            <v>0</v>
          </cell>
        </row>
        <row r="49">
          <cell r="A49" t="str">
            <v>Процентные доходы по ссудам</v>
          </cell>
          <cell r="B49">
            <v>-123271</v>
          </cell>
          <cell r="AY49">
            <v>-123271</v>
          </cell>
        </row>
        <row r="50">
          <cell r="A50" t="str">
            <v>Процентные доходы по ценным бумагам</v>
          </cell>
          <cell r="B50">
            <v>-18214</v>
          </cell>
          <cell r="AY50">
            <v>-18214</v>
          </cell>
        </row>
        <row r="51">
          <cell r="A51" t="str">
            <v>Процентные расходы по счетам клиентов и банков</v>
          </cell>
          <cell r="B51">
            <v>79036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79036</v>
          </cell>
        </row>
        <row r="52">
          <cell r="A52" t="str">
            <v>Процентные расходы по ценным бумагам</v>
          </cell>
          <cell r="B52">
            <v>6032</v>
          </cell>
          <cell r="AY52">
            <v>6032</v>
          </cell>
        </row>
        <row r="53">
          <cell r="A53" t="str">
            <v>Чистые процентные доходы</v>
          </cell>
          <cell r="B53">
            <v>-56417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-56417</v>
          </cell>
        </row>
        <row r="54">
          <cell r="A54" t="str">
            <v>Доходы от платных услуг и комиссионные</v>
          </cell>
          <cell r="B54">
            <v>-14920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-14920</v>
          </cell>
        </row>
        <row r="55">
          <cell r="A55" t="str">
            <v>Расходы на оплату услуг и комиссионные</v>
          </cell>
          <cell r="B55">
            <v>5330</v>
          </cell>
          <cell r="AY55">
            <v>5330</v>
          </cell>
        </row>
        <row r="56">
          <cell r="A56" t="str">
            <v>Чистый доход от валютных операций</v>
          </cell>
          <cell r="B56">
            <v>86</v>
          </cell>
          <cell r="D56">
            <v>0</v>
          </cell>
          <cell r="AY56">
            <v>86</v>
          </cell>
        </row>
        <row r="57">
          <cell r="A57" t="str">
            <v>Чистый доход от переоценки иностранной валюты</v>
          </cell>
          <cell r="B57">
            <v>10166</v>
          </cell>
          <cell r="E57">
            <v>0</v>
          </cell>
          <cell r="AY57">
            <v>10166</v>
          </cell>
        </row>
        <row r="58">
          <cell r="A58" t="str">
            <v>Чистый  доход от операций с ценными бумагами</v>
          </cell>
          <cell r="B58">
            <v>19718</v>
          </cell>
          <cell r="C58">
            <v>0</v>
          </cell>
          <cell r="AY58">
            <v>19718</v>
          </cell>
        </row>
        <row r="59">
          <cell r="A59" t="str">
            <v>Чистый доход от операций с драгметаллами</v>
          </cell>
          <cell r="B59">
            <v>0</v>
          </cell>
          <cell r="AY59">
            <v>0</v>
          </cell>
        </row>
        <row r="60">
          <cell r="A60" t="str">
            <v>Прибыль до налогообложения и отчислений в резервы</v>
          </cell>
          <cell r="B60">
            <v>-562</v>
          </cell>
          <cell r="AY60">
            <v>-562</v>
          </cell>
        </row>
        <row r="61">
          <cell r="A61" t="str">
            <v>Прочие операционные доходы</v>
          </cell>
          <cell r="B61">
            <v>-683</v>
          </cell>
          <cell r="AY61">
            <v>-683</v>
          </cell>
        </row>
        <row r="62">
          <cell r="A62" t="str">
            <v>Резерв на покрытие безнадежных и сомнительных долгов</v>
          </cell>
          <cell r="B62">
            <v>3557</v>
          </cell>
          <cell r="AY62">
            <v>3557</v>
          </cell>
        </row>
        <row r="63">
          <cell r="A63" t="str">
            <v>Резерв под обесценение инвестиций</v>
          </cell>
          <cell r="B63">
            <v>767</v>
          </cell>
          <cell r="AY63">
            <v>767</v>
          </cell>
        </row>
        <row r="64">
          <cell r="A64" t="str">
            <v>Резерв на покрытие убытков по прочим активам</v>
          </cell>
          <cell r="B64">
            <v>0</v>
          </cell>
          <cell r="AY64">
            <v>0</v>
          </cell>
        </row>
        <row r="65">
          <cell r="A65" t="str">
            <v>Расходы на содержание персонала</v>
          </cell>
          <cell r="B65">
            <v>5096</v>
          </cell>
          <cell r="AY65">
            <v>5096</v>
          </cell>
        </row>
        <row r="66">
          <cell r="A66" t="str">
            <v>Общие, хозяйственные и прочие операционные расходы</v>
          </cell>
          <cell r="B66">
            <v>23649</v>
          </cell>
          <cell r="AY66">
            <v>23649</v>
          </cell>
          <cell r="AZ66">
            <v>23649</v>
          </cell>
        </row>
        <row r="67">
          <cell r="A67" t="str">
            <v>Прибыль до налогообложения</v>
          </cell>
          <cell r="B67">
            <v>-4213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-4213</v>
          </cell>
        </row>
        <row r="68">
          <cell r="A68" t="str">
            <v>Дивиденды</v>
          </cell>
          <cell r="AY68">
            <v>0</v>
          </cell>
        </row>
        <row r="69">
          <cell r="A69" t="str">
            <v>Налогообложение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</row>
        <row r="70">
          <cell r="A70" t="str">
            <v>Чистая прибыль</v>
          </cell>
          <cell r="B70">
            <v>-4213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-4213</v>
          </cell>
          <cell r="AZ70" t="str">
            <v>Control: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-377</v>
          </cell>
        </row>
      </sheetData>
      <sheetData sheetId="1"/>
      <sheetData sheetId="2"/>
      <sheetData sheetId="3"/>
      <sheetData sheetId="4"/>
      <sheetData sheetId="5">
        <row r="1">
          <cell r="A1" t="str">
            <v>BFG-Credit   as at 1/07/98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Notes"/>
      <sheetName val="PAJES"/>
      <sheetName val="bonds+shares"/>
      <sheetName val="50905"/>
      <sheetName val="analogs"/>
      <sheetName val="MICEX"/>
      <sheetName val="обороты MICEX"/>
      <sheetName val="PNs"/>
      <sheetName val="50406"/>
      <sheetName val="REPO_bonds"/>
      <sheetName val="50611"/>
      <sheetName val="50113"/>
      <sheetName val="REPO_shares"/>
      <sheetName val="Bloombe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Data</v>
          </cell>
          <cell r="B1" t="str">
            <v>Name</v>
          </cell>
          <cell r="C1" t="str">
            <v>Price</v>
          </cell>
        </row>
        <row r="2">
          <cell r="A2">
            <v>38355</v>
          </cell>
          <cell r="B2" t="str">
            <v>MINFIN7-11</v>
          </cell>
          <cell r="C2">
            <v>84.498000000000005</v>
          </cell>
        </row>
        <row r="3">
          <cell r="A3">
            <v>38355</v>
          </cell>
          <cell r="B3" t="str">
            <v>MINFIN5-08</v>
          </cell>
          <cell r="C3">
            <v>93.135999999999996</v>
          </cell>
        </row>
        <row r="4">
          <cell r="A4">
            <v>38355</v>
          </cell>
          <cell r="B4" t="str">
            <v>MINFIN8-07</v>
          </cell>
          <cell r="C4">
            <v>96.052999999999997</v>
          </cell>
        </row>
        <row r="5">
          <cell r="A5">
            <v>38355</v>
          </cell>
          <cell r="B5" t="str">
            <v>MINFIN6-06</v>
          </cell>
          <cell r="C5">
            <v>98.07</v>
          </cell>
        </row>
        <row r="6">
          <cell r="A6">
            <v>38355</v>
          </cell>
          <cell r="B6" t="str">
            <v>GLOB30</v>
          </cell>
          <cell r="C6">
            <v>103.167</v>
          </cell>
        </row>
        <row r="7">
          <cell r="A7">
            <v>38355</v>
          </cell>
          <cell r="B7" t="str">
            <v>GLOB28</v>
          </cell>
          <cell r="C7">
            <v>164</v>
          </cell>
        </row>
        <row r="8">
          <cell r="A8">
            <v>38355</v>
          </cell>
          <cell r="B8" t="str">
            <v>GLOB18</v>
          </cell>
          <cell r="C8">
            <v>139.75200000000001</v>
          </cell>
        </row>
        <row r="9">
          <cell r="A9">
            <v>38355</v>
          </cell>
          <cell r="B9" t="str">
            <v>GLOB10</v>
          </cell>
          <cell r="C9">
            <v>110.85</v>
          </cell>
        </row>
        <row r="10">
          <cell r="A10">
            <v>38355</v>
          </cell>
          <cell r="B10" t="str">
            <v>GLOB07</v>
          </cell>
          <cell r="C10">
            <v>113.16</v>
          </cell>
        </row>
        <row r="11">
          <cell r="A11">
            <v>38355</v>
          </cell>
          <cell r="B11" t="str">
            <v>GLOB05</v>
          </cell>
          <cell r="C11">
            <v>102.88</v>
          </cell>
        </row>
        <row r="12">
          <cell r="A12">
            <v>38355</v>
          </cell>
          <cell r="B12" t="str">
            <v>ARIES-14</v>
          </cell>
          <cell r="C12">
            <v>123.2427</v>
          </cell>
        </row>
        <row r="13">
          <cell r="A13">
            <v>38355</v>
          </cell>
          <cell r="B13" t="str">
            <v>ALFARU-05</v>
          </cell>
          <cell r="C13">
            <v>102.6756</v>
          </cell>
        </row>
        <row r="14">
          <cell r="A14">
            <v>38355</v>
          </cell>
          <cell r="B14" t="str">
            <v>ALFARU-06</v>
          </cell>
          <cell r="C14">
            <v>100.66249999999999</v>
          </cell>
        </row>
        <row r="15">
          <cell r="A15">
            <v>38355</v>
          </cell>
          <cell r="B15" t="str">
            <v>ALROSA-08</v>
          </cell>
          <cell r="C15">
            <v>103.3182</v>
          </cell>
        </row>
        <row r="16">
          <cell r="A16">
            <v>38355</v>
          </cell>
          <cell r="B16" t="str">
            <v>ALROSA-14</v>
          </cell>
          <cell r="C16">
            <v>103.2745</v>
          </cell>
        </row>
        <row r="17">
          <cell r="A17">
            <v>38355</v>
          </cell>
          <cell r="B17" t="str">
            <v>MoscowBank-09</v>
          </cell>
          <cell r="C17">
            <v>104.71169999999999</v>
          </cell>
        </row>
        <row r="18">
          <cell r="A18">
            <v>38355</v>
          </cell>
          <cell r="B18" t="str">
            <v>EVRAZ-06</v>
          </cell>
          <cell r="C18">
            <v>102.1439</v>
          </cell>
        </row>
        <row r="19">
          <cell r="A19">
            <v>38355</v>
          </cell>
          <cell r="B19" t="str">
            <v>EVRAZ-09</v>
          </cell>
          <cell r="C19">
            <v>107.3035</v>
          </cell>
        </row>
        <row r="20">
          <cell r="A20">
            <v>38355</v>
          </cell>
          <cell r="B20" t="str">
            <v>GazPromBank-08</v>
          </cell>
          <cell r="C20">
            <v>104.6138</v>
          </cell>
        </row>
        <row r="21">
          <cell r="A21">
            <v>38355</v>
          </cell>
          <cell r="B21" t="str">
            <v>GAZPRU-07</v>
          </cell>
          <cell r="C21">
            <v>109.3122</v>
          </cell>
        </row>
        <row r="22">
          <cell r="A22">
            <v>38355</v>
          </cell>
          <cell r="B22" t="str">
            <v>GAZPRU-09</v>
          </cell>
          <cell r="C22">
            <v>119.3445</v>
          </cell>
        </row>
        <row r="23">
          <cell r="A23">
            <v>38355</v>
          </cell>
          <cell r="B23" t="str">
            <v>GAZPRU-13</v>
          </cell>
          <cell r="C23">
            <v>118.4858</v>
          </cell>
        </row>
        <row r="24">
          <cell r="A24">
            <v>38355</v>
          </cell>
          <cell r="B24" t="str">
            <v>GAZPRU-20</v>
          </cell>
          <cell r="C24">
            <v>106.48350000000001</v>
          </cell>
        </row>
        <row r="25">
          <cell r="A25">
            <v>38355</v>
          </cell>
          <cell r="B25" t="str">
            <v>GAZPRU-34</v>
          </cell>
          <cell r="C25">
            <v>117.4063</v>
          </cell>
        </row>
        <row r="26">
          <cell r="A26">
            <v>38355</v>
          </cell>
          <cell r="B26" t="str">
            <v>LUKOIL-07</v>
          </cell>
          <cell r="C26">
            <v>155.44829999999999</v>
          </cell>
        </row>
        <row r="27">
          <cell r="A27">
            <v>38355</v>
          </cell>
          <cell r="B27" t="str">
            <v>MDM-05</v>
          </cell>
          <cell r="C27">
            <v>102.858</v>
          </cell>
        </row>
        <row r="28">
          <cell r="A28">
            <v>38355</v>
          </cell>
          <cell r="B28" t="str">
            <v>MDM-06</v>
          </cell>
          <cell r="C28">
            <v>101.74379999999999</v>
          </cell>
        </row>
        <row r="29">
          <cell r="A29">
            <v>38355</v>
          </cell>
          <cell r="B29" t="str">
            <v>Megafon-09</v>
          </cell>
          <cell r="C29">
            <v>99.251800000000003</v>
          </cell>
        </row>
        <row r="30">
          <cell r="A30">
            <v>38355</v>
          </cell>
          <cell r="B30" t="str">
            <v>MMK-08</v>
          </cell>
          <cell r="C30">
            <v>101.48390000000001</v>
          </cell>
        </row>
        <row r="31">
          <cell r="A31">
            <v>38355</v>
          </cell>
          <cell r="B31" t="str">
            <v>MTS-08</v>
          </cell>
          <cell r="C31">
            <v>106.1688</v>
          </cell>
        </row>
        <row r="32">
          <cell r="A32">
            <v>38355</v>
          </cell>
          <cell r="B32" t="str">
            <v>MTS-10</v>
          </cell>
          <cell r="C32">
            <v>102.3477</v>
          </cell>
        </row>
        <row r="33">
          <cell r="A33">
            <v>38355</v>
          </cell>
          <cell r="B33" t="str">
            <v>NIKoil-07</v>
          </cell>
          <cell r="C33">
            <v>100.6678</v>
          </cell>
        </row>
        <row r="34">
          <cell r="A34">
            <v>38355</v>
          </cell>
          <cell r="B34" t="str">
            <v>NoMosBank-07</v>
          </cell>
          <cell r="C34">
            <v>100.47799999999999</v>
          </cell>
        </row>
        <row r="35">
          <cell r="A35">
            <v>38355</v>
          </cell>
          <cell r="B35" t="str">
            <v>NorNickel-09</v>
          </cell>
          <cell r="C35">
            <v>98.325000000000003</v>
          </cell>
        </row>
        <row r="36">
          <cell r="A36">
            <v>38355</v>
          </cell>
          <cell r="B36" t="str">
            <v>PetroCom-07</v>
          </cell>
          <cell r="C36">
            <v>101.6117</v>
          </cell>
        </row>
        <row r="37">
          <cell r="A37">
            <v>38355</v>
          </cell>
          <cell r="B37" t="str">
            <v>PromSvBank-06</v>
          </cell>
          <cell r="C37">
            <v>100.1711</v>
          </cell>
        </row>
        <row r="38">
          <cell r="A38">
            <v>38355</v>
          </cell>
          <cell r="B38" t="str">
            <v>ROSNEFT-06</v>
          </cell>
          <cell r="C38">
            <v>114.8582</v>
          </cell>
        </row>
        <row r="39">
          <cell r="A39">
            <v>38355</v>
          </cell>
          <cell r="B39" t="str">
            <v>Rosbank-09</v>
          </cell>
          <cell r="C39">
            <v>102</v>
          </cell>
        </row>
        <row r="40">
          <cell r="A40">
            <v>38355</v>
          </cell>
          <cell r="B40" t="str">
            <v>RusStBank-07</v>
          </cell>
          <cell r="C40">
            <v>100.7837</v>
          </cell>
        </row>
        <row r="41">
          <cell r="A41">
            <v>38355</v>
          </cell>
          <cell r="B41" t="str">
            <v>Sberbank-06</v>
          </cell>
          <cell r="C41">
            <v>100.92010000000001</v>
          </cell>
        </row>
        <row r="42">
          <cell r="A42">
            <v>38355</v>
          </cell>
          <cell r="B42" t="str">
            <v>SevStal-09</v>
          </cell>
          <cell r="C42">
            <v>101.1318</v>
          </cell>
        </row>
        <row r="43">
          <cell r="A43">
            <v>38355</v>
          </cell>
          <cell r="B43" t="str">
            <v>SevStal-14</v>
          </cell>
          <cell r="C43">
            <v>100.5831</v>
          </cell>
        </row>
        <row r="44">
          <cell r="A44">
            <v>38355</v>
          </cell>
          <cell r="B44" t="str">
            <v>SIBNEFT-09</v>
          </cell>
          <cell r="C44">
            <v>106.8108</v>
          </cell>
        </row>
        <row r="45">
          <cell r="A45">
            <v>38355</v>
          </cell>
          <cell r="B45" t="str">
            <v>SIBNEFT-07</v>
          </cell>
          <cell r="C45">
            <v>106.86879999999999</v>
          </cell>
        </row>
        <row r="46">
          <cell r="A46">
            <v>38355</v>
          </cell>
          <cell r="B46" t="str">
            <v>SISTEMA-08</v>
          </cell>
          <cell r="C46">
            <v>105.75530000000001</v>
          </cell>
        </row>
        <row r="47">
          <cell r="A47">
            <v>38355</v>
          </cell>
          <cell r="B47" t="str">
            <v>SISTEMA-11</v>
          </cell>
          <cell r="C47">
            <v>102.14409999999999</v>
          </cell>
        </row>
        <row r="48">
          <cell r="A48">
            <v>38355</v>
          </cell>
          <cell r="B48" t="str">
            <v>TNK-07</v>
          </cell>
          <cell r="C48">
            <v>113.98560000000001</v>
          </cell>
        </row>
        <row r="49">
          <cell r="A49">
            <v>38355</v>
          </cell>
          <cell r="B49" t="str">
            <v>UralSib-06</v>
          </cell>
          <cell r="C49">
            <v>100.5369</v>
          </cell>
        </row>
        <row r="50">
          <cell r="A50">
            <v>38355</v>
          </cell>
          <cell r="B50" t="str">
            <v>VIP-05</v>
          </cell>
          <cell r="C50">
            <v>101.675</v>
          </cell>
        </row>
        <row r="51">
          <cell r="A51">
            <v>38355</v>
          </cell>
          <cell r="B51" t="str">
            <v>VIP-11</v>
          </cell>
          <cell r="C51">
            <v>100.3925</v>
          </cell>
        </row>
        <row r="52">
          <cell r="A52">
            <v>38355</v>
          </cell>
          <cell r="B52" t="str">
            <v>VTB-08</v>
          </cell>
          <cell r="C52">
            <v>105.1686</v>
          </cell>
        </row>
        <row r="53">
          <cell r="A53">
            <v>38355</v>
          </cell>
          <cell r="B53" t="str">
            <v>VTB-11</v>
          </cell>
          <cell r="C53">
            <v>107.6896</v>
          </cell>
        </row>
        <row r="54">
          <cell r="A54">
            <v>38355</v>
          </cell>
          <cell r="B54" t="str">
            <v>WBD-08</v>
          </cell>
          <cell r="C54">
            <v>99.656999999999996</v>
          </cell>
        </row>
        <row r="55">
          <cell r="A55">
            <v>38355</v>
          </cell>
          <cell r="B55" t="str">
            <v>ZENIT-06</v>
          </cell>
          <cell r="C55">
            <v>101.7662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P18_PROG"/>
    </sheetNames>
    <definedNames>
      <definedName name="cbCancel_Click"/>
      <definedName name="cbSelectDirPressed"/>
      <definedName name="cbSummarizeClick"/>
      <definedName name="ddlbMonthChange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1"/>
      <sheetName val="\\Ruwcc90"/>
    </sheetNames>
    <definedNames>
      <definedName name="cbOKClick"/>
      <definedName name="StartDialogModule.cbSelectDirPressed"/>
    </defined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а"/>
      <sheetName val="1.2а"/>
      <sheetName val="2.1а"/>
      <sheetName val="2.2а"/>
      <sheetName val="3.1а"/>
      <sheetName val="3.2а"/>
      <sheetName val="3.3а"/>
      <sheetName val="РВД"/>
      <sheetName val="РВД(филиалы)"/>
      <sheetName val="Филиалы"/>
      <sheetName val="БДДС"/>
      <sheetName val="ИД-1"/>
      <sheetName val="ИД-2.1"/>
      <sheetName val="ИД-2.2"/>
      <sheetName val="Резервы"/>
      <sheetName val="P@L"/>
      <sheetName val="BS"/>
      <sheetName val="Оборотный баланс"/>
      <sheetName val="Отчет 6 мес.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Sheet2"/>
      <sheetName val="a1108209"/>
      <sheetName val="ДСП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рма №8"/>
      <sheetName val="Резервы на 31_12_04"/>
      <sheetName val="РНП РПНУ"/>
      <sheetName val="РЗУ"/>
    </sheetNames>
    <sheetDataSet>
      <sheetData sheetId="0"/>
      <sheetData sheetId="1" refreshError="1">
        <row r="7">
          <cell r="D7">
            <v>37.810400000000001</v>
          </cell>
        </row>
      </sheetData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enliste 092005"/>
      <sheetName val="Tabelle1"/>
      <sheetName val="Резервы на 31_12_04"/>
    </sheetNames>
    <sheetDataSet>
      <sheetData sheetId="0"/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GKO-OFZ MICEX 301204"/>
      <sheetName val="Russian Eurobonds"/>
      <sheetName val="Non-Russian Eurobonds"/>
      <sheetName val="OVVZ"/>
      <sheetName val="Eurobond Calendar"/>
      <sheetName val="Corp Shares MICEX 301204"/>
      <sheetName val="Corp Shares MICEX 291204"/>
      <sheetName val="Corp shares RTS 301204"/>
      <sheetName val="Corp shares RTS 291204"/>
      <sheetName val="Gazprom on SPBEX-RTS"/>
      <sheetName val="ADR&amp;GDRs 301204"/>
      <sheetName val="RTS board 301204"/>
      <sheetName val="RTS board 291204"/>
      <sheetName val="Shares OTC 301204"/>
      <sheetName val="Muni Bonds MICEX 301204"/>
      <sheetName val="Muni Bonds MICEX 291204"/>
      <sheetName val="Munis SPCEX 301204"/>
      <sheetName val="Munis SPCEX 291204"/>
      <sheetName val="CorpBoE 301204"/>
      <sheetName val="Corp Bonds MICEX 301204"/>
      <sheetName val="Corp Bonds MICEX 291204"/>
      <sheetName val="PIFs 301204"/>
      <sheetName val="accrued coupon"/>
      <sheetName val="12mo history"/>
      <sheetName val="12mo equity"/>
      <sheetName val="Additional Bonds"/>
      <sheetName val="Gazprom on SPBEX_RTS"/>
      <sheetName val="Tabel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ный лист"/>
      <sheetName val="Объем фондирования"/>
      <sheetName val="Корпоративный фонд"/>
      <sheetName val="Note 24 Pensions"/>
      <sheetName val="summary"/>
      <sheetName val="выплаты"/>
      <sheetName val="платежи в Фонд"/>
      <sheetName val="Sovag"/>
      <sheetName val="77162"/>
      <sheetName val="Pension cost 31.12.2005"/>
      <sheetName val="retired 31.12.2005"/>
      <sheetName val="ACTIVE 31.12.2005"/>
      <sheetName val="Pension cost 31.12.2004"/>
      <sheetName val="retired 31.12.2004"/>
      <sheetName val="ACTIVE 31.12.2004"/>
      <sheetName val="Pension cost (2)31.12.2003"/>
      <sheetName val="Pension obligation 31.12.2003"/>
      <sheetName val="Pension cost 31_12_2004"/>
      <sheetName val="Pension cost _2_31_12_2003"/>
      <sheetName val="Gazprom on SPBEX-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эфф"/>
      <sheetName val="Анализ_норм"/>
      <sheetName val="Свод_проекты"/>
      <sheetName val="показатели"/>
      <sheetName val="Инвест_тек"/>
      <sheetName val="Инвестиции"/>
      <sheetName val="прогр_реал"/>
      <sheetName val="прогр_пр-ва"/>
      <sheetName val="труд"/>
      <sheetName val="приб_уб"/>
      <sheetName val="Оборот_кап"/>
      <sheetName val="Фин_план"/>
      <sheetName val="админ_расх"/>
      <sheetName val="прогр"/>
      <sheetName val="накладн_расх"/>
      <sheetName val="налог_план"/>
      <sheetName val="Услуги"/>
      <sheetName val="всп_цеха"/>
      <sheetName val="Распоряжение"/>
      <sheetName val="калькуляции"/>
      <sheetName val="калк"/>
      <sheetName val="калькуляции (2)"/>
      <sheetName val="1.TB"/>
      <sheetName val="Ф-25 дол."/>
      <sheetName val="?????"/>
      <sheetName val="ПП"/>
      <sheetName val="Лист1"/>
      <sheetName val="К см общая"/>
      <sheetName val="кр см УРАД"/>
      <sheetName val="К см СЦ"/>
      <sheetName val="ДЛ см СЦ"/>
      <sheetName val="дл смета УРАД СЦ"/>
      <sheetName val="кор смета УРАД СЦ"/>
      <sheetName val="ЦР"/>
      <sheetName val="Ус УРМО ОТиЗ"/>
      <sheetName val="Ус ГПМ ОТиЗ"/>
      <sheetName val="услуги 1,2 ОТиЗ"/>
      <sheetName val="Прих ОТиЗ"/>
      <sheetName val="Расценка ОТиЗ"/>
      <sheetName val="5745"/>
      <sheetName val="revenu"/>
      <sheetName val="5204"/>
      <sheetName val="5202"/>
      <sheetName val="prim"/>
      <sheetName val="cnss"/>
      <sheetName val="3200"/>
      <sheetName val="5500-5560"/>
      <sheetName val="change"/>
      <sheetName val="5209-5745"/>
      <sheetName val="5200"/>
      <sheetName val="5300"/>
      <sheetName val="5163"/>
      <sheetName val="5590"/>
      <sheetName val="5410-5510"/>
      <sheetName val="5640-5641"/>
      <sheetName val="5540-8726"/>
      <sheetName val="5250"/>
      <sheetName val="5360- 5369"/>
      <sheetName val="edg"/>
      <sheetName val="464"/>
      <sheetName val="vent"/>
      <sheetName val="Rubriques"/>
      <sheetName val="mois"/>
      <sheetName val="budgets"/>
      <sheetName val="июль без к_р"/>
      <sheetName val="07 2005"/>
      <sheetName val="Услуги на 07 2005"/>
      <sheetName val="октябрь без к_р"/>
      <sheetName val="10 2005"/>
      <sheetName val="Услуги на 10 2005"/>
      <sheetName val="№18 ТМЦ "/>
      <sheetName val="свод 02"/>
      <sheetName val="ПРиЗ Ахб 02"/>
      <sheetName val="Приз 02"/>
      <sheetName val="смета 2006 год"/>
      <sheetName val="Смета ХАЗ"/>
      <sheetName val="Смета "/>
      <sheetName val="стр1"/>
      <sheetName val="стр1 (2)"/>
      <sheetName val="стр1 (3)"/>
      <sheetName val="по блокам"/>
      <sheetName val="1"/>
      <sheetName val="1-1"/>
      <sheetName val="1-2"/>
      <sheetName val="1-3"/>
      <sheetName val="2НЗП"/>
      <sheetName val="2сырье"/>
      <sheetName val="2-1"/>
      <sheetName val="2-2"/>
      <sheetName val="2-3"/>
      <sheetName val="2-4"/>
      <sheetName val="2-4 ст-ть"/>
      <sheetName val="1-2КБ"/>
      <sheetName val="1КБ"/>
      <sheetName val="1-3КБ"/>
      <sheetName val="1-4КБ"/>
      <sheetName val="2-1КБ"/>
      <sheetName val="2-2КБ"/>
      <sheetName val="2КБ"/>
      <sheetName val="3КБ"/>
      <sheetName val="5КБ"/>
      <sheetName val="ФОТ к утверждению"/>
      <sheetName val="Ф1"/>
      <sheetName val="2-3КБ"/>
      <sheetName val="Ф2.2 н"/>
      <sheetName val="Ф2.2 б"/>
      <sheetName val="3 1"/>
      <sheetName val="Ф 3 1"/>
      <sheetName val="Ф3"/>
      <sheetName val="Ф5-1"/>
      <sheetName val="Ф4"/>
      <sheetName val="Ф6"/>
      <sheetName val="Ф6 (2)"/>
      <sheetName val="Ф7"/>
      <sheetName val="Ф9"/>
      <sheetName val="Ф10"/>
      <sheetName val="Ф11 (по мес)"/>
      <sheetName val="Ф11"/>
      <sheetName val="Ф12"/>
      <sheetName val="Св бал"/>
      <sheetName val="Дох расх"/>
      <sheetName val="НДС"/>
      <sheetName val="ВАР"/>
      <sheetName val="Расходы"/>
      <sheetName val="3-Илова_Final"/>
    </sheetNames>
    <sheetDataSet>
      <sheetData sheetId="0" refreshError="1">
        <row r="1">
          <cell r="B1">
            <v>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114-Свод"/>
      <sheetName val="Корректир."/>
      <sheetName val="Корректир_"/>
      <sheetName val="Коэфф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г"/>
      <sheetName val="титул"/>
      <sheetName val="вариант_2002"/>
      <sheetName val="смета_$"/>
      <sheetName val="смета_вал"/>
      <sheetName val="ТП"/>
      <sheetName val="реал"/>
      <sheetName val="балансAL"/>
      <sheetName val="услуги_пром"/>
      <sheetName val="услуги_непром"/>
      <sheetName val="план"/>
      <sheetName val="сырец"/>
      <sheetName val="норма"/>
      <sheetName val="норма_сплавы"/>
      <sheetName val="норма _кап"/>
      <sheetName val="НЗП"/>
      <sheetName val="сырьеV"/>
      <sheetName val="сырье"/>
      <sheetName val="всп_мат"/>
      <sheetName val="всп_сод"/>
      <sheetName val="всп_нор"/>
      <sheetName val="ремонт"/>
      <sheetName val="энергия"/>
      <sheetName val="топливо"/>
      <sheetName val="износ"/>
      <sheetName val="зп"/>
      <sheetName val="зп_отч"/>
      <sheetName val="прочие"/>
      <sheetName val="043"/>
      <sheetName val="043_01"/>
      <sheetName val="инвест"/>
      <sheetName val="инвест$"/>
      <sheetName val="соц_прогр"/>
      <sheetName val="фонд_накопл"/>
      <sheetName val="ан_м"/>
      <sheetName val="фл_кр"/>
      <sheetName val="рег_кр"/>
      <sheetName val="с_пр"/>
      <sheetName val="с_т"/>
      <sheetName val="с_пер"/>
      <sheetName val="распр"/>
      <sheetName val="ч_м_пр"/>
      <sheetName val="ч_м_т"/>
      <sheetName val="ч_кр_т"/>
      <sheetName val="ч_м_пер"/>
      <sheetName val="ч_кр_пер"/>
      <sheetName val="1050_пер"/>
      <sheetName val="пл_пер"/>
      <sheetName val="А5Е_пер"/>
      <sheetName val="АВЕ_пер"/>
      <sheetName val="сил_пер"/>
      <sheetName val="9ПЧ_пер"/>
      <sheetName val="АК10М2Н_пер"/>
      <sheetName val="шины_пер"/>
      <sheetName val="шины_вт_пр"/>
      <sheetName val="штанги_пр"/>
      <sheetName val="шины_лом_пр"/>
      <sheetName val="пл_пр"/>
      <sheetName val="шины_пр"/>
      <sheetName val="чм_лом_пр"/>
      <sheetName val="свод_ГП"/>
      <sheetName val="свод_сырец"/>
      <sheetName val="Корректир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сроч. задолж 2005 год"/>
      <sheetName val="Map"/>
    </sheetNames>
    <sheetDataSet>
      <sheetData sheetId="0" refreshError="1"/>
      <sheetData sheetId="1" refreshError="1">
        <row r="1">
          <cell r="A1" t="str">
            <v>INGO#</v>
          </cell>
          <cell r="B1" t="str">
            <v>IGS#</v>
          </cell>
          <cell r="C1" t="str">
            <v>Ukrainian INGO</v>
          </cell>
          <cell r="D1" t="str">
            <v>Russian INGO</v>
          </cell>
          <cell r="E1" t="str">
            <v>Russian IGS</v>
          </cell>
          <cell r="F1" t="str">
            <v>English IGS</v>
          </cell>
        </row>
        <row r="2">
          <cell r="A2" t="str">
            <v>01</v>
          </cell>
          <cell r="B2" t="str">
            <v>05</v>
          </cell>
          <cell r="C2" t="str">
            <v>01. Страхування майна</v>
          </cell>
          <cell r="D2" t="str">
            <v>01. Страхование имущества от огневых рисков</v>
          </cell>
          <cell r="E2" t="str">
            <v>05.Страхование от огня и сопутств. рисков, строит. рисков</v>
          </cell>
          <cell r="F2" t="str">
            <v>Fire &amp; allied perils and construction risks</v>
          </cell>
        </row>
        <row r="3">
          <cell r="A3" t="str">
            <v>02</v>
          </cell>
          <cell r="B3" t="str">
            <v>01</v>
          </cell>
          <cell r="C3" t="str">
            <v>02. Страхування вантажів</v>
          </cell>
          <cell r="D3" t="str">
            <v>02. Страхование грузов</v>
          </cell>
          <cell r="E3" t="str">
            <v>01. Страхование грузов</v>
          </cell>
          <cell r="F3" t="str">
            <v>Cargo</v>
          </cell>
        </row>
        <row r="4">
          <cell r="A4" t="str">
            <v>03</v>
          </cell>
          <cell r="B4" t="str">
            <v>08</v>
          </cell>
          <cell r="C4" t="str">
            <v>03. Страхування ЦВ водіїв (КАСКО)</v>
          </cell>
          <cell r="D4" t="str">
            <v>03. Страхование ГО владельцев транспортных ср-ств (добров.)</v>
          </cell>
          <cell r="E4" t="str">
            <v>08. Страхование автогражданской ответственности</v>
          </cell>
          <cell r="F4" t="str">
            <v>Motor hull and liability</v>
          </cell>
        </row>
        <row r="5">
          <cell r="A5" t="str">
            <v>04</v>
          </cell>
          <cell r="B5" t="str">
            <v>08</v>
          </cell>
          <cell r="C5" t="str">
            <v>04. Добровільне страхування від НВ водіїв та пасажирів (КАСКО)</v>
          </cell>
          <cell r="D5" t="str">
            <v>04. Страхование от НС водителей и пассажиров на тр-рте(добров.)</v>
          </cell>
          <cell r="E5" t="str">
            <v>08. Страхование автогражданской ответственности</v>
          </cell>
          <cell r="F5" t="str">
            <v>Motor hull and liability</v>
          </cell>
        </row>
        <row r="6">
          <cell r="A6" t="str">
            <v>05</v>
          </cell>
          <cell r="B6" t="str">
            <v>07</v>
          </cell>
          <cell r="C6" t="str">
            <v>05. КАСКО страхування автотранспортних засобів (добровільне)</v>
          </cell>
          <cell r="D6" t="str">
            <v>05. Страхование автотранспорта (КАСКО)</v>
          </cell>
          <cell r="E6" t="str">
            <v>07. Страхование автокаско</v>
          </cell>
          <cell r="F6" t="str">
            <v>Motor hull and liability</v>
          </cell>
        </row>
        <row r="7">
          <cell r="A7" t="str">
            <v>06</v>
          </cell>
          <cell r="B7" t="str">
            <v>10</v>
          </cell>
          <cell r="C7" t="str">
            <v>06. Медичне страхування туристів (Інгосстрах)</v>
          </cell>
          <cell r="D7" t="str">
            <v>06. Страхование  выезжающих за рубеж</v>
          </cell>
          <cell r="E7" t="str">
            <v>10. Страхование путешествующих</v>
          </cell>
          <cell r="F7" t="str">
            <v>Personal</v>
          </cell>
        </row>
        <row r="8">
          <cell r="A8" t="str">
            <v>07</v>
          </cell>
          <cell r="B8" t="str">
            <v>04</v>
          </cell>
          <cell r="C8" t="str">
            <v>07. Страхування відповідальності перед митними органами (TIR-корнет)</v>
          </cell>
          <cell r="D8" t="str">
            <v>07. Страхование по книжкам МДП</v>
          </cell>
          <cell r="E8" t="str">
            <v>04.Страхование ответственности неморских перевозчиков</v>
          </cell>
          <cell r="F8" t="str">
            <v>P&amp;I</v>
          </cell>
        </row>
        <row r="9">
          <cell r="A9" t="str">
            <v>08</v>
          </cell>
          <cell r="B9" t="str">
            <v>04</v>
          </cell>
          <cell r="C9" t="str">
            <v>08. Страхування відповідальності перевізників та експедиторів CMR</v>
          </cell>
          <cell r="D9" t="str">
            <v>08. Страхование ответственности  перевозчиков и экспедиторов</v>
          </cell>
          <cell r="E9" t="str">
            <v>04.Страхование ответственности неморских перевозчиков</v>
          </cell>
          <cell r="F9" t="str">
            <v>P&amp;I</v>
          </cell>
        </row>
        <row r="10">
          <cell r="A10" t="str">
            <v>09</v>
          </cell>
          <cell r="B10" t="str">
            <v>04</v>
          </cell>
          <cell r="C10" t="str">
            <v>09. Страхування медичних витрат водіїв при виїзді за кордон</v>
          </cell>
          <cell r="D10" t="str">
            <v>09. Страхование водителей, выезжающих за рубеж</v>
          </cell>
          <cell r="E10" t="str">
            <v>04.Страхование ответственности неморских перевозчиков</v>
          </cell>
          <cell r="F10" t="str">
            <v>P&amp;I</v>
          </cell>
        </row>
        <row r="11">
          <cell r="A11" t="str">
            <v>10</v>
          </cell>
          <cell r="B11" t="str">
            <v>09</v>
          </cell>
          <cell r="C11" t="str">
            <v>10. Добровільне медичне страхування</v>
          </cell>
          <cell r="D11" t="str">
            <v>10. Страхование здоровья на случай болезни (добровольное)</v>
          </cell>
          <cell r="E11" t="str">
            <v>09. Медицинское страхование</v>
          </cell>
          <cell r="F11" t="str">
            <v>Personal</v>
          </cell>
        </row>
        <row r="12">
          <cell r="A12" t="str">
            <v>11</v>
          </cell>
          <cell r="B12" t="str">
            <v>06</v>
          </cell>
          <cell r="C12" t="str">
            <v>11. Страхування ЦВ аеропортів</v>
          </cell>
          <cell r="D12" t="str">
            <v>11. Страхование ГО аэропорта</v>
          </cell>
          <cell r="E12" t="str">
            <v>06.Страхование воздушных судов и ответственности</v>
          </cell>
          <cell r="F12" t="str">
            <v>Aviation hull and liability</v>
          </cell>
        </row>
        <row r="13">
          <cell r="A13" t="str">
            <v>12</v>
          </cell>
          <cell r="B13" t="str">
            <v>02</v>
          </cell>
          <cell r="C13" t="str">
            <v>12. КАСКО страхування морських суден (добровільне)</v>
          </cell>
          <cell r="D13" t="str">
            <v>12. Страхование КАСКО морских суден</v>
          </cell>
          <cell r="E13" t="str">
            <v>02. Страхование судов</v>
          </cell>
          <cell r="F13" t="str">
            <v>Marine hull</v>
          </cell>
        </row>
        <row r="14">
          <cell r="A14" t="str">
            <v>13</v>
          </cell>
          <cell r="B14" t="str">
            <v>08</v>
          </cell>
          <cell r="D14" t="str">
            <v>13. Страх. ГО "Синяя карта" владельцев транспорта в СНГ</v>
          </cell>
          <cell r="E14" t="str">
            <v>08. Страхование автогражданской ответственности</v>
          </cell>
          <cell r="F14" t="str">
            <v>Motor hull and liability</v>
          </cell>
        </row>
        <row r="15">
          <cell r="A15" t="str">
            <v>14</v>
          </cell>
          <cell r="B15" t="str">
            <v>03</v>
          </cell>
          <cell r="D15" t="str">
            <v>14. Страхование ответственности  судовладельца</v>
          </cell>
          <cell r="E15" t="str">
            <v>03. Страхование ответственности судовладельцев</v>
          </cell>
          <cell r="F15" t="str">
            <v>Non–marine carriers’ liability</v>
          </cell>
        </row>
        <row r="16">
          <cell r="A16" t="str">
            <v>15</v>
          </cell>
          <cell r="B16" t="str">
            <v>08</v>
          </cell>
          <cell r="C16" t="str">
            <v>15. Страхування ЦВ на території України (обов'язкове)</v>
          </cell>
          <cell r="D16" t="str">
            <v xml:space="preserve">15. Страхование ОГО владельцев транспортных ср-ств </v>
          </cell>
          <cell r="E16" t="str">
            <v>08. Страхование автогражданской ответственности</v>
          </cell>
          <cell r="F16" t="str">
            <v>Motor hull and liability</v>
          </cell>
        </row>
        <row r="17">
          <cell r="A17" t="str">
            <v>16</v>
          </cell>
          <cell r="B17" t="str">
            <v>08</v>
          </cell>
          <cell r="C17" t="str">
            <v>16. Обов'язкове особисте страхування від НВ на транспорті</v>
          </cell>
          <cell r="D17" t="str">
            <v>16. Страхование от НС водителей и пассажиров на тр-рте(обязат.)</v>
          </cell>
          <cell r="E17" t="str">
            <v>08. Страхование автогражданской ответственности</v>
          </cell>
          <cell r="F17" t="str">
            <v>Motor hull and liability</v>
          </cell>
        </row>
        <row r="18">
          <cell r="A18" t="str">
            <v>17</v>
          </cell>
          <cell r="B18" t="str">
            <v>05</v>
          </cell>
          <cell r="C18" t="str">
            <v>17. Страхування ЦВ операт. ядерної установки</v>
          </cell>
          <cell r="D18" t="str">
            <v>17. Страхование ответственности операторов ядерных установок</v>
          </cell>
          <cell r="E18" t="str">
            <v>05.Страхование от огня и сопутств. рисков, строит. рисков</v>
          </cell>
          <cell r="F18" t="str">
            <v>Fire &amp; allied perils and construction risks</v>
          </cell>
        </row>
        <row r="19">
          <cell r="A19" t="str">
            <v>18</v>
          </cell>
          <cell r="B19" t="str">
            <v>05</v>
          </cell>
          <cell r="C19" t="str">
            <v>18. Страхування фінансових ризиків</v>
          </cell>
          <cell r="D19" t="str">
            <v>18. Страхование финансовых рисков</v>
          </cell>
          <cell r="E19" t="str">
            <v>05.Страхование от огня и сопутств. рисков, строит. рисков</v>
          </cell>
          <cell r="F19" t="str">
            <v>Fire &amp; allied perils and construction risks</v>
          </cell>
        </row>
        <row r="20">
          <cell r="A20" t="str">
            <v>19</v>
          </cell>
          <cell r="B20" t="str">
            <v>05</v>
          </cell>
          <cell r="C20" t="str">
            <v>19. Страхування ЦВ власників зброї</v>
          </cell>
          <cell r="D20" t="str">
            <v>19. Страхование ГО владельцев оружия</v>
          </cell>
          <cell r="E20" t="str">
            <v>05.Страхование от огня и сопутств. рисков, строит. рисков</v>
          </cell>
          <cell r="F20" t="str">
            <v>Fire &amp; allied perils and construction risks</v>
          </cell>
        </row>
        <row r="21">
          <cell r="A21" t="str">
            <v>20</v>
          </cell>
          <cell r="B21" t="str">
            <v>04</v>
          </cell>
          <cell r="C21" t="str">
            <v>20. Страхування відповідальності експедиторів</v>
          </cell>
          <cell r="D21" t="str">
            <v>20. Страхование ответственности экспедиторов</v>
          </cell>
          <cell r="E21" t="str">
            <v>04.Страхование ответственности неморских перевозчиков</v>
          </cell>
          <cell r="F21" t="str">
            <v>P&amp;I</v>
          </cell>
        </row>
        <row r="22">
          <cell r="A22" t="str">
            <v>21</v>
          </cell>
          <cell r="B22" t="str">
            <v>08</v>
          </cell>
          <cell r="C22" t="str">
            <v>21. Страхування ЦВ "Зелена картка" на території третіх країн (обов'язкове)</v>
          </cell>
          <cell r="D22" t="str">
            <v>21. Страхование ГО по "Зеленой карте" Украины</v>
          </cell>
          <cell r="E22" t="str">
            <v>08. Страхование автогражданской ответственности</v>
          </cell>
          <cell r="F22" t="str">
            <v>Motor hull and liability</v>
          </cell>
        </row>
        <row r="23">
          <cell r="A23" t="str">
            <v>22</v>
          </cell>
          <cell r="B23" t="str">
            <v>11</v>
          </cell>
          <cell r="C23" t="str">
            <v>22. Пограничне страхування/мед НВ</v>
          </cell>
          <cell r="D23" t="str">
            <v>22. Страхование от несчастного случая (мед.)</v>
          </cell>
          <cell r="E23" t="str">
            <v>11. Страхование от н/с</v>
          </cell>
          <cell r="F23" t="str">
            <v>Personal</v>
          </cell>
        </row>
        <row r="24">
          <cell r="A24" t="str">
            <v>23</v>
          </cell>
          <cell r="B24" t="str">
            <v>04</v>
          </cell>
          <cell r="D24" t="str">
            <v>23. Страхование железнодорожного транспорта</v>
          </cell>
          <cell r="E24" t="str">
            <v>04.Страхование ответственности неморских перевозчиков</v>
          </cell>
          <cell r="F24" t="str">
            <v>P&amp;I</v>
          </cell>
        </row>
        <row r="25">
          <cell r="A25" t="str">
            <v>24</v>
          </cell>
          <cell r="B25" t="str">
            <v>01</v>
          </cell>
          <cell r="C25" t="str">
            <v>24. Страхування обов'язк. небезпечних вантажів</v>
          </cell>
          <cell r="D25" t="str">
            <v>24. Страхование опасных грузов</v>
          </cell>
          <cell r="E25" t="str">
            <v>01. Страхование грузов</v>
          </cell>
          <cell r="F25" t="str">
            <v>Cargo</v>
          </cell>
        </row>
        <row r="26">
          <cell r="A26" t="str">
            <v>25</v>
          </cell>
          <cell r="B26" t="str">
            <v>04</v>
          </cell>
          <cell r="C26" t="str">
            <v>25. Страхування відповідальності експедиторів та перевізників CMR порейсове</v>
          </cell>
          <cell r="D26" t="str">
            <v>25. Страхование ответственности  перевозчиков и экспедиторов(порейсовое)</v>
          </cell>
          <cell r="E26" t="str">
            <v>04.Страхование ответственности неморских перевозчиков</v>
          </cell>
          <cell r="F26" t="str">
            <v>P&amp;I</v>
          </cell>
        </row>
        <row r="27">
          <cell r="A27" t="str">
            <v>26</v>
          </cell>
          <cell r="B27" t="str">
            <v>05</v>
          </cell>
          <cell r="C27" t="str">
            <v>26. Обов'язкове страхування членів добровільних пожежних дружин</v>
          </cell>
          <cell r="D27" t="str">
            <v>26. Страхование членов добровольных пожарных дружин</v>
          </cell>
          <cell r="E27" t="str">
            <v>05.Страхование от огня и сопутств. рисков, строит. рисков</v>
          </cell>
          <cell r="F27" t="str">
            <v>Fire &amp; allied perils and construction risks</v>
          </cell>
        </row>
        <row r="28">
          <cell r="A28" t="str">
            <v>27</v>
          </cell>
          <cell r="B28" t="str">
            <v>06</v>
          </cell>
          <cell r="C28" t="str">
            <v>27. Обов'язкове страхування від НВ та мед.витрат членів авіа екіпажів</v>
          </cell>
          <cell r="D28" t="str">
            <v>27. Страхование от НС членов авиа экипажей</v>
          </cell>
          <cell r="E28" t="str">
            <v>06.Страхование воздушных судов и ответственности</v>
          </cell>
          <cell r="F28" t="str">
            <v>Aviation hull and liability</v>
          </cell>
        </row>
        <row r="29">
          <cell r="A29" t="str">
            <v>28</v>
          </cell>
          <cell r="B29" t="str">
            <v>06</v>
          </cell>
          <cell r="C29" t="str">
            <v>28. Обов'язкове страхування відповідальності авіакомпаній</v>
          </cell>
          <cell r="D29" t="str">
            <v>28. Страхование ГО владельцев  авиакомпаний</v>
          </cell>
          <cell r="E29" t="str">
            <v>06.Страхование воздушных судов и ответственности</v>
          </cell>
          <cell r="F29" t="str">
            <v>Aviation hull and liability</v>
          </cell>
        </row>
        <row r="30">
          <cell r="A30" t="str">
            <v>29</v>
          </cell>
          <cell r="B30" t="str">
            <v>06</v>
          </cell>
          <cell r="C30" t="str">
            <v>29. КАСКО страхування авіа суден (добровільне)</v>
          </cell>
          <cell r="D30" t="str">
            <v>29. Страхование КАСКО авиа суден</v>
          </cell>
          <cell r="E30" t="str">
            <v>06.Страхование воздушных судов и ответственности</v>
          </cell>
          <cell r="F30" t="str">
            <v>Aviation hull and liability</v>
          </cell>
        </row>
        <row r="31">
          <cell r="A31" t="str">
            <v>31</v>
          </cell>
          <cell r="B31" t="str">
            <v>02</v>
          </cell>
          <cell r="D31" t="str">
            <v>31. Страхование членов экипажей морских суден</v>
          </cell>
          <cell r="E31" t="str">
            <v>02. Страхование судов</v>
          </cell>
          <cell r="F31" t="str">
            <v>Marine hull</v>
          </cell>
        </row>
        <row r="32">
          <cell r="A32" t="str">
            <v>32</v>
          </cell>
          <cell r="B32" t="str">
            <v>05</v>
          </cell>
          <cell r="D32" t="str">
            <v>32. Страхование ГО на территории России</v>
          </cell>
          <cell r="E32" t="str">
            <v>05.Страхование от огня и сопутств. рисков, строит. рисков</v>
          </cell>
          <cell r="F32" t="str">
            <v>Fire &amp; allied perils and construction risks</v>
          </cell>
        </row>
        <row r="33">
          <cell r="A33" t="str">
            <v>33</v>
          </cell>
          <cell r="B33" t="str">
            <v>05</v>
          </cell>
          <cell r="C33" t="str">
            <v>33. Страхування професійної відповідальності перед третіми особами</v>
          </cell>
          <cell r="D33" t="str">
            <v>33. Страхование профессиональной ответственности перед третьими лицами</v>
          </cell>
          <cell r="E33" t="str">
            <v>05.Страхование от огня и сопутств. рисков, строит. рисков</v>
          </cell>
          <cell r="F33" t="str">
            <v>Fire &amp; allied perils and construction risks</v>
          </cell>
        </row>
        <row r="34">
          <cell r="A34" t="str">
            <v>34</v>
          </cell>
          <cell r="B34" t="str">
            <v>05</v>
          </cell>
          <cell r="C34" t="str">
            <v>34. Страхув.майна (інші ризики)</v>
          </cell>
          <cell r="D34" t="str">
            <v>34. Страхование имущества (кроме огневых рисков)</v>
          </cell>
          <cell r="E34" t="str">
            <v>05.Страхование от огня и сопутств. рисков, строит. рисков</v>
          </cell>
          <cell r="F34" t="str">
            <v>Fire &amp; allied perils and construction risks</v>
          </cell>
        </row>
        <row r="35">
          <cell r="A35" t="str">
            <v>35</v>
          </cell>
          <cell r="B35" t="str">
            <v>05</v>
          </cell>
          <cell r="C35" t="str">
            <v>35. Добров.страх.ЦВ при страх.майна</v>
          </cell>
          <cell r="D35" t="str">
            <v>35. Страхование ГО перед третьими лицами по имущественным рискам</v>
          </cell>
          <cell r="E35" t="str">
            <v>05.Страхование от огня и сопутств. рисков, строит. рисков</v>
          </cell>
          <cell r="F35" t="str">
            <v>Fire &amp; allied perils and construction risks</v>
          </cell>
        </row>
        <row r="36">
          <cell r="A36" t="str">
            <v>39</v>
          </cell>
          <cell r="B36" t="str">
            <v>05</v>
          </cell>
          <cell r="C36" t="str">
            <v>39. Страхування ЦВ на об'єктах підвищеної небезпеки</v>
          </cell>
          <cell r="D36" t="str">
            <v>39. Страхование ГО на объектах повышенной опасности</v>
          </cell>
          <cell r="E36" t="str">
            <v>05.Страхование от огня и сопутств. рисков, строит. рисков</v>
          </cell>
          <cell r="F36" t="str">
            <v>Fire &amp; allied perils and construction risks</v>
          </cell>
        </row>
        <row r="37">
          <cell r="A37" t="str">
            <v>40</v>
          </cell>
          <cell r="B37" t="str">
            <v>12</v>
          </cell>
          <cell r="C37" t="str">
            <v>40. Страхування кредитних ризиків</v>
          </cell>
          <cell r="D37" t="str">
            <v>40. Страхование кредитных рисков</v>
          </cell>
          <cell r="E37" t="str">
            <v>12. Страхование экспортных кредитов</v>
          </cell>
          <cell r="F37" t="str">
            <v>Export credit</v>
          </cell>
        </row>
        <row r="38">
          <cell r="A38" t="str">
            <v>41</v>
          </cell>
          <cell r="B38" t="str">
            <v>05</v>
          </cell>
          <cell r="D38" t="str">
            <v>41. Страхование договорной ответственности</v>
          </cell>
          <cell r="E38" t="str">
            <v>05.Страхование от огня и сопутств. рисков, строит. рисков</v>
          </cell>
          <cell r="F38" t="str">
            <v>Fire &amp; allied perils and construction risks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adjBS"/>
      <sheetName val="USER GUIDE"/>
      <sheetName val="UnadjPL"/>
      <sheetName val="RecatBS"/>
      <sheetName val="RecatPL"/>
      <sheetName val="Adjustments"/>
      <sheetName val="IAS_BS"/>
      <sheetName val="IAS_PL"/>
      <sheetName val="Cash Flow preparation"/>
      <sheetName val="Cash flow final"/>
      <sheetName val="Cash"/>
      <sheetName val="PrecMetals"/>
      <sheetName val="Loans&amp;Adv"/>
      <sheetName val="BankLoans"/>
      <sheetName val="Invest"/>
      <sheetName val="FA"/>
      <sheetName val="OA"/>
      <sheetName val="Deposits"/>
      <sheetName val="BankDeposit"/>
      <sheetName val="OL"/>
      <sheetName val="Capital"/>
      <sheetName val="Reserves"/>
      <sheetName val="PL_detailed"/>
      <sheetName val="PL_USD"/>
      <sheetName val="Sheet3"/>
      <sheetName val="Source BS"/>
      <sheetName val="Source P&amp;L"/>
      <sheetName val="Unadj BS"/>
      <sheetName val="Unadj P&amp;L"/>
      <sheetName val="Unadj Off BS"/>
      <sheetName val="Recat BS"/>
      <sheetName val="Recat PL"/>
      <sheetName val="Investments restmnt"/>
      <sheetName val="IAS_BS_graph"/>
      <sheetName val="IAS_PL_graph"/>
      <sheetName val="Published BS"/>
      <sheetName val="Published PL"/>
      <sheetName val="Reconciliation"/>
      <sheetName val="BoEs purchased"/>
      <sheetName val="securities"/>
      <sheetName val="other invest"/>
      <sheetName val="Custaccounts"/>
      <sheetName val="SecIssued"/>
      <sheetName val="Investments restatement"/>
      <sheetName val="DT summary"/>
      <sheetName val="Treasury Shares "/>
      <sheetName val="Inflation"/>
      <sheetName val="д-р 9 м-в 2005"/>
      <sheetName val="Лист4"/>
      <sheetName val="Лист1"/>
      <sheetName val="база основная"/>
      <sheetName val="$"/>
      <sheetName val="векселя в обращении"/>
      <sheetName val="Лист2"/>
      <sheetName val="реестр домиц. векселей"/>
      <sheetName val="реестр от 06-02-02"/>
      <sheetName val="сводная"/>
      <sheetName val="реестр от 07-03-02"/>
      <sheetName val="табл 18 для ПРАЙСА"/>
      <sheetName val="табл 18 для ПРАЙСА на 01-01-01"/>
      <sheetName val="IAS_5"/>
      <sheetName val="Map"/>
      <sheetName val="Проводки'02"/>
      <sheetName val="АКРасч"/>
      <sheetName val="Cons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PAJE_pref_loans"/>
      <sheetName val="7.Pass&amp;New_loans_analysis"/>
      <sheetName val="6.Loss_loans_analysis"/>
      <sheetName val="4.IFRS_analysis"/>
      <sheetName val="5.Borrower_analysis"/>
      <sheetName val="3.Data"/>
      <sheetName val="1.Trace_FS"/>
      <sheetName val="2.trace_BDP&amp;%"/>
      <sheetName val="0. Help"/>
      <sheetName val="PBC_Data"/>
      <sheetName val="0_ Help"/>
      <sheetName val="Unadj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5">
          <cell r="C15" t="str">
            <v>Year&amp;month</v>
          </cell>
          <cell r="D15" t="str">
            <v>Interest, (UAH)</v>
          </cell>
          <cell r="E15" t="str">
            <v>Interest, (currency)</v>
          </cell>
        </row>
        <row r="16">
          <cell r="C16">
            <v>20011</v>
          </cell>
          <cell r="D16">
            <v>0.374</v>
          </cell>
          <cell r="E16">
            <v>0.16600000000000001</v>
          </cell>
        </row>
        <row r="17">
          <cell r="C17">
            <v>20012</v>
          </cell>
          <cell r="D17">
            <v>0.35600000000000004</v>
          </cell>
          <cell r="E17">
            <v>0.157</v>
          </cell>
        </row>
        <row r="18">
          <cell r="C18">
            <v>20013</v>
          </cell>
          <cell r="D18">
            <v>0.33799999999999997</v>
          </cell>
          <cell r="E18">
            <v>0.151</v>
          </cell>
        </row>
        <row r="19">
          <cell r="C19">
            <v>20014</v>
          </cell>
          <cell r="D19">
            <v>0.33</v>
          </cell>
          <cell r="E19">
            <v>0.14599999999999999</v>
          </cell>
        </row>
        <row r="20">
          <cell r="C20">
            <v>20015</v>
          </cell>
          <cell r="D20">
            <v>0.317</v>
          </cell>
          <cell r="E20">
            <v>0.13500000000000001</v>
          </cell>
        </row>
        <row r="21">
          <cell r="C21">
            <v>20016</v>
          </cell>
          <cell r="D21">
            <v>0.32100000000000001</v>
          </cell>
          <cell r="E21">
            <v>0.13400000000000001</v>
          </cell>
        </row>
        <row r="22">
          <cell r="C22">
            <v>20017</v>
          </cell>
          <cell r="D22">
            <v>0.311</v>
          </cell>
          <cell r="E22">
            <v>0.13</v>
          </cell>
        </row>
        <row r="23">
          <cell r="C23">
            <v>20018</v>
          </cell>
          <cell r="D23">
            <v>0.317</v>
          </cell>
          <cell r="E23">
            <v>0.124</v>
          </cell>
        </row>
        <row r="24">
          <cell r="C24">
            <v>20019</v>
          </cell>
          <cell r="D24">
            <v>0.30599999999999999</v>
          </cell>
          <cell r="E24">
            <v>0.126</v>
          </cell>
        </row>
        <row r="25">
          <cell r="C25">
            <v>200110</v>
          </cell>
          <cell r="D25">
            <v>0.30499999999999999</v>
          </cell>
          <cell r="E25">
            <v>0.115</v>
          </cell>
        </row>
        <row r="26">
          <cell r="C26">
            <v>200111</v>
          </cell>
          <cell r="D26">
            <v>0.30199999999999999</v>
          </cell>
          <cell r="E26">
            <v>0.12</v>
          </cell>
        </row>
        <row r="27">
          <cell r="C27">
            <v>200112</v>
          </cell>
          <cell r="D27">
            <v>0.29600000000000004</v>
          </cell>
          <cell r="E27">
            <v>0.11599999999999999</v>
          </cell>
        </row>
        <row r="28">
          <cell r="C28">
            <v>20021</v>
          </cell>
          <cell r="D28">
            <v>0.29699999999999999</v>
          </cell>
          <cell r="E28">
            <v>0.10800000000000001</v>
          </cell>
        </row>
        <row r="29">
          <cell r="C29">
            <v>20022</v>
          </cell>
          <cell r="D29">
            <v>0.29399999999999998</v>
          </cell>
          <cell r="E29">
            <v>0.11900000000000001</v>
          </cell>
        </row>
        <row r="30">
          <cell r="C30">
            <v>20023</v>
          </cell>
          <cell r="D30">
            <v>0.27600000000000002</v>
          </cell>
          <cell r="E30">
            <v>0.11900000000000001</v>
          </cell>
        </row>
        <row r="31">
          <cell r="C31">
            <v>20024</v>
          </cell>
          <cell r="D31">
            <v>0.27100000000000002</v>
          </cell>
          <cell r="E31">
            <v>0.12300000000000001</v>
          </cell>
        </row>
        <row r="32">
          <cell r="C32">
            <v>20025</v>
          </cell>
          <cell r="D32">
            <v>0.26100000000000001</v>
          </cell>
          <cell r="E32">
            <v>0.128</v>
          </cell>
        </row>
        <row r="33">
          <cell r="C33">
            <v>20026</v>
          </cell>
          <cell r="D33">
            <v>0.25</v>
          </cell>
          <cell r="E33">
            <v>0.129</v>
          </cell>
        </row>
        <row r="34">
          <cell r="C34">
            <v>20027</v>
          </cell>
          <cell r="D34">
            <v>0.249</v>
          </cell>
          <cell r="E34">
            <v>0.11800000000000001</v>
          </cell>
        </row>
        <row r="35">
          <cell r="C35">
            <v>20028</v>
          </cell>
          <cell r="D35">
            <v>0.24</v>
          </cell>
          <cell r="E35">
            <v>0.12</v>
          </cell>
        </row>
        <row r="36">
          <cell r="C36">
            <v>20029</v>
          </cell>
          <cell r="D36">
            <v>0.23499999999999999</v>
          </cell>
          <cell r="E36">
            <v>0.11900000000000001</v>
          </cell>
        </row>
        <row r="37">
          <cell r="C37">
            <v>200210</v>
          </cell>
          <cell r="D37">
            <v>0.22899999999999998</v>
          </cell>
          <cell r="E37">
            <v>0.121</v>
          </cell>
        </row>
        <row r="38">
          <cell r="C38">
            <v>200211</v>
          </cell>
          <cell r="D38">
            <v>0.22399999999999998</v>
          </cell>
          <cell r="E38">
            <v>0.121</v>
          </cell>
        </row>
        <row r="39">
          <cell r="C39">
            <v>200212</v>
          </cell>
          <cell r="D39">
            <v>0.218</v>
          </cell>
          <cell r="E39">
            <v>0.113</v>
          </cell>
        </row>
        <row r="40">
          <cell r="C40">
            <v>19981</v>
          </cell>
          <cell r="D40">
            <v>0.438</v>
          </cell>
        </row>
        <row r="41">
          <cell r="C41">
            <v>19982</v>
          </cell>
          <cell r="D41">
            <v>0.48699999999999999</v>
          </cell>
        </row>
        <row r="42">
          <cell r="C42">
            <v>19983</v>
          </cell>
          <cell r="D42">
            <v>0.48899999999999999</v>
          </cell>
        </row>
        <row r="43">
          <cell r="C43">
            <v>19984</v>
          </cell>
          <cell r="D43">
            <v>0.47699999999999998</v>
          </cell>
        </row>
        <row r="44">
          <cell r="C44">
            <v>19985</v>
          </cell>
          <cell r="D44">
            <v>0.47099999999999997</v>
          </cell>
        </row>
        <row r="45">
          <cell r="C45">
            <v>19986</v>
          </cell>
          <cell r="D45">
            <v>0.48</v>
          </cell>
        </row>
        <row r="46">
          <cell r="C46">
            <v>19987</v>
          </cell>
          <cell r="D46">
            <v>0.53</v>
          </cell>
        </row>
        <row r="47">
          <cell r="C47">
            <v>19988</v>
          </cell>
          <cell r="D47">
            <v>0.57399999999999995</v>
          </cell>
        </row>
        <row r="48">
          <cell r="C48">
            <v>19989</v>
          </cell>
          <cell r="D48">
            <v>0.63800000000000001</v>
          </cell>
        </row>
        <row r="49">
          <cell r="C49">
            <v>199810</v>
          </cell>
          <cell r="D49">
            <v>0.71499999999999997</v>
          </cell>
        </row>
        <row r="50">
          <cell r="C50">
            <v>199811</v>
          </cell>
          <cell r="D50">
            <v>0.63700000000000001</v>
          </cell>
        </row>
        <row r="51">
          <cell r="C51">
            <v>199812</v>
          </cell>
          <cell r="D51">
            <v>0.60399999999999998</v>
          </cell>
        </row>
        <row r="52">
          <cell r="C52">
            <v>19991</v>
          </cell>
          <cell r="D52">
            <v>0.55300000000000005</v>
          </cell>
        </row>
        <row r="53">
          <cell r="C53">
            <v>19992</v>
          </cell>
          <cell r="D53">
            <v>0.58399999999999996</v>
          </cell>
        </row>
        <row r="54">
          <cell r="C54">
            <v>19993</v>
          </cell>
          <cell r="D54">
            <v>0.68</v>
          </cell>
        </row>
        <row r="55">
          <cell r="C55">
            <v>19994</v>
          </cell>
          <cell r="D55">
            <v>0.66900000000000004</v>
          </cell>
        </row>
        <row r="56">
          <cell r="C56">
            <v>19995</v>
          </cell>
          <cell r="D56">
            <v>0.54500000000000004</v>
          </cell>
        </row>
        <row r="57">
          <cell r="C57">
            <v>19996</v>
          </cell>
          <cell r="D57">
            <v>0.47399999999999998</v>
          </cell>
        </row>
        <row r="58">
          <cell r="C58">
            <v>19997</v>
          </cell>
          <cell r="D58">
            <v>0.46500000000000002</v>
          </cell>
        </row>
        <row r="59">
          <cell r="C59">
            <v>19998</v>
          </cell>
          <cell r="D59">
            <v>0.50700000000000001</v>
          </cell>
        </row>
        <row r="60">
          <cell r="C60">
            <v>19999</v>
          </cell>
          <cell r="D60">
            <v>0.50900000000000001</v>
          </cell>
        </row>
        <row r="61">
          <cell r="C61">
            <v>199910</v>
          </cell>
          <cell r="D61">
            <v>0.50800000000000001</v>
          </cell>
        </row>
        <row r="62">
          <cell r="C62">
            <v>199911</v>
          </cell>
          <cell r="D62">
            <v>0.54700000000000004</v>
          </cell>
        </row>
        <row r="63">
          <cell r="C63">
            <v>199912</v>
          </cell>
          <cell r="D63">
            <v>0.51900000000000002</v>
          </cell>
        </row>
        <row r="64">
          <cell r="C64">
            <v>20001</v>
          </cell>
          <cell r="D64">
            <v>0.56200000000000006</v>
          </cell>
        </row>
        <row r="65">
          <cell r="C65">
            <v>20002</v>
          </cell>
          <cell r="D65">
            <v>0.49399999999999999</v>
          </cell>
        </row>
        <row r="66">
          <cell r="C66">
            <v>20003</v>
          </cell>
          <cell r="D66">
            <v>0.42499999999999999</v>
          </cell>
        </row>
        <row r="67">
          <cell r="C67">
            <v>20004</v>
          </cell>
          <cell r="D67">
            <v>0.41899999999999998</v>
          </cell>
        </row>
        <row r="68">
          <cell r="C68">
            <v>20005</v>
          </cell>
          <cell r="D68">
            <v>0.39800000000000002</v>
          </cell>
        </row>
        <row r="69">
          <cell r="C69">
            <v>20006</v>
          </cell>
          <cell r="D69">
            <v>0.39700000000000002</v>
          </cell>
        </row>
        <row r="70">
          <cell r="C70">
            <v>20007</v>
          </cell>
          <cell r="D70">
            <v>0.39</v>
          </cell>
        </row>
        <row r="71">
          <cell r="C71">
            <v>20008</v>
          </cell>
          <cell r="D71">
            <v>0.35599999999999998</v>
          </cell>
        </row>
        <row r="72">
          <cell r="C72">
            <v>20009</v>
          </cell>
          <cell r="D72">
            <v>0.39700000000000002</v>
          </cell>
        </row>
        <row r="73">
          <cell r="C73">
            <v>200010</v>
          </cell>
          <cell r="D73">
            <v>0.39</v>
          </cell>
        </row>
        <row r="74">
          <cell r="C74">
            <v>200011</v>
          </cell>
          <cell r="D74">
            <v>0.38300000000000001</v>
          </cell>
        </row>
        <row r="75">
          <cell r="C75">
            <v>200012</v>
          </cell>
          <cell r="D75">
            <v>0.373</v>
          </cell>
        </row>
        <row r="76">
          <cell r="C76">
            <v>20031</v>
          </cell>
          <cell r="D76">
            <v>0.186</v>
          </cell>
          <cell r="E76">
            <v>0.11799999999999999</v>
          </cell>
        </row>
        <row r="77">
          <cell r="C77">
            <v>20032</v>
          </cell>
          <cell r="D77">
            <v>0.17599999999999999</v>
          </cell>
          <cell r="E77">
            <v>0.121</v>
          </cell>
        </row>
        <row r="78">
          <cell r="C78">
            <v>20033</v>
          </cell>
          <cell r="D78">
            <v>0.18</v>
          </cell>
          <cell r="E78">
            <v>0.125</v>
          </cell>
        </row>
        <row r="79">
          <cell r="C79">
            <v>20034</v>
          </cell>
          <cell r="D79">
            <v>0.183</v>
          </cell>
          <cell r="E79">
            <v>0.128</v>
          </cell>
        </row>
        <row r="80">
          <cell r="C80">
            <v>20035</v>
          </cell>
          <cell r="D80">
            <v>0.17899999999999999</v>
          </cell>
          <cell r="E80">
            <v>0.13100000000000001</v>
          </cell>
        </row>
        <row r="81">
          <cell r="C81">
            <v>20036</v>
          </cell>
          <cell r="D81">
            <v>0.17199999999999999</v>
          </cell>
          <cell r="E81">
            <v>0.126</v>
          </cell>
        </row>
        <row r="82">
          <cell r="C82">
            <v>20037</v>
          </cell>
          <cell r="D82">
            <v>0.182</v>
          </cell>
          <cell r="E82">
            <v>0.11600000000000001</v>
          </cell>
        </row>
        <row r="83">
          <cell r="C83">
            <v>20038</v>
          </cell>
          <cell r="D83">
            <v>0.182</v>
          </cell>
          <cell r="E83">
            <v>0.11799999999999999</v>
          </cell>
        </row>
        <row r="84">
          <cell r="C84">
            <v>20039</v>
          </cell>
          <cell r="D84">
            <v>0.17199999999999999</v>
          </cell>
          <cell r="E84">
            <v>0.11700000000000001</v>
          </cell>
        </row>
        <row r="85">
          <cell r="C85">
            <v>200310</v>
          </cell>
          <cell r="D85">
            <v>0.2</v>
          </cell>
          <cell r="E85">
            <v>0.15</v>
          </cell>
        </row>
        <row r="86">
          <cell r="C86">
            <v>200311</v>
          </cell>
          <cell r="D86">
            <v>0.22</v>
          </cell>
          <cell r="E86">
            <v>0.16</v>
          </cell>
        </row>
        <row r="87">
          <cell r="C87">
            <v>200312</v>
          </cell>
          <cell r="D87">
            <v>0.22</v>
          </cell>
          <cell r="E87">
            <v>0.16</v>
          </cell>
        </row>
        <row r="88">
          <cell r="C88">
            <v>20041</v>
          </cell>
          <cell r="D88">
            <v>0.189</v>
          </cell>
          <cell r="E88">
            <v>0.123</v>
          </cell>
        </row>
        <row r="89">
          <cell r="C89">
            <v>20042</v>
          </cell>
          <cell r="D89">
            <v>0.187</v>
          </cell>
          <cell r="E89">
            <v>0.123</v>
          </cell>
        </row>
        <row r="90">
          <cell r="C90">
            <v>20043</v>
          </cell>
          <cell r="D90">
            <v>0.18099999999999999</v>
          </cell>
          <cell r="E90">
            <v>0.123</v>
          </cell>
        </row>
      </sheetData>
      <sheetData sheetId="9"/>
      <sheetData sheetId="10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с_отчет"/>
      <sheetName val="деньги-реализ"/>
      <sheetName val="коэфф"/>
      <sheetName val="prezent"/>
      <sheetName val="Дозакл-new"/>
      <sheetName val="Rual Trade (ДОЗАКЛ)"/>
      <sheetName val="Форма РУАЛ"/>
      <sheetName val="справка_ден"/>
      <sheetName val="Пл_Сметы"/>
      <sheetName val="Операции"/>
      <sheetName val="статьи"/>
      <sheetName val="Лист1"/>
      <sheetName val="Ульянов-СМЗ"/>
      <sheetName val="Лист2"/>
      <sheetName val="Центры_затрат"/>
      <sheetName val="Деб_кред_задолж  "/>
      <sheetName val="Дозакл-new (2)"/>
      <sheetName val="Лист не изменять"/>
      <sheetName val="BS analyt IFRS (RUR)"/>
      <sheetName val="PL_analyt_IFRS (RUR)"/>
      <sheetName val="BS analyt NAT (RUR)"/>
      <sheetName val="PL_analyt_NAT (RUR)"/>
      <sheetName val="DT_calc"/>
      <sheetName val="Note 11"/>
      <sheetName val="DT Basel "/>
      <sheetName val="Оборотная ведомость"/>
      <sheetName val="Налог на прибыль"/>
      <sheetName val="Actuarial 31.12.2007"/>
      <sheetName val="Форма №1"/>
      <sheetName val="Форма №2"/>
      <sheetName val="Форма №3"/>
      <sheetName val="Форма №4"/>
      <sheetName val="Форма №1 (HC)"/>
      <sheetName val="Форма №2 (HC)"/>
      <sheetName val="Форма №3 (HC)"/>
      <sheetName val="Форма №4 (HC)"/>
      <sheetName val="Капитал"/>
      <sheetName val="ДДС_окончательный"/>
      <sheetName val="Adj 31.12.07"/>
      <sheetName val="CF final"/>
      <sheetName val="CF"/>
      <sheetName val="AP-AR"/>
      <sheetName val="Касса и экв"/>
      <sheetName val="Депозиты"/>
      <sheetName val="Кредиты"/>
      <sheetName val="Торговые цб"/>
      <sheetName val="Для продажи"/>
      <sheetName val="До погашения"/>
      <sheetName val="Дочерние и зависимые комп."/>
      <sheetName val="Инвестиц собств"/>
      <sheetName val="Реестр по ОС и ИС"/>
      <sheetName val="Движение резервов"/>
      <sheetName val="Баланс"/>
      <sheetName val="ОПУ"/>
      <sheetName val="Прочие пассивы"/>
      <sheetName val="Админ-ые расходы"/>
      <sheetName val="Прочие активы"/>
      <sheetName val="Сегментарный отчет_ уч группы"/>
      <sheetName val="Результат от выбытия ОС и ИС"/>
      <sheetName val="Прочие страх. дох&amp;расх."/>
      <sheetName val="Прочие дох_расх"/>
      <sheetName val="З.П."/>
      <sheetName val="Инвест рез-т"/>
      <sheetName val="Дох и уб пр лет"/>
      <sheetName val="Форекс"/>
      <sheetName val="Условные обяз-ва"/>
      <sheetName val="Пенсионный план"/>
      <sheetName val="База данных по страхованию"/>
      <sheetName val="Сомнительная задолженность"/>
      <sheetName val="выбытие"/>
      <sheetName val="FA 31.12.07"/>
      <sheetName val="ОС"/>
      <sheetName val="Note 14(work)"/>
      <sheetName val="начисление премий"/>
      <sheetName val="Налог на прибыль ОФА"/>
      <sheetName val="Баланс и ОПУ_детальный "/>
      <sheetName val="8.IFRS Change in equity new"/>
      <sheetName val="Note 5"/>
      <sheetName val="Note 6"/>
      <sheetName val="Note 7"/>
      <sheetName val="Note 8"/>
      <sheetName val="Note 9 (nа)"/>
      <sheetName val="Note 10"/>
      <sheetName val="Note 13"/>
      <sheetName val="Note 14"/>
      <sheetName val="Note 15 (na)"/>
      <sheetName val="Note 16"/>
      <sheetName val="Note 17"/>
      <sheetName val="Note 18 (na)"/>
      <sheetName val="Note 19"/>
      <sheetName val="Note 20"/>
      <sheetName val="Note 21"/>
      <sheetName val="Note 22"/>
      <sheetName val="Note 23 (na)"/>
      <sheetName val="Note 24"/>
      <sheetName val="Note 25"/>
      <sheetName val="Страховая дз_кз"/>
      <sheetName val="Note 26"/>
      <sheetName val="Note 27 "/>
      <sheetName val="Note 28"/>
      <sheetName val="Note 31"/>
      <sheetName val="For note 31"/>
      <sheetName val="Note 32"/>
      <sheetName val="Note 33 (na)"/>
      <sheetName val="Note 34"/>
      <sheetName val="1.TB"/>
    </sheetNames>
    <sheetDataSet>
      <sheetData sheetId="0" refreshError="1"/>
      <sheetData sheetId="1" refreshError="1"/>
      <sheetData sheetId="2" refreshError="1">
        <row r="2">
          <cell r="B2">
            <v>29.4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ффективность"/>
      <sheetName val="оборудование"/>
      <sheetName val="график_инвестиций"/>
      <sheetName val="расчет"/>
      <sheetName val="Оборотн_кап"/>
      <sheetName val="Приб_уб"/>
      <sheetName val="Ден_поток"/>
      <sheetName val="Ден_платежи"/>
      <sheetName val="Лист3"/>
      <sheetName val="Конс_отчет"/>
      <sheetName val="деньги-реализ"/>
      <sheetName val="коэфф"/>
      <sheetName val="prezent"/>
      <sheetName val="Дозакл-new"/>
      <sheetName val="Rual Trade (ДОЗАКЛ)"/>
      <sheetName val="Форма РУАЛ"/>
      <sheetName val="справка_ден"/>
      <sheetName val="Пл_Сметы"/>
      <sheetName val="Операции"/>
      <sheetName val="статьи"/>
      <sheetName val="Лист1"/>
      <sheetName val="Ульянов-СМЗ"/>
      <sheetName val="Лист2"/>
      <sheetName val="Центры_затрат"/>
      <sheetName val="Деб_кред_задолж  "/>
      <sheetName val="????????????"/>
      <sheetName val="Усл К"/>
      <sheetName val="Прил 4"/>
      <sheetName val="С 2004 Ф"/>
      <sheetName val="№1 Осн показ"/>
      <sheetName val="№2 Динамика факта осн пок"/>
      <sheetName val="№3 Динамика ремонтов"/>
      <sheetName val="№4 Анализ ст-ти услуг  КраМЗ "/>
      <sheetName val="№4 Анализ ст-ти услуг БрАЗ"/>
      <sheetName val="№4 Анализ ст-ти услуг САЗ"/>
      <sheetName val="№4 Анализ ст-ти услуг НкАЗ"/>
      <sheetName val="№4 Анализ ст-ти услуг АГК"/>
      <sheetName val="№5 анализ сметы по филиалам"/>
      <sheetName val="№6 анализ БИЗ по филиалам"/>
      <sheetName val="№6 БИЗ(изм)"/>
      <sheetName val="№7 25 счет"/>
      <sheetName val="№8 26 счет"/>
      <sheetName val="№9 Расш услуг"/>
      <sheetName val="№9 Расш услуг КраМЗ(изм)"/>
      <sheetName val="№10 Доп передан затраты "/>
      <sheetName val="№11 Сведения об авансах"/>
      <sheetName val="№12 Отчет по движению"/>
      <sheetName val="№13 Анализ МТО закупки списание"/>
      <sheetName val="№14 Анализ ФОТ "/>
      <sheetName val="№15 Наруш тр дисц"/>
      <sheetName val="№16 Анализ заболев"/>
      <sheetName val="№17 Меропр по охр труда "/>
      <sheetName val="№18 ТМЦ"/>
      <sheetName val="№18 ТМЦ(изм)"/>
      <sheetName val="Д_коммерческий"/>
      <sheetName val="____________"/>
      <sheetName val="ТЭР"/>
      <sheetName val="s"/>
      <sheetName val="Info"/>
      <sheetName val="FES"/>
      <sheetName val="2001"/>
      <sheetName val="Контроль"/>
      <sheetName val="БДДС_нов"/>
      <sheetName val="цены цехов"/>
      <sheetName val="Макро"/>
      <sheetName val="?????"/>
      <sheetName val="СВОД"/>
      <sheetName val="балансAL"/>
      <sheetName val="XRates"/>
      <sheetName val="Codes"/>
    </sheetNames>
    <sheetDataSet>
      <sheetData sheetId="0" refreshError="1"/>
      <sheetData sheetId="1" refreshError="1">
        <row r="1">
          <cell r="D1">
            <v>22</v>
          </cell>
        </row>
        <row r="2">
          <cell r="D2">
            <v>1.7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юджет"/>
      <sheetName val="Смета"/>
      <sheetName val="Операц."/>
      <sheetName val="расх. из прибыли"/>
      <sheetName val="товарная"/>
      <sheetName val="прочая"/>
      <sheetName val="баланс"/>
      <sheetName val="энергетич."/>
      <sheetName val="эл.эн."/>
      <sheetName val="тепло"/>
      <sheetName val="Вода"/>
      <sheetName val="ГСМ"/>
      <sheetName val="материалы"/>
      <sheetName val="ЦКР"/>
      <sheetName val="штыри"/>
      <sheetName val="почие_денежные"/>
      <sheetName val="налоги"/>
      <sheetName val="усл.сторон."/>
      <sheetName val="коммерч"/>
      <sheetName val="невходящ"/>
      <sheetName val="НЗП"/>
      <sheetName val="Калькуляци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63">
          <cell r="A63" t="str">
            <v xml:space="preserve">  из него: толлинг без пека</v>
          </cell>
          <cell r="E63">
            <v>0</v>
          </cell>
          <cell r="G63">
            <v>0</v>
          </cell>
        </row>
        <row r="64">
          <cell r="A64" t="str">
            <v xml:space="preserve">  толлинг без коксов</v>
          </cell>
          <cell r="E64">
            <v>8248.2999999999993</v>
          </cell>
          <cell r="G64">
            <v>207883.0060938629</v>
          </cell>
        </row>
        <row r="65">
          <cell r="A65" t="str">
            <v xml:space="preserve">  толлинг без анодов</v>
          </cell>
          <cell r="E65">
            <v>0</v>
          </cell>
          <cell r="G65">
            <v>0</v>
          </cell>
        </row>
        <row r="67">
          <cell r="A67" t="str">
            <v xml:space="preserve">  Договор переработки</v>
          </cell>
          <cell r="E67">
            <v>10428.02</v>
          </cell>
          <cell r="G67">
            <v>73100.065334915445</v>
          </cell>
        </row>
        <row r="177">
          <cell r="A177" t="str">
            <v xml:space="preserve">  из него: толлинг без пека</v>
          </cell>
          <cell r="E177">
            <v>0</v>
          </cell>
          <cell r="G177">
            <v>0</v>
          </cell>
        </row>
        <row r="178">
          <cell r="A178" t="str">
            <v xml:space="preserve">  толлинг без коксов</v>
          </cell>
          <cell r="E178">
            <v>2913.15</v>
          </cell>
          <cell r="G178">
            <v>38988.432405017615</v>
          </cell>
        </row>
        <row r="401">
          <cell r="A401" t="str">
            <v xml:space="preserve">  Договор переработки</v>
          </cell>
          <cell r="E401">
            <v>18558.7</v>
          </cell>
          <cell r="G401">
            <v>10035.782511695654</v>
          </cell>
        </row>
        <row r="1400">
          <cell r="A1400" t="str">
            <v>ЦЕХОВАЯ СЕБЕСТОИМОСТЬ</v>
          </cell>
          <cell r="E1400">
            <v>13350.72</v>
          </cell>
          <cell r="G1400">
            <v>912534.848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Лист1"/>
      <sheetName val="Дебиторка"/>
      <sheetName val="Деб + склад"/>
      <sheetName val="Тара-клише"/>
      <sheetName val="Алмаз"/>
      <sheetName val="АТ-Кола"/>
      <sheetName val="Бородино"/>
      <sheetName val="Браво"/>
      <sheetName val="ВЕНА"/>
      <sheetName val="Глобус"/>
      <sheetName val="Derek"/>
      <sheetName val="Дионис"/>
      <sheetName val="Интергалант"/>
      <sheetName val="ИПП"/>
      <sheetName val="Кампи"/>
      <sheetName val="Князь Рюрик"/>
      <sheetName val="Кока-Кола"/>
      <sheetName val="Красный Восток"/>
      <sheetName val="КСЛтд (2)"/>
      <sheetName val="КСЛтд"/>
      <sheetName val="Марлен"/>
      <sheetName val="ЭнЭрДжиПлюс"/>
      <sheetName val="Мегапак"/>
      <sheetName val="Мега-Седар"/>
      <sheetName val="Напитки Очаково"/>
      <sheetName val="НОТИСС"/>
      <sheetName val="НЛД"/>
      <sheetName val="Орлан"/>
      <sheetName val="Ост-Аква"/>
      <sheetName val="Остмарк"/>
      <sheetName val="Очаково"/>
      <sheetName val="ОША"/>
      <sheetName val="Пивоварни Ив Т"/>
      <sheetName val="Пепсико"/>
      <sheetName val="Продэкспо"/>
      <sheetName val="ПЛМ"/>
      <sheetName val="Ронтос"/>
      <sheetName val="Ремаркет"/>
      <sheetName val="РФК"/>
      <sheetName val="Сейл"/>
      <sheetName val="Сатурн"/>
      <sheetName val="Седар-2"/>
      <sheetName val="Седар"/>
      <sheetName val="СТАРКОН"/>
      <sheetName val="СтПивовар"/>
      <sheetName val="УайтБоттл"/>
      <sheetName val="Эталон"/>
      <sheetName val="Ярпиво"/>
      <sheetName val="Derek (2)"/>
      <sheetName val="Калькуляции"/>
      <sheetName val="Панель управления и проверки"/>
      <sheetName val="оборудование"/>
      <sheetName val="ТАБЛИЦА С"/>
      <sheetName val="Приложение D"/>
      <sheetName val="ПРИЛОЖЕНИЕ G"/>
      <sheetName val="ПРИЛОЖЕНИЕ М"/>
      <sheetName val="ПРИЛОЖЕНИЕ L"/>
      <sheetName val="ПРИЛОЖЕНИЕ К"/>
      <sheetName val="ПРИЛОЖЕНИЕ J"/>
      <sheetName val="Adm"/>
      <sheetName val="Opex"/>
      <sheetName val="Sales"/>
      <sheetName val="CF Less F"/>
      <sheetName val="Salary"/>
      <sheetName val="Cape"/>
      <sheetName val="Com"/>
      <sheetName val="Taxes"/>
      <sheetName val="Production"/>
      <sheetName val="Prices"/>
      <sheetName val="Energy"/>
      <sheetName val="Discount"/>
      <sheetName val="TasAt"/>
      <sheetName val="Списки"/>
      <sheetName val="На 1 января 2000"/>
      <sheetName val="s"/>
      <sheetName val="B"/>
      <sheetName val="списки ФП"/>
      <sheetName val="Рынки и прогнозы"/>
      <sheetName val="Титульн лист"/>
      <sheetName val="Безопасность"/>
      <sheetName val="Ключевые показатели"/>
      <sheetName val="Ключевые показатели-пояснения"/>
      <sheetName val="Ключевые показатели_компании-1"/>
      <sheetName val="Ключевые показатели_компани-2"/>
      <sheetName val="Отчет о прибылях и убытках"/>
      <sheetName val="ОПиУ_пояснения"/>
      <sheetName val="Отчет о движении ден.средств"/>
      <sheetName val="ОДДС_пояснения"/>
      <sheetName val="Персонал"/>
      <sheetName val="&lt;&lt;Инструкция"/>
      <sheetName val="Развитие"/>
      <sheetName val="Основные проблемы бизнеса"/>
      <sheetName val="Корп. управление"/>
      <sheetName val="Кредитный портфель"/>
      <sheetName val="кредиторы"/>
      <sheetName val="Лист2"/>
      <sheetName val="Лист3"/>
    </sheetNames>
    <sheetDataSet>
      <sheetData sheetId="0" refreshError="1"/>
      <sheetData sheetId="1" refreshError="1"/>
      <sheetData sheetId="2" refreshError="1">
        <row r="7">
          <cell r="J7">
            <v>-17.595898621437208</v>
          </cell>
        </row>
        <row r="9">
          <cell r="J9">
            <v>145009.58618458555</v>
          </cell>
        </row>
        <row r="10">
          <cell r="J10">
            <v>1255.2466150302298</v>
          </cell>
        </row>
        <row r="11">
          <cell r="J11">
            <v>855938.18840706383</v>
          </cell>
        </row>
        <row r="14">
          <cell r="J14">
            <v>48801.916413502993</v>
          </cell>
        </row>
        <row r="15">
          <cell r="J15">
            <v>14740.873206683624</v>
          </cell>
        </row>
        <row r="16">
          <cell r="J16">
            <v>6643.6402937130633</v>
          </cell>
        </row>
        <row r="18">
          <cell r="J18">
            <v>344.74</v>
          </cell>
        </row>
        <row r="27">
          <cell r="J27">
            <v>36142.719999999994</v>
          </cell>
        </row>
        <row r="28">
          <cell r="J28">
            <v>116659.11331394897</v>
          </cell>
        </row>
        <row r="30">
          <cell r="J30">
            <v>4703.4606134397909</v>
          </cell>
        </row>
        <row r="31">
          <cell r="J31">
            <v>53007.562430151513</v>
          </cell>
        </row>
        <row r="32">
          <cell r="J32">
            <v>86.229028803885285</v>
          </cell>
        </row>
        <row r="33">
          <cell r="J33">
            <v>564.98075452804915</v>
          </cell>
        </row>
        <row r="34">
          <cell r="J34">
            <v>63389.328181496319</v>
          </cell>
        </row>
        <row r="35">
          <cell r="J35">
            <v>44068.117656543764</v>
          </cell>
        </row>
        <row r="36">
          <cell r="J36">
            <v>-19105.8</v>
          </cell>
        </row>
        <row r="37">
          <cell r="J37">
            <v>62891.504967415589</v>
          </cell>
        </row>
        <row r="39">
          <cell r="J39">
            <v>-112892.99638498937</v>
          </cell>
        </row>
        <row r="41">
          <cell r="J41">
            <v>49146.764535307921</v>
          </cell>
        </row>
        <row r="45">
          <cell r="J45">
            <v>11009.192606289205</v>
          </cell>
        </row>
        <row r="46">
          <cell r="J46">
            <v>454087.98629877571</v>
          </cell>
        </row>
        <row r="48">
          <cell r="J48">
            <v>33444.908968119526</v>
          </cell>
        </row>
        <row r="49">
          <cell r="J49">
            <v>68204.570041090774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редиторы"/>
      <sheetName val="Российские "/>
      <sheetName val="Иностранные (туристы)"/>
      <sheetName val="Словари"/>
    </sheetNames>
    <sheetDataSet>
      <sheetData sheetId="0" refreshError="1"/>
      <sheetData sheetId="1" refreshError="1"/>
      <sheetData sheetId="2" refreshError="1"/>
      <sheetData sheetId="3" refreshError="1">
        <row r="2">
          <cell r="E2" t="str">
            <v>USD</v>
          </cell>
        </row>
        <row r="3">
          <cell r="E3" t="str">
            <v>EUR</v>
          </cell>
        </row>
        <row r="4">
          <cell r="E4" t="str">
            <v>GBP</v>
          </cell>
        </row>
        <row r="5">
          <cell r="E5" t="str">
            <v>CHF</v>
          </cell>
        </row>
        <row r="6">
          <cell r="E6" t="str">
            <v>TND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едатель"/>
      <sheetName val="01-07-02"/>
      <sheetName val="01-08-02"/>
      <sheetName val="01-09-02"/>
      <sheetName val="01-10-02"/>
      <sheetName val="01-11-02"/>
      <sheetName val="01-12-02"/>
      <sheetName val="01-01-03"/>
      <sheetName val="01-02-03"/>
      <sheetName val="ОТЧЕТ"/>
    </sheetNames>
    <sheetDataSet>
      <sheetData sheetId="0" refreshError="1">
        <row r="1">
          <cell r="B1" t="str">
            <v>АКБ "Местбанк"</v>
          </cell>
        </row>
        <row r="2">
          <cell r="B2" t="str">
            <v>АКБ "РОСБАНК"</v>
          </cell>
        </row>
        <row r="3">
          <cell r="B3" t="str">
            <v>АО "СБЕРБАНК"</v>
          </cell>
        </row>
        <row r="4">
          <cell r="B4" t="str">
            <v>ЗАО "VNB-Невский альянс"</v>
          </cell>
        </row>
        <row r="5">
          <cell r="B5" t="str">
            <v>ЗАО КБ "Гута-Банк"</v>
          </cell>
        </row>
        <row r="6">
          <cell r="B6" t="str">
            <v>КБ "Газпромбанк"</v>
          </cell>
        </row>
        <row r="7">
          <cell r="B7" t="str">
            <v>ОАО "ГАЗПРОМ"</v>
          </cell>
        </row>
        <row r="8">
          <cell r="B8" t="str">
            <v>Банк "ИБГ НИКОЙЛ"</v>
          </cell>
        </row>
        <row r="9">
          <cell r="B9" t="str">
            <v>Внешэкономбанк</v>
          </cell>
        </row>
        <row r="10">
          <cell r="B10" t="str">
            <v>ООО "Свзьтранссервис"</v>
          </cell>
        </row>
        <row r="11">
          <cell r="B11" t="str">
            <v>ВНЕШТОРГБАНК</v>
          </cell>
        </row>
        <row r="12">
          <cell r="B12" t="str">
            <v>Банк "Еврофинанс"</v>
          </cell>
        </row>
        <row r="13">
          <cell r="B13" t="str">
            <v>ОАО "ИМПЕКСБАНК"</v>
          </cell>
        </row>
        <row r="14">
          <cell r="B14" t="str">
            <v>Урало-Сибирский Банк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рма №1"/>
      <sheetName val="Форма №2"/>
      <sheetName val="Форма №3"/>
      <sheetName val="Форма № 4- упр. отч."/>
      <sheetName val="CF-national"/>
      <sheetName val="Баланс"/>
      <sheetName val="ОПУ"/>
      <sheetName val="Капитал"/>
      <sheetName val="Капитал 2005-31.06.2006"/>
      <sheetName val="Оборотная ведомость"/>
      <sheetName val="Капитал EY"/>
      <sheetName val="ОПУ-HC "/>
      <sheetName val="Стоимость аудита "/>
      <sheetName val="Доначисление премий с Ингонорд"/>
      <sheetName val="межгруппа"/>
      <sheetName val="Movements in I-O reserves"/>
      <sheetName val="IFRS reserves 2005"/>
      <sheetName val="UPR_Loss_DAC 2006"/>
      <sheetName val="DT calc"/>
      <sheetName val="DT Basel"/>
      <sheetName val="ADJ"/>
      <sheetName val="межгруппа HC"/>
      <sheetName val="InterCo elimination"/>
      <sheetName val="Consolidated change in res."/>
      <sheetName val="adjustment per auditor"/>
      <sheetName val="ORE2006"/>
      <sheetName val="SAD2006"/>
      <sheetName val="Adj 30.06.2006 "/>
      <sheetName val="work 30 note"/>
      <sheetName val="Налог на приб. кон-й (3% и 25%)"/>
      <sheetName val="AFS"/>
      <sheetName val="Касса и экв"/>
      <sheetName val="Депозиты"/>
      <sheetName val="Прочие активы"/>
      <sheetName val="Прочие пассивы"/>
      <sheetName val="Кредиты"/>
      <sheetName val="Страховая дз_кз"/>
      <sheetName val="loans-расшифровка"/>
      <sheetName val="FA IFRS 2006"/>
      <sheetName val="ОС-национальные"/>
      <sheetName val="AFS_unquoted"/>
      <sheetName val="Торговые цб"/>
      <sheetName val="Для продажи"/>
      <sheetName val="Дочерние и завис"/>
      <sheetName val="Инвестиц собств"/>
      <sheetName val="Прочие дох_расх"/>
      <sheetName val="Прочие дох_расх HC"/>
      <sheetName val="Прочие страх"/>
      <sheetName val="Прочие страх HC"/>
      <sheetName val="З.П."/>
      <sheetName val="Инвест рез-т"/>
      <sheetName val="Форекс"/>
      <sheetName val="Налог на прибыль 3% HC"/>
      <sheetName val="Налог на прибыль (25%) HC"/>
      <sheetName val="Налог на прибыль"/>
      <sheetName val="Сегментарный отчет"/>
      <sheetName val="Сегментарный отчет HC"/>
      <sheetName val="Сегментарный отчет_ уч группы"/>
      <sheetName val="Сегмент-ый отчет_ уч группы HC"/>
      <sheetName val="Доначисление премий"/>
      <sheetName val="Резервирование"/>
      <sheetName val="Просроченная страх-ая задолж"/>
      <sheetName val="Условные обяз-ва"/>
      <sheetName val="Пенсонный план"/>
      <sheetName val="Лист1"/>
      <sheetName val="Баланс и ОПУ_детальный"/>
      <sheetName val="8.IFRS Change in equity"/>
      <sheetName val="9. Cash Flow"/>
      <sheetName val="Note 5"/>
      <sheetName val="Note 6"/>
      <sheetName val="Note 7"/>
      <sheetName val="Note 8 (not-ap.)"/>
      <sheetName val="Note 9"/>
      <sheetName val="Note 10 (not-ap.)"/>
      <sheetName val="Note 11"/>
      <sheetName val="Note 13"/>
      <sheetName val="Note 14"/>
      <sheetName val="Note 15 (not-ap.)"/>
      <sheetName val="Note 16"/>
      <sheetName val="Note 17"/>
      <sheetName val="Note 18 (not-ap.)"/>
      <sheetName val="Note 19 -актуарии"/>
      <sheetName val="Note 20"/>
      <sheetName val="Note 21"/>
      <sheetName val="Note 22"/>
      <sheetName val="Note 23"/>
      <sheetName val="Note 24"/>
      <sheetName val="Note 25"/>
      <sheetName val="Note 26"/>
      <sheetName val="Note 27"/>
      <sheetName val="Note 30"/>
      <sheetName val="Note 31 (not-ap.)"/>
      <sheetName val="Note 32 (not-ap.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4">
          <cell r="P4">
            <v>5.0387973383351197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стройка"/>
      <sheetName val="БАЗА"/>
      <sheetName val="Выдача"/>
      <sheetName val="Прием"/>
      <sheetName val="Резерв"/>
      <sheetName val="Доход"/>
      <sheetName val="Оплата"/>
      <sheetName val="Договор"/>
      <sheetName val="ПриемБД"/>
      <sheetName val="актБД"/>
    </sheetNames>
    <sheetDataSet>
      <sheetData sheetId="0" refreshError="1">
        <row r="3">
          <cell r="B3" t="str">
            <v>ОАО "РАСО"</v>
          </cell>
        </row>
        <row r="17">
          <cell r="B17" t="str">
            <v>КБ  ''РБР'' (ООО)</v>
          </cell>
        </row>
      </sheetData>
      <sheetData sheetId="1" refreshError="1">
        <row r="2">
          <cell r="C2" t="str">
            <v>РБР-РАСО/1-1610</v>
          </cell>
          <cell r="E2">
            <v>37910</v>
          </cell>
        </row>
        <row r="4">
          <cell r="E4">
            <v>37910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орудование_стоим"/>
      <sheetName val="Инвестиции_строит"/>
      <sheetName val="Инвестиции_план"/>
      <sheetName val="Инвестиции_график"/>
      <sheetName val="Расх_мат-ов_ед"/>
      <sheetName val="Расх_мат-ов_прог"/>
      <sheetName val="Себестоимость"/>
      <sheetName val="Пр_прог_Ст"/>
      <sheetName val="Выпуск_реализация"/>
      <sheetName val="Штат_расп"/>
      <sheetName val="Наклад_расх"/>
      <sheetName val="Оборотн_кап"/>
      <sheetName val="Profit_loss"/>
      <sheetName val="Cash_flows"/>
      <sheetName val="Cashflows_payments"/>
      <sheetName val="Графики"/>
      <sheetName val="БАЗА"/>
      <sheetName val="Настройка"/>
      <sheetName val="????????????_?????"/>
      <sheetName val="Дебиторка"/>
      <sheetName val="Cash-Flow"/>
      <sheetName val="справки к раз.2"/>
      <sheetName val="оборудование"/>
      <sheetName val="5350.02(зачеты)+"/>
      <sheetName val="62"/>
      <sheetName val="конфиг"/>
      <sheetName val="ТД РАП"/>
      <sheetName val="__________________"/>
      <sheetName val="Реестр"/>
      <sheetName val="Финплан"/>
      <sheetName val="Неделя"/>
      <sheetName val="1.411.1"/>
      <sheetName val="Калькуляции"/>
      <sheetName val="ПРЯМЫЕ"/>
      <sheetName val="Bendra"/>
      <sheetName val="коэфф"/>
      <sheetName val="план"/>
      <sheetName val="balans 3"/>
      <sheetName val="Позиция"/>
      <sheetName val="Инструкции"/>
      <sheetName val="???????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фаг"/>
      <sheetName val="Ингонорд"/>
      <sheetName val="Гарант"/>
      <sheetName val="Инго-Украина"/>
      <sheetName val="Белингострах"/>
      <sheetName val="Киргизинстрах"/>
      <sheetName val="Инго-Армения"/>
      <sheetName val="ЛМТ"/>
      <sheetName val="Оборудование_стоим"/>
    </sheetNames>
    <sheetDataSet>
      <sheetData sheetId="0"/>
      <sheetData sheetId="1" refreshError="1">
        <row r="4">
          <cell r="P4">
            <v>0.79700316989395426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CT06301"/>
      <sheetName val="акции"/>
    </sheetNames>
    <sheetDataSet>
      <sheetData sheetId="0"/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a"/>
      <sheetName val="1.1а"/>
      <sheetName val="1.2а"/>
      <sheetName val="2.1а"/>
      <sheetName val="2.2а"/>
      <sheetName val="3.1а"/>
      <sheetName val="3.2а"/>
      <sheetName val="3.3а"/>
      <sheetName val="РВД"/>
      <sheetName val="SG&amp;A"/>
      <sheetName val="ИД-1"/>
      <sheetName val="ИД-2.1"/>
      <sheetName val="ИД-2.2"/>
      <sheetName val="P&amp;L"/>
      <sheetName val="РВД(филиалы)"/>
      <sheetName val="БДДС"/>
      <sheetName val="CFy"/>
      <sheetName val="TOy"/>
      <sheetName val="CFm"/>
      <sheetName val="TOm10"/>
      <sheetName val="TO9m"/>
      <sheetName val="Оборотный балан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0">
          <cell r="C20">
            <v>10</v>
          </cell>
          <cell r="D20">
            <v>10</v>
          </cell>
          <cell r="E20" t="str">
            <v>10</v>
          </cell>
          <cell r="F20">
            <v>6871930.5</v>
          </cell>
          <cell r="G20">
            <v>6873468.5700000003</v>
          </cell>
        </row>
        <row r="24">
          <cell r="C24">
            <v>20</v>
          </cell>
          <cell r="D24">
            <v>20</v>
          </cell>
          <cell r="E24" t="str">
            <v>20</v>
          </cell>
          <cell r="F24">
            <v>27956432.59</v>
          </cell>
          <cell r="G24">
            <v>27957522.940000001</v>
          </cell>
        </row>
        <row r="25">
          <cell r="C25">
            <v>30</v>
          </cell>
          <cell r="D25">
            <v>30</v>
          </cell>
          <cell r="E25" t="str">
            <v>30</v>
          </cell>
          <cell r="F25">
            <v>67812.94</v>
          </cell>
          <cell r="G25">
            <v>68402.460000000006</v>
          </cell>
        </row>
        <row r="26">
          <cell r="C26">
            <v>40</v>
          </cell>
          <cell r="D26">
            <v>40</v>
          </cell>
          <cell r="E26">
            <v>0</v>
          </cell>
          <cell r="F26">
            <v>0</v>
          </cell>
          <cell r="G26">
            <v>0</v>
          </cell>
        </row>
        <row r="27">
          <cell r="C27">
            <v>50</v>
          </cell>
          <cell r="D27">
            <v>50</v>
          </cell>
          <cell r="E27">
            <v>0</v>
          </cell>
          <cell r="F27">
            <v>0</v>
          </cell>
          <cell r="G27">
            <v>0</v>
          </cell>
        </row>
        <row r="28">
          <cell r="C28">
            <v>60</v>
          </cell>
          <cell r="D28">
            <v>60</v>
          </cell>
          <cell r="E28">
            <v>0</v>
          </cell>
          <cell r="F28">
            <v>0</v>
          </cell>
          <cell r="G28">
            <v>0</v>
          </cell>
        </row>
        <row r="29">
          <cell r="C29">
            <v>70</v>
          </cell>
          <cell r="D29">
            <v>70</v>
          </cell>
          <cell r="E29" t="str">
            <v>70</v>
          </cell>
          <cell r="F29">
            <v>10559662.6</v>
          </cell>
          <cell r="G29">
            <v>10565903.800000001</v>
          </cell>
        </row>
        <row r="32">
          <cell r="C32">
            <v>80</v>
          </cell>
          <cell r="D32">
            <v>80</v>
          </cell>
          <cell r="E32" t="str">
            <v>80</v>
          </cell>
          <cell r="F32">
            <v>2050761.25</v>
          </cell>
          <cell r="G32">
            <v>2050761.25</v>
          </cell>
        </row>
        <row r="33">
          <cell r="C33">
            <v>90</v>
          </cell>
          <cell r="D33">
            <v>90</v>
          </cell>
          <cell r="E33" t="str">
            <v>90</v>
          </cell>
          <cell r="F33">
            <v>2882698.18</v>
          </cell>
          <cell r="G33">
            <v>2882698.18</v>
          </cell>
        </row>
        <row r="34">
          <cell r="C34">
            <v>100</v>
          </cell>
          <cell r="D34">
            <v>100</v>
          </cell>
          <cell r="E34">
            <v>0</v>
          </cell>
          <cell r="F34">
            <v>0</v>
          </cell>
          <cell r="G34">
            <v>0</v>
          </cell>
        </row>
        <row r="35">
          <cell r="C35">
            <v>110</v>
          </cell>
          <cell r="D35">
            <v>110</v>
          </cell>
          <cell r="E35" t="str">
            <v>110</v>
          </cell>
          <cell r="F35">
            <v>6935411.0800000001</v>
          </cell>
          <cell r="G35">
            <v>6943358.1500000004</v>
          </cell>
        </row>
        <row r="36">
          <cell r="C36">
            <v>120</v>
          </cell>
          <cell r="D36">
            <v>120</v>
          </cell>
          <cell r="E36">
            <v>0</v>
          </cell>
          <cell r="F36">
            <v>0</v>
          </cell>
          <cell r="G36">
            <v>0</v>
          </cell>
        </row>
        <row r="37">
          <cell r="C37">
            <v>130</v>
          </cell>
          <cell r="D37">
            <v>130</v>
          </cell>
          <cell r="E37">
            <v>0</v>
          </cell>
          <cell r="F37">
            <v>0</v>
          </cell>
          <cell r="G37">
            <v>0</v>
          </cell>
        </row>
        <row r="38">
          <cell r="C38">
            <v>140</v>
          </cell>
          <cell r="D38">
            <v>140</v>
          </cell>
          <cell r="E38" t="str">
            <v>140</v>
          </cell>
          <cell r="F38">
            <v>3531633.9</v>
          </cell>
          <cell r="G38">
            <v>3531633.9</v>
          </cell>
        </row>
        <row r="39">
          <cell r="C39">
            <v>150</v>
          </cell>
          <cell r="D39">
            <v>150</v>
          </cell>
          <cell r="E39" t="str">
            <v>150</v>
          </cell>
          <cell r="F39">
            <v>735089.4</v>
          </cell>
          <cell r="G39">
            <v>735089.4</v>
          </cell>
        </row>
        <row r="40">
          <cell r="C40">
            <v>160</v>
          </cell>
          <cell r="D40">
            <v>160</v>
          </cell>
          <cell r="E40">
            <v>0</v>
          </cell>
          <cell r="F40">
            <v>0</v>
          </cell>
          <cell r="G40">
            <v>0</v>
          </cell>
        </row>
        <row r="41">
          <cell r="C41">
            <v>170</v>
          </cell>
          <cell r="D41">
            <v>170</v>
          </cell>
          <cell r="E41" t="str">
            <v>170</v>
          </cell>
          <cell r="F41">
            <v>2429288.7200000002</v>
          </cell>
          <cell r="G41">
            <v>2429288.7200000002</v>
          </cell>
        </row>
        <row r="42">
          <cell r="C42">
            <v>180</v>
          </cell>
          <cell r="D42">
            <v>180</v>
          </cell>
          <cell r="E42">
            <v>0</v>
          </cell>
          <cell r="F42">
            <v>0</v>
          </cell>
          <cell r="G42">
            <v>0</v>
          </cell>
        </row>
        <row r="43">
          <cell r="C43">
            <v>190</v>
          </cell>
          <cell r="D43">
            <v>190</v>
          </cell>
          <cell r="E43">
            <v>0</v>
          </cell>
          <cell r="F43">
            <v>0</v>
          </cell>
          <cell r="G43">
            <v>0</v>
          </cell>
        </row>
        <row r="44">
          <cell r="C44">
            <v>200</v>
          </cell>
          <cell r="D44">
            <v>200</v>
          </cell>
          <cell r="E44" t="str">
            <v>200</v>
          </cell>
          <cell r="F44">
            <v>21121355.789999999</v>
          </cell>
          <cell r="G44">
            <v>21122222.449999999</v>
          </cell>
        </row>
        <row r="46">
          <cell r="C46">
            <v>210</v>
          </cell>
          <cell r="F46">
            <v>-1102330.1899999902</v>
          </cell>
          <cell r="G46">
            <v>-1103222.8499999903</v>
          </cell>
        </row>
        <row r="50">
          <cell r="C50">
            <v>220</v>
          </cell>
          <cell r="D50">
            <v>220</v>
          </cell>
          <cell r="E50">
            <v>0</v>
          </cell>
          <cell r="F50">
            <v>0</v>
          </cell>
          <cell r="G50">
            <v>0</v>
          </cell>
        </row>
        <row r="51">
          <cell r="C51">
            <v>230</v>
          </cell>
          <cell r="D51">
            <v>460</v>
          </cell>
          <cell r="E51">
            <v>0</v>
          </cell>
          <cell r="F51">
            <v>0</v>
          </cell>
          <cell r="G51">
            <v>0</v>
          </cell>
        </row>
        <row r="52">
          <cell r="C52">
            <v>240</v>
          </cell>
          <cell r="D52">
            <v>240</v>
          </cell>
          <cell r="E52" t="str">
            <v>240</v>
          </cell>
          <cell r="F52">
            <v>2853698.63</v>
          </cell>
          <cell r="G52">
            <v>2853698.63</v>
          </cell>
        </row>
        <row r="53">
          <cell r="C53">
            <v>250</v>
          </cell>
          <cell r="D53">
            <v>250</v>
          </cell>
          <cell r="E53">
            <v>0</v>
          </cell>
          <cell r="F53">
            <v>0</v>
          </cell>
          <cell r="G53">
            <v>0</v>
          </cell>
        </row>
        <row r="54">
          <cell r="C54">
            <v>260</v>
          </cell>
          <cell r="D54">
            <v>260</v>
          </cell>
          <cell r="E54" t="str">
            <v>260</v>
          </cell>
          <cell r="F54">
            <v>0</v>
          </cell>
          <cell r="G54">
            <v>0</v>
          </cell>
        </row>
        <row r="55">
          <cell r="C55">
            <v>270</v>
          </cell>
          <cell r="D55">
            <v>270</v>
          </cell>
          <cell r="E55">
            <v>0</v>
          </cell>
          <cell r="F55">
            <v>0</v>
          </cell>
          <cell r="G55">
            <v>0</v>
          </cell>
        </row>
        <row r="56">
          <cell r="C56">
            <v>280</v>
          </cell>
          <cell r="D56">
            <v>280</v>
          </cell>
          <cell r="E56">
            <v>0</v>
          </cell>
          <cell r="F56">
            <v>0</v>
          </cell>
          <cell r="G56">
            <v>0</v>
          </cell>
        </row>
        <row r="58">
          <cell r="C58">
            <v>290</v>
          </cell>
          <cell r="D58">
            <v>290</v>
          </cell>
          <cell r="E58">
            <v>0</v>
          </cell>
          <cell r="F58">
            <v>0</v>
          </cell>
          <cell r="G58">
            <v>0</v>
          </cell>
        </row>
        <row r="59">
          <cell r="C59">
            <v>300</v>
          </cell>
          <cell r="D59">
            <v>300</v>
          </cell>
          <cell r="E59">
            <v>0</v>
          </cell>
          <cell r="F59">
            <v>0</v>
          </cell>
          <cell r="G59">
            <v>0</v>
          </cell>
        </row>
        <row r="60">
          <cell r="C60">
            <v>310</v>
          </cell>
          <cell r="D60">
            <v>310</v>
          </cell>
          <cell r="E60">
            <v>0</v>
          </cell>
          <cell r="F60">
            <v>0</v>
          </cell>
          <cell r="G60">
            <v>0</v>
          </cell>
        </row>
        <row r="61">
          <cell r="C61">
            <v>320</v>
          </cell>
          <cell r="D61">
            <v>320</v>
          </cell>
          <cell r="E61">
            <v>0</v>
          </cell>
          <cell r="F61">
            <v>0</v>
          </cell>
          <cell r="G61">
            <v>0</v>
          </cell>
        </row>
        <row r="62">
          <cell r="C62">
            <v>330</v>
          </cell>
          <cell r="D62">
            <v>330</v>
          </cell>
          <cell r="E62">
            <v>0</v>
          </cell>
          <cell r="F62">
            <v>0</v>
          </cell>
          <cell r="G62">
            <v>0</v>
          </cell>
        </row>
        <row r="63">
          <cell r="C63">
            <v>340</v>
          </cell>
          <cell r="D63">
            <v>340</v>
          </cell>
          <cell r="E63">
            <v>0</v>
          </cell>
          <cell r="F63">
            <v>0</v>
          </cell>
          <cell r="G63">
            <v>0</v>
          </cell>
        </row>
        <row r="64">
          <cell r="C64">
            <v>350</v>
          </cell>
          <cell r="F64">
            <v>2853698.63</v>
          </cell>
          <cell r="G64">
            <v>2853698.63</v>
          </cell>
        </row>
        <row r="68">
          <cell r="C68">
            <v>360</v>
          </cell>
          <cell r="D68">
            <v>360</v>
          </cell>
          <cell r="E68">
            <v>0</v>
          </cell>
          <cell r="F68">
            <v>0</v>
          </cell>
          <cell r="G68">
            <v>0</v>
          </cell>
        </row>
        <row r="69">
          <cell r="C69">
            <v>370</v>
          </cell>
          <cell r="D69">
            <v>370</v>
          </cell>
          <cell r="E69">
            <v>0</v>
          </cell>
          <cell r="F69">
            <v>0</v>
          </cell>
          <cell r="G69">
            <v>0</v>
          </cell>
        </row>
        <row r="70">
          <cell r="C70">
            <v>380</v>
          </cell>
          <cell r="D70">
            <v>380</v>
          </cell>
          <cell r="E70">
            <v>0</v>
          </cell>
          <cell r="F70">
            <v>0</v>
          </cell>
          <cell r="G70">
            <v>0</v>
          </cell>
        </row>
        <row r="71">
          <cell r="C71">
            <v>390</v>
          </cell>
          <cell r="D71">
            <v>390</v>
          </cell>
          <cell r="E71">
            <v>0</v>
          </cell>
          <cell r="F71">
            <v>0</v>
          </cell>
          <cell r="G71">
            <v>0</v>
          </cell>
        </row>
        <row r="72">
          <cell r="C72">
            <v>400</v>
          </cell>
          <cell r="D72">
            <v>400</v>
          </cell>
          <cell r="E72">
            <v>0</v>
          </cell>
          <cell r="F72">
            <v>0</v>
          </cell>
          <cell r="G72">
            <v>0</v>
          </cell>
        </row>
        <row r="73">
          <cell r="C73">
            <v>410</v>
          </cell>
          <cell r="D73">
            <v>410</v>
          </cell>
          <cell r="E73">
            <v>0</v>
          </cell>
          <cell r="F73">
            <v>0</v>
          </cell>
          <cell r="G73">
            <v>0</v>
          </cell>
        </row>
        <row r="74">
          <cell r="C74">
            <v>420</v>
          </cell>
          <cell r="D74">
            <v>420</v>
          </cell>
          <cell r="E74">
            <v>0</v>
          </cell>
          <cell r="F74">
            <v>0</v>
          </cell>
          <cell r="G74">
            <v>0</v>
          </cell>
        </row>
        <row r="75">
          <cell r="C75">
            <v>430</v>
          </cell>
          <cell r="D75">
            <v>430</v>
          </cell>
          <cell r="E75">
            <v>0</v>
          </cell>
          <cell r="F75">
            <v>0</v>
          </cell>
          <cell r="G75">
            <v>0</v>
          </cell>
        </row>
        <row r="76">
          <cell r="C76">
            <v>440</v>
          </cell>
          <cell r="F76">
            <v>0</v>
          </cell>
          <cell r="G76">
            <v>0</v>
          </cell>
        </row>
        <row r="78">
          <cell r="C78">
            <v>450</v>
          </cell>
          <cell r="F78">
            <v>1751368.4400000097</v>
          </cell>
          <cell r="G78">
            <v>1750475.7800000096</v>
          </cell>
        </row>
        <row r="79">
          <cell r="C79">
            <v>460</v>
          </cell>
          <cell r="D79">
            <v>230</v>
          </cell>
          <cell r="E79" t="str">
            <v>230</v>
          </cell>
          <cell r="F79">
            <v>8623298.9399999995</v>
          </cell>
          <cell r="G79">
            <v>8623944.3499999996</v>
          </cell>
        </row>
        <row r="80">
          <cell r="C80">
            <v>470</v>
          </cell>
        </row>
        <row r="85">
          <cell r="C85" t="str">
            <v>Код</v>
          </cell>
          <cell r="F85" t="str">
            <v>Сумма</v>
          </cell>
          <cell r="G85" t="str">
            <v>Cумма без переоц.</v>
          </cell>
        </row>
        <row r="87">
          <cell r="C87" t="str">
            <v>57001</v>
          </cell>
          <cell r="F87">
            <v>5109171.05</v>
          </cell>
          <cell r="G87">
            <v>5115412.25</v>
          </cell>
        </row>
        <row r="88">
          <cell r="C88" t="str">
            <v>57003</v>
          </cell>
          <cell r="F88">
            <v>2550000</v>
          </cell>
          <cell r="G88">
            <v>2550000</v>
          </cell>
        </row>
        <row r="89">
          <cell r="C89" t="str">
            <v>57500</v>
          </cell>
          <cell r="F89">
            <v>799475.54</v>
          </cell>
          <cell r="G89">
            <v>799475.54</v>
          </cell>
        </row>
        <row r="90">
          <cell r="C90" t="str">
            <v>57600</v>
          </cell>
          <cell r="F90">
            <v>216423.67</v>
          </cell>
          <cell r="G90">
            <v>216423.67</v>
          </cell>
        </row>
        <row r="91">
          <cell r="C91" t="str">
            <v>57700</v>
          </cell>
          <cell r="F91">
            <v>133996.91</v>
          </cell>
          <cell r="G91">
            <v>133996.91</v>
          </cell>
        </row>
        <row r="92">
          <cell r="C92" t="str">
            <v>71001</v>
          </cell>
          <cell r="F92">
            <v>3900</v>
          </cell>
          <cell r="G92">
            <v>3900</v>
          </cell>
        </row>
        <row r="93">
          <cell r="C93" t="str">
            <v>71500</v>
          </cell>
          <cell r="F93">
            <v>2680.8</v>
          </cell>
          <cell r="G93">
            <v>2680.8</v>
          </cell>
        </row>
        <row r="94">
          <cell r="C94" t="str">
            <v>71600</v>
          </cell>
          <cell r="F94">
            <v>7415</v>
          </cell>
          <cell r="G94">
            <v>7415</v>
          </cell>
        </row>
        <row r="95">
          <cell r="C95" t="str">
            <v>71700</v>
          </cell>
          <cell r="F95">
            <v>41600.1</v>
          </cell>
          <cell r="G95">
            <v>41600.1</v>
          </cell>
        </row>
        <row r="96">
          <cell r="C96" t="str">
            <v>76140</v>
          </cell>
          <cell r="F96">
            <v>36.69</v>
          </cell>
          <cell r="G96">
            <v>36.69</v>
          </cell>
        </row>
        <row r="97">
          <cell r="C97" t="str">
            <v>76302</v>
          </cell>
          <cell r="F97">
            <v>617.45000000000005</v>
          </cell>
          <cell r="G97">
            <v>617.45000000000005</v>
          </cell>
        </row>
        <row r="98">
          <cell r="C98" t="str">
            <v>79002</v>
          </cell>
          <cell r="F98">
            <v>934600</v>
          </cell>
          <cell r="G98">
            <v>934600</v>
          </cell>
        </row>
        <row r="99">
          <cell r="C99" t="str">
            <v>79003</v>
          </cell>
          <cell r="F99">
            <v>757700</v>
          </cell>
          <cell r="G99">
            <v>757700</v>
          </cell>
        </row>
        <row r="100">
          <cell r="C100" t="str">
            <v>91011</v>
          </cell>
          <cell r="F100">
            <v>181.94</v>
          </cell>
          <cell r="G100">
            <v>181.94</v>
          </cell>
        </row>
        <row r="101">
          <cell r="C101" t="str">
            <v>91605</v>
          </cell>
          <cell r="F101">
            <v>1735.12</v>
          </cell>
          <cell r="G101">
            <v>1735.12</v>
          </cell>
        </row>
        <row r="102">
          <cell r="C102" t="str">
            <v>91905</v>
          </cell>
          <cell r="F102">
            <v>6</v>
          </cell>
          <cell r="G102">
            <v>6</v>
          </cell>
        </row>
        <row r="103">
          <cell r="C103" t="str">
            <v>91911</v>
          </cell>
          <cell r="F103">
            <v>122.33</v>
          </cell>
          <cell r="G103">
            <v>122.33</v>
          </cell>
        </row>
        <row r="107">
          <cell r="C107" t="str">
            <v>Код</v>
          </cell>
          <cell r="F107" t="str">
            <v>Сумма</v>
          </cell>
          <cell r="G107" t="str">
            <v>Cумма без переоц.</v>
          </cell>
        </row>
        <row r="109">
          <cell r="C109" t="str">
            <v>26032</v>
          </cell>
          <cell r="F109">
            <v>125778.84</v>
          </cell>
          <cell r="G109">
            <v>125778.84</v>
          </cell>
        </row>
        <row r="110">
          <cell r="C110" t="str">
            <v>26097</v>
          </cell>
          <cell r="F110">
            <v>1361.25</v>
          </cell>
          <cell r="G110">
            <v>1361.25</v>
          </cell>
        </row>
        <row r="111">
          <cell r="C111" t="str">
            <v>26756</v>
          </cell>
          <cell r="F111">
            <v>172.6</v>
          </cell>
          <cell r="G111">
            <v>172.6</v>
          </cell>
        </row>
        <row r="112">
          <cell r="C112" t="str">
            <v>57001</v>
          </cell>
          <cell r="F112">
            <v>5121519.1500000004</v>
          </cell>
          <cell r="G112">
            <v>5122385.8099999996</v>
          </cell>
        </row>
        <row r="113">
          <cell r="C113" t="str">
            <v>57003</v>
          </cell>
          <cell r="F113">
            <v>2550000</v>
          </cell>
          <cell r="G113">
            <v>2550000</v>
          </cell>
        </row>
        <row r="114">
          <cell r="C114" t="str">
            <v>57500</v>
          </cell>
          <cell r="F114">
            <v>1105198.32</v>
          </cell>
          <cell r="G114">
            <v>1105198.32</v>
          </cell>
        </row>
        <row r="115">
          <cell r="C115" t="str">
            <v>57600</v>
          </cell>
          <cell r="F115">
            <v>72010.240000000005</v>
          </cell>
          <cell r="G115">
            <v>72010.240000000005</v>
          </cell>
        </row>
        <row r="116">
          <cell r="C116" t="str">
            <v>57700</v>
          </cell>
          <cell r="F116">
            <v>243528.19</v>
          </cell>
          <cell r="G116">
            <v>243528.19</v>
          </cell>
        </row>
        <row r="117">
          <cell r="C117" t="str">
            <v>71001</v>
          </cell>
          <cell r="F117">
            <v>54973.11</v>
          </cell>
          <cell r="G117">
            <v>54973.11</v>
          </cell>
        </row>
        <row r="118">
          <cell r="C118" t="str">
            <v>71500</v>
          </cell>
          <cell r="F118">
            <v>30520.28</v>
          </cell>
          <cell r="G118">
            <v>30520.28</v>
          </cell>
        </row>
        <row r="119">
          <cell r="C119" t="str">
            <v>71600</v>
          </cell>
          <cell r="F119">
            <v>59531.61</v>
          </cell>
          <cell r="G119">
            <v>59531.61</v>
          </cell>
        </row>
        <row r="120">
          <cell r="C120" t="str">
            <v>71700</v>
          </cell>
          <cell r="F120">
            <v>64906.47</v>
          </cell>
          <cell r="G120">
            <v>64906.47</v>
          </cell>
        </row>
        <row r="121">
          <cell r="C121" t="str">
            <v>76140</v>
          </cell>
          <cell r="F121">
            <v>36.69</v>
          </cell>
          <cell r="G121">
            <v>36.69</v>
          </cell>
        </row>
        <row r="122">
          <cell r="C122" t="str">
            <v>76302</v>
          </cell>
          <cell r="F122">
            <v>617.45000000000005</v>
          </cell>
          <cell r="G122">
            <v>617.45000000000005</v>
          </cell>
        </row>
        <row r="123">
          <cell r="C123" t="str">
            <v>76315</v>
          </cell>
          <cell r="F123">
            <v>9768448.3800000008</v>
          </cell>
          <cell r="G123">
            <v>9768448.3800000008</v>
          </cell>
        </row>
        <row r="124">
          <cell r="C124" t="str">
            <v>76365</v>
          </cell>
          <cell r="F124">
            <v>18088.77</v>
          </cell>
          <cell r="G124">
            <v>18088.77</v>
          </cell>
        </row>
        <row r="125">
          <cell r="C125" t="str">
            <v>76366</v>
          </cell>
          <cell r="F125">
            <v>18088.77</v>
          </cell>
          <cell r="G125">
            <v>18088.77</v>
          </cell>
        </row>
        <row r="126">
          <cell r="C126" t="str">
            <v>76500</v>
          </cell>
          <cell r="F126">
            <v>6574.91</v>
          </cell>
          <cell r="G126">
            <v>6574.91</v>
          </cell>
        </row>
        <row r="127">
          <cell r="C127" t="str">
            <v>77500</v>
          </cell>
          <cell r="F127">
            <v>8931.0300000000007</v>
          </cell>
          <cell r="G127">
            <v>8931.0300000000007</v>
          </cell>
        </row>
        <row r="128">
          <cell r="C128" t="str">
            <v>79002</v>
          </cell>
          <cell r="F128">
            <v>934600</v>
          </cell>
          <cell r="G128">
            <v>934600</v>
          </cell>
        </row>
        <row r="129">
          <cell r="C129" t="str">
            <v>79003</v>
          </cell>
          <cell r="F129">
            <v>757700</v>
          </cell>
          <cell r="G129">
            <v>757700</v>
          </cell>
        </row>
        <row r="130">
          <cell r="C130" t="str">
            <v>91005</v>
          </cell>
          <cell r="F130">
            <v>2678.13</v>
          </cell>
          <cell r="G130">
            <v>2678.13</v>
          </cell>
        </row>
        <row r="131">
          <cell r="C131" t="str">
            <v>91097</v>
          </cell>
          <cell r="F131">
            <v>50</v>
          </cell>
          <cell r="G131">
            <v>50</v>
          </cell>
        </row>
        <row r="132">
          <cell r="C132" t="str">
            <v>91221</v>
          </cell>
          <cell r="F132">
            <v>813.21</v>
          </cell>
          <cell r="G132">
            <v>813.21</v>
          </cell>
        </row>
        <row r="133">
          <cell r="C133" t="str">
            <v>91222</v>
          </cell>
          <cell r="F133">
            <v>37838.25</v>
          </cell>
          <cell r="G133">
            <v>37838.25</v>
          </cell>
        </row>
        <row r="134">
          <cell r="C134" t="str">
            <v>91270</v>
          </cell>
          <cell r="F134">
            <v>22868.880000000001</v>
          </cell>
          <cell r="G134">
            <v>22868.880000000001</v>
          </cell>
        </row>
        <row r="135">
          <cell r="C135" t="str">
            <v>91805</v>
          </cell>
          <cell r="F135">
            <v>1190</v>
          </cell>
          <cell r="G135">
            <v>1190</v>
          </cell>
        </row>
        <row r="136">
          <cell r="C136" t="str">
            <v>91897</v>
          </cell>
          <cell r="F136">
            <v>50</v>
          </cell>
          <cell r="G136">
            <v>50</v>
          </cell>
        </row>
        <row r="137">
          <cell r="C137" t="str">
            <v>91905</v>
          </cell>
          <cell r="F137">
            <v>1006.82</v>
          </cell>
          <cell r="G137">
            <v>1006.82</v>
          </cell>
        </row>
        <row r="138">
          <cell r="C138" t="str">
            <v>99016</v>
          </cell>
          <cell r="F138">
            <v>112274.44</v>
          </cell>
          <cell r="G138">
            <v>112274.44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едатель"/>
      <sheetName val="01-01-05"/>
      <sheetName val="01-02-05"/>
      <sheetName val="01-03-05"/>
      <sheetName val="01-04-05"/>
      <sheetName val="01-05-05"/>
      <sheetName val="01-06-05"/>
      <sheetName val="01-07-05"/>
      <sheetName val="01-08-05"/>
      <sheetName val="ОТЧЕТ"/>
      <sheetName val="Реестр векселей к погашению"/>
    </sheetNames>
    <sheetDataSet>
      <sheetData sheetId="0" refreshError="1">
        <row r="6">
          <cell r="E6">
            <v>38353</v>
          </cell>
          <cell r="F6">
            <v>29.454499999999999</v>
          </cell>
        </row>
        <row r="7">
          <cell r="E7">
            <v>38384</v>
          </cell>
          <cell r="F7">
            <v>28.4937</v>
          </cell>
        </row>
        <row r="8">
          <cell r="E8">
            <v>38412</v>
          </cell>
        </row>
        <row r="9">
          <cell r="E9">
            <v>38443</v>
          </cell>
        </row>
        <row r="10">
          <cell r="E10">
            <v>38473</v>
          </cell>
        </row>
        <row r="11">
          <cell r="E11">
            <v>38504</v>
          </cell>
        </row>
        <row r="12">
          <cell r="E12">
            <v>38534</v>
          </cell>
        </row>
        <row r="13">
          <cell r="E13">
            <v>38565</v>
          </cell>
        </row>
        <row r="14">
          <cell r="E14">
            <v>38596</v>
          </cell>
        </row>
        <row r="15">
          <cell r="E15">
            <v>38626</v>
          </cell>
        </row>
        <row r="16">
          <cell r="E16">
            <v>38657</v>
          </cell>
        </row>
        <row r="17">
          <cell r="E17">
            <v>38687</v>
          </cell>
        </row>
        <row r="18">
          <cell r="E18">
            <v>38718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токол"/>
      <sheetName val="Меню"/>
      <sheetName val="Справочник"/>
      <sheetName val="Свод по переоц "/>
      <sheetName val="Контроль по реестру"/>
      <sheetName val="Свод по дох-расх (обращ)"/>
      <sheetName val="Свод по НКД"/>
      <sheetName val="Макет(обр)"/>
      <sheetName val="Макет(НЕ обр)"/>
      <sheetName val="Макет_НКД"/>
      <sheetName val="1"/>
      <sheetName val="1_НКД"/>
      <sheetName val="2"/>
      <sheetName val="2_НКД"/>
      <sheetName val="3"/>
      <sheetName val="3_НКД"/>
      <sheetName val="4"/>
      <sheetName val="4_НКД"/>
      <sheetName val="5"/>
      <sheetName val="5_НКД"/>
      <sheetName val="6"/>
      <sheetName val="6_НКД"/>
      <sheetName val="8"/>
      <sheetName val="8_НКД"/>
      <sheetName val="9"/>
      <sheetName val="9_НКД"/>
      <sheetName val="10"/>
      <sheetName val="10_НКД"/>
      <sheetName val="11"/>
      <sheetName val="11_НКД"/>
      <sheetName val="12"/>
      <sheetName val="12_НКД"/>
      <sheetName val="13"/>
      <sheetName val="13_НКД"/>
      <sheetName val="14"/>
      <sheetName val="14_НКД"/>
      <sheetName val="15"/>
      <sheetName val="15_НКД"/>
      <sheetName val="16"/>
      <sheetName val="16_НКД"/>
      <sheetName val="17"/>
      <sheetName val="17_НКД"/>
      <sheetName val="18"/>
      <sheetName val="18_НКД"/>
      <sheetName val="19"/>
      <sheetName val="19_НКД"/>
      <sheetName val="20"/>
      <sheetName val="20_НКД"/>
      <sheetName val="21"/>
      <sheetName val="21_НКД"/>
      <sheetName val="22"/>
      <sheetName val="22_НКД"/>
      <sheetName val="23"/>
      <sheetName val="23_НКД"/>
      <sheetName val="24"/>
      <sheetName val="24_НКД"/>
      <sheetName val="25"/>
      <sheetName val="25_НКД"/>
      <sheetName val="26"/>
      <sheetName val="26_НКД"/>
      <sheetName val="27"/>
      <sheetName val="27_НКД"/>
      <sheetName val="28"/>
      <sheetName val="28_НКД"/>
      <sheetName val="29"/>
      <sheetName val="29_НКД"/>
      <sheetName val="30"/>
      <sheetName val="30_НКД"/>
      <sheetName val="31"/>
      <sheetName val="31_НКД"/>
      <sheetName val="32"/>
      <sheetName val="32_НКД"/>
      <sheetName val="33"/>
      <sheetName val="33_НКД"/>
      <sheetName val="34"/>
      <sheetName val="34_НКД"/>
      <sheetName val="35"/>
      <sheetName val="35_НКД"/>
      <sheetName val="36"/>
      <sheetName val="36_НКД"/>
      <sheetName val="37"/>
      <sheetName val="37_НКД"/>
      <sheetName val="38"/>
      <sheetName val="38_НКД"/>
      <sheetName val="39"/>
      <sheetName val="39_НКД"/>
      <sheetName val="40"/>
      <sheetName val="40_НКД"/>
      <sheetName val="41"/>
      <sheetName val="41_НКД"/>
      <sheetName val="42"/>
      <sheetName val="42_НКД"/>
      <sheetName val="43"/>
      <sheetName val="43_НКД"/>
      <sheetName val="44"/>
      <sheetName val="44_НКД"/>
      <sheetName val="45"/>
      <sheetName val="45_НКД"/>
      <sheetName val="46"/>
      <sheetName val="46_НКД"/>
      <sheetName val="47"/>
      <sheetName val="47_НКД"/>
      <sheetName val="48"/>
      <sheetName val="48_НКД"/>
      <sheetName val="49"/>
      <sheetName val="49_НКД"/>
      <sheetName val="50"/>
      <sheetName val="51"/>
      <sheetName val="52"/>
      <sheetName val="53"/>
      <sheetName val="57"/>
      <sheetName val="54"/>
      <sheetName val="55"/>
      <sheetName val="60"/>
      <sheetName val="61"/>
      <sheetName val="62"/>
      <sheetName val="102"/>
      <sheetName val="108"/>
      <sheetName val="113"/>
      <sheetName val="116"/>
      <sheetName val="118"/>
      <sheetName val="120"/>
      <sheetName val="128"/>
      <sheetName val="132"/>
      <sheetName val="133"/>
      <sheetName val="135"/>
      <sheetName val="136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50"/>
      <sheetName val="151"/>
      <sheetName val="152"/>
      <sheetName val="153"/>
      <sheetName val="154"/>
      <sheetName val="156"/>
      <sheetName val="158"/>
      <sheetName val="159"/>
      <sheetName val="160"/>
      <sheetName val="163"/>
    </sheetNames>
    <sheetDataSet>
      <sheetData sheetId="0" refreshError="1"/>
      <sheetData sheetId="1" refreshError="1">
        <row r="3">
          <cell r="B3">
            <v>37986</v>
          </cell>
        </row>
        <row r="7">
          <cell r="B7" t="str">
            <v>за 1 квартал 2004г.</v>
          </cell>
        </row>
        <row r="9">
          <cell r="B9">
            <v>38092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AS adj"/>
      <sheetName val="58"/>
      <sheetName val="55"/>
      <sheetName val="Equities summary"/>
      <sheetName val="non-quoted summary"/>
      <sheetName val="Shares AfS"/>
      <sheetName val="Subs restated"/>
      <sheetName val="Associates restated"/>
      <sheetName val="Pifs"/>
      <sheetName val="Accrual on BOEs and dep"/>
      <sheetName val="BOEs and deposits"/>
      <sheetName val="OA accruals"/>
      <sheetName val="svod banks"/>
      <sheetName val="PIF &amp; trust"/>
      <sheetName val="58004 move"/>
      <sheetName val="rates"/>
      <sheetName val="acc. 76"/>
      <sheetName val="Пифагор"/>
      <sheetName val="sale of non-quoted"/>
      <sheetName val="58099"/>
      <sheetName val="sale 91236"/>
      <sheetName val="58098"/>
      <sheetName val="Союз"/>
      <sheetName val="Muni Bonds MICEX 291204"/>
      <sheetName val="Muni Bonds MICEX 301204"/>
      <sheetName val="Corp Bonds MICEX 291204"/>
      <sheetName val="Corp Bonds MICEX 301204"/>
      <sheetName val="Corp Shares MICEX 291204"/>
      <sheetName val="Corp Shares MICEX 301204"/>
      <sheetName val="Прочие котировки"/>
      <sheetName val="2"/>
      <sheetName val="1"/>
      <sheetName val="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ГТС_2в_об"/>
      <sheetName val="МГТС_3в_об"/>
      <sheetName val="МГор25_об"/>
      <sheetName val="БИН_01_обл"/>
      <sheetName val="РОСБАНК_1"/>
      <sheetName val="Промсвб_03"/>
      <sheetName val="ИнвТорБанк"/>
      <sheetName val="ЛОКОбанк_1"/>
      <sheetName val="ПИТ_Инв_01"/>
      <sheetName val="МГорСЗ_3"/>
      <sheetName val="МГор34_об"/>
      <sheetName val="МГор29_об"/>
      <sheetName val="МГор33_об"/>
      <sheetName val="МГор31_об"/>
      <sheetName val="МГор38_об"/>
      <sheetName val="МГор27_об"/>
      <sheetName val="Петрокомб1"/>
      <sheetName val="ВТБ_обл.3"/>
      <sheetName val="ЕЭС_обл_2в"/>
      <sheetName val="ГАЗПРОМ_А2"/>
      <sheetName val="MF08"/>
      <sheetName val="2028"/>
      <sheetName val="2030"/>
      <sheetName val="2010"/>
      <sheetName val="2003"/>
      <sheetName val="2005"/>
      <sheetName val="2007"/>
      <sheetName val="AVTOVAZ"/>
      <sheetName val="Aries14"/>
      <sheetName val="2018"/>
      <sheetName val="RF04DEM"/>
      <sheetName val="RF05DEM"/>
      <sheetName val="MF05"/>
      <sheetName val="MF06"/>
      <sheetName val="MF07"/>
      <sheetName val="MF04"/>
      <sheetName val="USA04"/>
      <sheetName val="GAZPRU10"/>
      <sheetName val="TNK07"/>
      <sheetName val="GAZPRU20"/>
      <sheetName val="GAZPRU9"/>
      <sheetName val="MTS_new"/>
      <sheetName val="MTS_old"/>
      <sheetName val="MMK_finance"/>
      <sheetName val="Brasil_C"/>
      <sheetName val="ROSNEFT06"/>
      <sheetName val="27008"/>
      <sheetName val="27009"/>
      <sheetName val="27010"/>
      <sheetName val="27011"/>
      <sheetName val="27012"/>
      <sheetName val="27013"/>
      <sheetName val="27014"/>
      <sheetName val="27015"/>
      <sheetName val="27016"/>
      <sheetName val="27017"/>
      <sheetName val="27018"/>
      <sheetName val="27019"/>
      <sheetName val="27020"/>
      <sheetName val="27021"/>
      <sheetName val="27022"/>
      <sheetName val="26003"/>
      <sheetName val="28001"/>
      <sheetName val="45001"/>
      <sheetName val="46001"/>
      <sheetName val="46014"/>
      <sheetName val="46003"/>
      <sheetName val="46002"/>
      <sheetName val="27007"/>
      <sheetName val="27006"/>
      <sheetName val="Даты"/>
      <sheetName val="МГТС_1в_2т"/>
      <sheetName val="МГТС_1в_1т"/>
      <sheetName val="Башкорт3об"/>
      <sheetName val="Башкорт2об"/>
      <sheetName val="СлавНеф2об"/>
      <sheetName val="ТНК5в1т_об"/>
      <sheetName val="ТНК4в1т_об"/>
      <sheetName val="РусАлФ_2в"/>
      <sheetName val="SIS08"/>
      <sheetName val="МГор17_об"/>
      <sheetName val="Форпост_Счета"/>
      <sheetName val="РБР_Счета"/>
      <sheetName val="ALFA05"/>
      <sheetName val="USA31"/>
      <sheetName val="MTS08"/>
      <sheetName val="Контрагенты"/>
      <sheetName val="Праздники"/>
      <sheetName val="СписокЦБ"/>
      <sheetName val="Настройка"/>
      <sheetName val="ПРБ"/>
      <sheetName val="РБР"/>
      <sheetName val="МГор39_об"/>
      <sheetName val="МГор30_об"/>
      <sheetName val="МГор37_об"/>
      <sheetName val="EVRAZ"/>
      <sheetName val="MDM05"/>
      <sheetName val="GAZPRU34"/>
      <sheetName val="NORILSK"/>
      <sheetName val="NOVATEK"/>
      <sheetName val="PROMSVYAZBK"/>
      <sheetName val="Погашенные ЦБ"/>
      <sheetName val="VIMPELCOM09"/>
      <sheetName val="HOMECREDIT08"/>
      <sheetName val="MBRD08"/>
      <sheetName val="Nomos07"/>
      <sheetName val="N_Invest07"/>
      <sheetName val="ZENIT06"/>
      <sheetName val="VIMPELCOM10"/>
      <sheetName val="MDM06"/>
      <sheetName val="PROMSVYAZBK_2"/>
      <sheetName val="MIRAX08"/>
      <sheetName val="INTER08"/>
      <sheetName val="IPMEX07"/>
      <sheetName val="AMTEL07"/>
      <sheetName val="NKNK15"/>
      <sheetName val="SEVERSTAL14"/>
      <sheetName val="SEVERSTAL09"/>
      <sheetName val="HCFB08"/>
      <sheetName val="URALSIB06"/>
      <sheetName val="RUSAG10"/>
      <sheetName val="BKMOSC7"/>
      <sheetName val="BRAZIL_40"/>
      <sheetName val="VTB_35"/>
      <sheetName val="ARG33"/>
      <sheetName val="TUR30"/>
      <sheetName val="EVRAZ09"/>
      <sheetName val="EVRAZ15"/>
      <sheetName val="AVTOVAZ08"/>
      <sheetName val="MDM07"/>
      <sheetName val="ALROSA14"/>
      <sheetName val="MEGAFON09"/>
      <sheetName val="PROMSVYAZ10"/>
      <sheetName val="SIS11"/>
      <sheetName val="ICB2015"/>
      <sheetName val="ICB2008"/>
      <sheetName val="MTS12"/>
      <sheetName val="MTS10"/>
      <sheetName val="Курс_USD"/>
      <sheetName val="USA09"/>
      <sheetName val="VIMPELCOM16"/>
      <sheetName val="DBR09"/>
      <sheetName val="CreditSuisse"/>
      <sheetName val="ARG38"/>
      <sheetName val="ZENIT09"/>
      <sheetName val="PROMSVYAZBK12"/>
      <sheetName val="TMKCAPITAL"/>
      <sheetName val="SALISBURY"/>
      <sheetName val="BARCLAYS"/>
      <sheetName val="Nomos09"/>
      <sheetName val="TUR36"/>
      <sheetName val="ABSOLUT09"/>
      <sheetName val="RBC09"/>
      <sheetName val="ROSBANK09"/>
      <sheetName val="ALFA08"/>
      <sheetName val="PETROCOM09"/>
      <sheetName val="BRAZIL_37"/>
      <sheetName val="AKBRS08"/>
      <sheetName val="Sitronics09"/>
      <sheetName val="VIMPELCOM 16"/>
      <sheetName val="RBC 09"/>
      <sheetName val="ROSBANK 09"/>
      <sheetName val="Справочн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>
        <row r="1">
          <cell r="A1">
            <v>1</v>
          </cell>
          <cell r="B1" t="str">
            <v>января</v>
          </cell>
        </row>
        <row r="2">
          <cell r="A2">
            <v>2</v>
          </cell>
          <cell r="B2" t="str">
            <v>февраля</v>
          </cell>
        </row>
        <row r="3">
          <cell r="A3">
            <v>3</v>
          </cell>
          <cell r="B3" t="str">
            <v>марта</v>
          </cell>
        </row>
        <row r="4">
          <cell r="A4">
            <v>4</v>
          </cell>
          <cell r="B4" t="str">
            <v>апреля</v>
          </cell>
        </row>
        <row r="5">
          <cell r="A5">
            <v>5</v>
          </cell>
          <cell r="B5" t="str">
            <v>мая</v>
          </cell>
        </row>
        <row r="6">
          <cell r="A6">
            <v>6</v>
          </cell>
          <cell r="B6" t="str">
            <v>июня</v>
          </cell>
        </row>
        <row r="7">
          <cell r="A7">
            <v>7</v>
          </cell>
          <cell r="B7" t="str">
            <v>июля</v>
          </cell>
        </row>
        <row r="8">
          <cell r="A8">
            <v>8</v>
          </cell>
          <cell r="B8" t="str">
            <v>августа</v>
          </cell>
        </row>
        <row r="9">
          <cell r="A9">
            <v>9</v>
          </cell>
          <cell r="B9" t="str">
            <v>сентября</v>
          </cell>
        </row>
        <row r="10">
          <cell r="A10">
            <v>10</v>
          </cell>
          <cell r="B10" t="str">
            <v>октября</v>
          </cell>
        </row>
        <row r="11">
          <cell r="A11">
            <v>11</v>
          </cell>
          <cell r="B11" t="str">
            <v>ноября</v>
          </cell>
        </row>
        <row r="12">
          <cell r="A12">
            <v>12</v>
          </cell>
          <cell r="B12" t="str">
            <v>декабря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Январь"/>
      <sheetName val="прив.рес. янв"/>
      <sheetName val="прив.рес.февр"/>
      <sheetName val="Февраль"/>
      <sheetName val="Март"/>
      <sheetName val="Апрель"/>
      <sheetName val="Май"/>
      <sheetName val="Июнь"/>
      <sheetName val="Июль"/>
      <sheetName val="Август"/>
      <sheetName val=" пост ср-в янв"/>
      <sheetName val="пост ср-в февр"/>
      <sheetName val="пост ср-в март"/>
      <sheetName val="пост ср-в апрель"/>
      <sheetName val="Выписка по счету"/>
      <sheetName val="Даты"/>
    </sheetNames>
    <sheetDataSet>
      <sheetData sheetId="0" refreshError="1">
        <row r="9">
          <cell r="C9" t="str">
            <v>А. ДОХОДНАЯ ЧАСТЬ</v>
          </cell>
          <cell r="E9">
            <v>1</v>
          </cell>
        </row>
        <row r="11">
          <cell r="B11">
            <v>1</v>
          </cell>
          <cell r="C11" t="str">
            <v>Всего за алюминий, тыс.$</v>
          </cell>
          <cell r="E11">
            <v>11</v>
          </cell>
        </row>
        <row r="12">
          <cell r="B12">
            <v>11</v>
          </cell>
          <cell r="C12" t="str">
            <v>Толлинг(всего)</v>
          </cell>
          <cell r="E12">
            <v>111</v>
          </cell>
        </row>
        <row r="13">
          <cell r="B13">
            <v>111</v>
          </cell>
          <cell r="D13" t="str">
            <v xml:space="preserve"> - COALCO 303-98</v>
          </cell>
          <cell r="E13">
            <v>11105</v>
          </cell>
        </row>
        <row r="14">
          <cell r="B14">
            <v>111</v>
          </cell>
          <cell r="D14" t="str">
            <v xml:space="preserve"> - COALKO 304-98</v>
          </cell>
          <cell r="E14">
            <v>11106</v>
          </cell>
        </row>
        <row r="15">
          <cell r="B15">
            <v>111</v>
          </cell>
          <cell r="D15" t="str">
            <v xml:space="preserve"> - ALDECO 301-98</v>
          </cell>
          <cell r="E15">
            <v>11107</v>
          </cell>
        </row>
        <row r="16">
          <cell r="B16">
            <v>111</v>
          </cell>
          <cell r="D16" t="str">
            <v xml:space="preserve"> - PEAField 302-98</v>
          </cell>
          <cell r="E16">
            <v>11109</v>
          </cell>
        </row>
        <row r="17">
          <cell r="B17">
            <v>111</v>
          </cell>
          <cell r="D17" t="str">
            <v xml:space="preserve"> - DAEWOO</v>
          </cell>
          <cell r="E17">
            <v>11199</v>
          </cell>
        </row>
        <row r="18">
          <cell r="B18">
            <v>11</v>
          </cell>
          <cell r="C18" t="str">
            <v>Экспорт (всего)</v>
          </cell>
          <cell r="E18">
            <v>112</v>
          </cell>
        </row>
        <row r="19">
          <cell r="B19">
            <v>112</v>
          </cell>
          <cell r="D19" t="str">
            <v xml:space="preserve"> - КРАЗПА 72</v>
          </cell>
          <cell r="E19">
            <v>11201</v>
          </cell>
        </row>
        <row r="20">
          <cell r="B20">
            <v>112</v>
          </cell>
          <cell r="D20" t="str">
            <v xml:space="preserve"> - ДЖЕВЕНЕТ 728</v>
          </cell>
          <cell r="E20">
            <v>11204</v>
          </cell>
        </row>
        <row r="21">
          <cell r="B21">
            <v>112</v>
          </cell>
          <cell r="D21" t="str">
            <v xml:space="preserve"> - COALKO 733</v>
          </cell>
          <cell r="E21">
            <v>11208</v>
          </cell>
        </row>
        <row r="22">
          <cell r="B22">
            <v>112</v>
          </cell>
          <cell r="D22" t="str">
            <v xml:space="preserve"> - COALKO 734</v>
          </cell>
          <cell r="E22">
            <v>11211</v>
          </cell>
        </row>
        <row r="23">
          <cell r="B23">
            <v>112</v>
          </cell>
          <cell r="D23" t="str">
            <v xml:space="preserve"> - ALDECO 803</v>
          </cell>
          <cell r="E23">
            <v>11209</v>
          </cell>
        </row>
        <row r="24">
          <cell r="B24">
            <v>112</v>
          </cell>
          <cell r="D24" t="str">
            <v xml:space="preserve"> - Алюминий Казахстана 804</v>
          </cell>
          <cell r="E24">
            <v>11210</v>
          </cell>
        </row>
        <row r="25">
          <cell r="B25">
            <v>112</v>
          </cell>
          <cell r="D25" t="str">
            <v xml:space="preserve"> - прочие</v>
          </cell>
          <cell r="E25">
            <v>11299</v>
          </cell>
        </row>
        <row r="26">
          <cell r="B26">
            <v>11</v>
          </cell>
          <cell r="C26" t="str">
            <v>Бартер</v>
          </cell>
          <cell r="E26">
            <v>113</v>
          </cell>
        </row>
        <row r="27">
          <cell r="B27">
            <v>113</v>
          </cell>
          <cell r="D27" t="str">
            <v xml:space="preserve"> - КРАЗПА 10</v>
          </cell>
          <cell r="E27">
            <v>11301</v>
          </cell>
        </row>
        <row r="28">
          <cell r="B28">
            <v>113</v>
          </cell>
          <cell r="D28" t="str">
            <v xml:space="preserve"> - Кли 75</v>
          </cell>
          <cell r="E28">
            <v>11302</v>
          </cell>
        </row>
        <row r="29">
          <cell r="B29">
            <v>113</v>
          </cell>
          <cell r="D29" t="str">
            <v xml:space="preserve"> - прочие</v>
          </cell>
          <cell r="E29">
            <v>11399</v>
          </cell>
        </row>
        <row r="32">
          <cell r="B32">
            <v>11</v>
          </cell>
          <cell r="C32" t="str">
            <v>Внутренний рынок, тыс.$</v>
          </cell>
          <cell r="E32">
            <v>114</v>
          </cell>
        </row>
        <row r="33">
          <cell r="B33">
            <v>11</v>
          </cell>
          <cell r="C33" t="str">
            <v>Внутренний рынок, тыс.руб.</v>
          </cell>
          <cell r="E33">
            <v>114</v>
          </cell>
        </row>
        <row r="34">
          <cell r="B34">
            <v>114</v>
          </cell>
          <cell r="D34" t="str">
            <v xml:space="preserve"> - КРАМЗ, 183</v>
          </cell>
          <cell r="E34">
            <v>11401</v>
          </cell>
        </row>
        <row r="35">
          <cell r="B35">
            <v>114</v>
          </cell>
          <cell r="D35" t="str">
            <v xml:space="preserve"> - САМЕКО, 128</v>
          </cell>
          <cell r="E35">
            <v>11402</v>
          </cell>
        </row>
        <row r="36">
          <cell r="B36">
            <v>114</v>
          </cell>
          <cell r="D36" t="str">
            <v xml:space="preserve"> - Танмет, 155, 182</v>
          </cell>
          <cell r="E36">
            <v>11403</v>
          </cell>
        </row>
        <row r="37">
          <cell r="B37">
            <v>114</v>
          </cell>
          <cell r="D37" t="str">
            <v xml:space="preserve"> - Ювис, 112</v>
          </cell>
          <cell r="E37">
            <v>11404</v>
          </cell>
        </row>
        <row r="38">
          <cell r="B38">
            <v>114</v>
          </cell>
          <cell r="D38" t="str">
            <v xml:space="preserve"> - прочие</v>
          </cell>
          <cell r="E38">
            <v>11499</v>
          </cell>
        </row>
        <row r="40">
          <cell r="B40">
            <v>1</v>
          </cell>
          <cell r="C40" t="str">
            <v>Всего других поступлений</v>
          </cell>
          <cell r="E40">
            <v>12</v>
          </cell>
        </row>
        <row r="41">
          <cell r="B41">
            <v>12</v>
          </cell>
          <cell r="C41" t="str">
            <v>Прочая продукция и услуги</v>
          </cell>
          <cell r="E41">
            <v>121</v>
          </cell>
        </row>
        <row r="42">
          <cell r="B42">
            <v>121</v>
          </cell>
          <cell r="D42" t="str">
            <v xml:space="preserve"> - кирпич</v>
          </cell>
          <cell r="E42">
            <v>1211</v>
          </cell>
        </row>
        <row r="43">
          <cell r="B43">
            <v>121</v>
          </cell>
          <cell r="D43" t="str">
            <v xml:space="preserve"> - ТНП</v>
          </cell>
          <cell r="E43">
            <v>1212</v>
          </cell>
        </row>
        <row r="44">
          <cell r="B44">
            <v>121</v>
          </cell>
          <cell r="D44" t="str">
            <v xml:space="preserve"> - услуги на сторону</v>
          </cell>
          <cell r="E44">
            <v>1213</v>
          </cell>
        </row>
        <row r="45">
          <cell r="B45">
            <v>121</v>
          </cell>
          <cell r="D45" t="str">
            <v xml:space="preserve"> - другие услуги и продукция</v>
          </cell>
          <cell r="E45">
            <v>1219</v>
          </cell>
        </row>
        <row r="46">
          <cell r="B46">
            <v>12</v>
          </cell>
          <cell r="C46" t="str">
            <v>Целевое финансирование</v>
          </cell>
          <cell r="E46">
            <v>122</v>
          </cell>
        </row>
        <row r="47">
          <cell r="B47">
            <v>122</v>
          </cell>
          <cell r="D47" t="str">
            <v xml:space="preserve"> - НИОКР и экология</v>
          </cell>
          <cell r="E47">
            <v>1221</v>
          </cell>
        </row>
        <row r="48">
          <cell r="B48">
            <v>122</v>
          </cell>
          <cell r="D48" t="str">
            <v xml:space="preserve"> - прочие</v>
          </cell>
          <cell r="E48">
            <v>1229</v>
          </cell>
        </row>
        <row r="49">
          <cell r="B49">
            <v>12</v>
          </cell>
          <cell r="D49" t="str">
            <v>Продажа имущества и ТМЦ</v>
          </cell>
          <cell r="E49">
            <v>123</v>
          </cell>
        </row>
        <row r="50">
          <cell r="B50">
            <v>12</v>
          </cell>
          <cell r="D50" t="str">
            <v>Возмещение НДС и др. налогов</v>
          </cell>
          <cell r="E50">
            <v>124</v>
          </cell>
        </row>
        <row r="51">
          <cell r="B51">
            <v>12</v>
          </cell>
          <cell r="D51" t="str">
            <v>Другие поступления</v>
          </cell>
          <cell r="E51">
            <v>125</v>
          </cell>
        </row>
        <row r="54">
          <cell r="C54" t="str">
            <v>Привлечение ресурсов :</v>
          </cell>
          <cell r="E54">
            <v>2</v>
          </cell>
        </row>
        <row r="55">
          <cell r="B55">
            <v>2</v>
          </cell>
          <cell r="C55" t="str">
            <v>Получение кредитов банка, всего</v>
          </cell>
          <cell r="E55">
            <v>21</v>
          </cell>
        </row>
        <row r="56">
          <cell r="B56">
            <v>21</v>
          </cell>
          <cell r="D56" t="str">
            <v xml:space="preserve"> - КБ МЕТАЛЭКС</v>
          </cell>
          <cell r="E56">
            <v>2101</v>
          </cell>
        </row>
        <row r="57">
          <cell r="B57">
            <v>21</v>
          </cell>
          <cell r="D57" t="str">
            <v xml:space="preserve"> - КрасСберБанк</v>
          </cell>
          <cell r="E57">
            <v>2102</v>
          </cell>
        </row>
        <row r="58">
          <cell r="B58">
            <v>21</v>
          </cell>
          <cell r="D58" t="str">
            <v xml:space="preserve"> - АЛЬФА Банк</v>
          </cell>
          <cell r="E58">
            <v>2103</v>
          </cell>
        </row>
        <row r="59">
          <cell r="B59">
            <v>21</v>
          </cell>
          <cell r="D59" t="str">
            <v xml:space="preserve"> - ИНКОМ Банк</v>
          </cell>
          <cell r="E59">
            <v>2104</v>
          </cell>
        </row>
        <row r="60">
          <cell r="B60">
            <v>21</v>
          </cell>
          <cell r="D60" t="str">
            <v xml:space="preserve"> - МосБизнес Банк</v>
          </cell>
          <cell r="E60">
            <v>2105</v>
          </cell>
        </row>
        <row r="61">
          <cell r="B61">
            <v>21</v>
          </cell>
          <cell r="D61" t="str">
            <v xml:space="preserve"> - Российский Кредит</v>
          </cell>
          <cell r="E61">
            <v>2106</v>
          </cell>
        </row>
        <row r="62">
          <cell r="B62">
            <v>21</v>
          </cell>
          <cell r="D62" t="str">
            <v xml:space="preserve"> - Залогбанк №89/97</v>
          </cell>
          <cell r="E62">
            <v>2107</v>
          </cell>
        </row>
        <row r="63">
          <cell r="B63">
            <v>21</v>
          </cell>
          <cell r="D63" t="str">
            <v xml:space="preserve"> - Залогбанк №2</v>
          </cell>
          <cell r="E63">
            <v>2108</v>
          </cell>
        </row>
        <row r="64">
          <cell r="B64">
            <v>21</v>
          </cell>
          <cell r="D64" t="str">
            <v xml:space="preserve"> - Залогбанк №3</v>
          </cell>
          <cell r="E64">
            <v>2109</v>
          </cell>
        </row>
        <row r="65">
          <cell r="B65">
            <v>21</v>
          </cell>
          <cell r="D65" t="str">
            <v xml:space="preserve"> - Залогбанк №4</v>
          </cell>
          <cell r="E65">
            <v>2111</v>
          </cell>
        </row>
        <row r="66">
          <cell r="B66">
            <v>21</v>
          </cell>
          <cell r="D66" t="str">
            <v xml:space="preserve"> - Залогбанк №5</v>
          </cell>
          <cell r="E66">
            <v>2110</v>
          </cell>
        </row>
        <row r="67">
          <cell r="B67">
            <v>21</v>
          </cell>
          <cell r="D67" t="str">
            <v xml:space="preserve"> - Залогбанк №6</v>
          </cell>
          <cell r="E67">
            <v>2112</v>
          </cell>
        </row>
        <row r="68">
          <cell r="B68">
            <v>21</v>
          </cell>
          <cell r="D68" t="str">
            <v xml:space="preserve"> - прочие</v>
          </cell>
          <cell r="E68">
            <v>2199</v>
          </cell>
        </row>
        <row r="69">
          <cell r="B69">
            <v>2</v>
          </cell>
          <cell r="D69" t="str">
            <v>Привлечение займов</v>
          </cell>
          <cell r="E69">
            <v>22</v>
          </cell>
        </row>
        <row r="70">
          <cell r="B70">
            <v>2</v>
          </cell>
          <cell r="D70" t="str">
            <v>Выпуск векселей ОАО КРАЗ</v>
          </cell>
          <cell r="E70">
            <v>23</v>
          </cell>
        </row>
        <row r="71">
          <cell r="B71">
            <v>2</v>
          </cell>
          <cell r="D71" t="str">
            <v>Гарантии ОАО КРАЗ (выдача)</v>
          </cell>
          <cell r="E71">
            <v>24</v>
          </cell>
        </row>
        <row r="73">
          <cell r="C73" t="str">
            <v>Возврат ресурсов :</v>
          </cell>
          <cell r="E73">
            <v>3</v>
          </cell>
        </row>
        <row r="74">
          <cell r="B74">
            <v>3</v>
          </cell>
          <cell r="C74" t="str">
            <v>Погашение кредитов банка, всего</v>
          </cell>
          <cell r="E74">
            <v>31</v>
          </cell>
        </row>
        <row r="75">
          <cell r="B75">
            <v>31</v>
          </cell>
          <cell r="D75" t="str">
            <v xml:space="preserve"> - КБ МЕТАЛЭКС</v>
          </cell>
          <cell r="E75">
            <v>3101</v>
          </cell>
        </row>
        <row r="76">
          <cell r="B76">
            <v>31</v>
          </cell>
          <cell r="D76" t="str">
            <v xml:space="preserve"> - КрасСберБанк</v>
          </cell>
          <cell r="E76">
            <v>3102</v>
          </cell>
        </row>
        <row r="77">
          <cell r="B77">
            <v>31</v>
          </cell>
          <cell r="D77" t="str">
            <v xml:space="preserve"> - АЛЬФА Банк</v>
          </cell>
          <cell r="E77">
            <v>3103</v>
          </cell>
        </row>
        <row r="78">
          <cell r="B78">
            <v>31</v>
          </cell>
          <cell r="D78" t="str">
            <v xml:space="preserve"> - ИНКОМ Банк</v>
          </cell>
          <cell r="E78">
            <v>3104</v>
          </cell>
        </row>
        <row r="79">
          <cell r="B79">
            <v>31</v>
          </cell>
          <cell r="D79" t="str">
            <v xml:space="preserve"> - МосБизнес Банк</v>
          </cell>
          <cell r="E79">
            <v>3105</v>
          </cell>
        </row>
        <row r="80">
          <cell r="B80">
            <v>31</v>
          </cell>
          <cell r="D80" t="str">
            <v xml:space="preserve"> - Российский Кредит</v>
          </cell>
          <cell r="E80">
            <v>3106</v>
          </cell>
        </row>
        <row r="81">
          <cell r="B81">
            <v>31</v>
          </cell>
          <cell r="D81" t="str">
            <v xml:space="preserve"> - Залогбанк №89/97</v>
          </cell>
          <cell r="E81">
            <v>3107</v>
          </cell>
        </row>
        <row r="82">
          <cell r="B82">
            <v>31</v>
          </cell>
          <cell r="D82" t="str">
            <v xml:space="preserve"> - Залогбанк №2</v>
          </cell>
          <cell r="E82">
            <v>3108</v>
          </cell>
        </row>
        <row r="83">
          <cell r="B83">
            <v>31</v>
          </cell>
          <cell r="D83" t="str">
            <v xml:space="preserve"> - Залогбанк №3</v>
          </cell>
          <cell r="E83">
            <v>3109</v>
          </cell>
        </row>
        <row r="84">
          <cell r="B84">
            <v>31</v>
          </cell>
          <cell r="D84" t="str">
            <v xml:space="preserve"> - Залогбанк №4</v>
          </cell>
          <cell r="E84">
            <v>3111</v>
          </cell>
        </row>
        <row r="85">
          <cell r="B85">
            <v>31</v>
          </cell>
          <cell r="D85" t="str">
            <v xml:space="preserve"> - Залогбанк №5</v>
          </cell>
          <cell r="E85">
            <v>3110</v>
          </cell>
        </row>
        <row r="86">
          <cell r="B86">
            <v>31</v>
          </cell>
          <cell r="D86" t="str">
            <v xml:space="preserve"> - Залогбанк №6</v>
          </cell>
          <cell r="E86">
            <v>3112</v>
          </cell>
        </row>
        <row r="87">
          <cell r="B87">
            <v>31</v>
          </cell>
          <cell r="D87" t="str">
            <v xml:space="preserve"> - прочие</v>
          </cell>
          <cell r="E87">
            <v>3199</v>
          </cell>
        </row>
        <row r="88">
          <cell r="B88">
            <v>3</v>
          </cell>
          <cell r="D88" t="str">
            <v>Погашение займов</v>
          </cell>
          <cell r="E88">
            <v>32</v>
          </cell>
        </row>
        <row r="89">
          <cell r="B89">
            <v>3</v>
          </cell>
          <cell r="D89" t="str">
            <v>Погашение векселей ОАО КРАЗ</v>
          </cell>
          <cell r="E89">
            <v>33</v>
          </cell>
        </row>
        <row r="90">
          <cell r="B90">
            <v>3</v>
          </cell>
          <cell r="D90" t="str">
            <v>Гарантии и прочие погашения</v>
          </cell>
          <cell r="E90">
            <v>34</v>
          </cell>
        </row>
        <row r="92">
          <cell r="C92" t="str">
            <v>Движение финансовых средств</v>
          </cell>
          <cell r="E92">
            <v>4</v>
          </cell>
        </row>
        <row r="93">
          <cell r="B93">
            <v>4</v>
          </cell>
          <cell r="C93" t="str">
            <v>Конвертация валюты</v>
          </cell>
          <cell r="E93">
            <v>42</v>
          </cell>
        </row>
        <row r="94">
          <cell r="B94">
            <v>42</v>
          </cell>
          <cell r="D94" t="str">
            <v>Поступление рублевых средств</v>
          </cell>
          <cell r="E94">
            <v>420</v>
          </cell>
        </row>
        <row r="95">
          <cell r="B95">
            <v>42</v>
          </cell>
          <cell r="D95" t="str">
            <v>Обязательная продажа валюты</v>
          </cell>
          <cell r="E95">
            <v>421</v>
          </cell>
        </row>
        <row r="96">
          <cell r="B96">
            <v>42</v>
          </cell>
          <cell r="D96" t="str">
            <v>Свободная продажа валюты</v>
          </cell>
          <cell r="E96">
            <v>422</v>
          </cell>
        </row>
        <row r="97">
          <cell r="B97">
            <v>42</v>
          </cell>
          <cell r="D97" t="str">
            <v>Покупка валюты</v>
          </cell>
          <cell r="E97">
            <v>423</v>
          </cell>
        </row>
        <row r="98">
          <cell r="B98">
            <v>4</v>
          </cell>
          <cell r="C98" t="str">
            <v>Движение по расчетному счету</v>
          </cell>
          <cell r="E98">
            <v>43</v>
          </cell>
        </row>
        <row r="99">
          <cell r="B99">
            <v>43</v>
          </cell>
          <cell r="D99" t="str">
            <v>Перевод денежных средств</v>
          </cell>
          <cell r="E99">
            <v>431</v>
          </cell>
        </row>
        <row r="100">
          <cell r="B100">
            <v>43</v>
          </cell>
          <cell r="D100" t="str">
            <v>Сдача наличности в банк</v>
          </cell>
          <cell r="E100">
            <v>432</v>
          </cell>
        </row>
        <row r="101">
          <cell r="B101">
            <v>43</v>
          </cell>
          <cell r="D101" t="str">
            <v>Обналичивание средств со счета</v>
          </cell>
          <cell r="E101">
            <v>433</v>
          </cell>
        </row>
        <row r="102">
          <cell r="B102">
            <v>4</v>
          </cell>
          <cell r="C102" t="str">
            <v>Вексельное обращение</v>
          </cell>
          <cell r="E102">
            <v>44</v>
          </cell>
        </row>
        <row r="103">
          <cell r="B103">
            <v>44</v>
          </cell>
          <cell r="D103" t="str">
            <v>Покупка/продажа Ц.Б. (векселя)</v>
          </cell>
          <cell r="E103">
            <v>441</v>
          </cell>
        </row>
        <row r="104">
          <cell r="B104">
            <v>44</v>
          </cell>
          <cell r="D104" t="str">
            <v>Покупка векселей КРАСЭНЕРГО</v>
          </cell>
          <cell r="E104">
            <v>442</v>
          </cell>
        </row>
        <row r="105">
          <cell r="B105">
            <v>44</v>
          </cell>
          <cell r="D105" t="str">
            <v>Продажа/покупка Ц.Б. (векселя)</v>
          </cell>
          <cell r="E105">
            <v>443</v>
          </cell>
        </row>
        <row r="106">
          <cell r="B106">
            <v>44</v>
          </cell>
          <cell r="D106" t="str">
            <v>Вексель в залог/ответхранение</v>
          </cell>
          <cell r="E106">
            <v>444</v>
          </cell>
        </row>
        <row r="107">
          <cell r="B107">
            <v>4</v>
          </cell>
          <cell r="C107" t="str">
            <v>Другие операции</v>
          </cell>
          <cell r="E107">
            <v>45</v>
          </cell>
        </row>
        <row r="108">
          <cell r="B108">
            <v>45</v>
          </cell>
          <cell r="D108" t="str">
            <v>Финансовые операции</v>
          </cell>
          <cell r="E108">
            <v>451</v>
          </cell>
        </row>
        <row r="109">
          <cell r="B109">
            <v>45</v>
          </cell>
          <cell r="D109" t="str">
            <v>Переуступка права требования</v>
          </cell>
          <cell r="E109">
            <v>452</v>
          </cell>
        </row>
        <row r="110">
          <cell r="B110">
            <v>45</v>
          </cell>
          <cell r="D110" t="str">
            <v>~</v>
          </cell>
          <cell r="E110">
            <v>453</v>
          </cell>
        </row>
        <row r="112">
          <cell r="C112" t="str">
            <v>ОСТАТОК финансовых средств</v>
          </cell>
          <cell r="E112">
            <v>40</v>
          </cell>
        </row>
        <row r="113">
          <cell r="B113">
            <v>40</v>
          </cell>
          <cell r="D113" t="str">
            <v xml:space="preserve"> - КБ МЕТАЛЭКС</v>
          </cell>
          <cell r="E113">
            <v>4001</v>
          </cell>
        </row>
        <row r="114">
          <cell r="B114">
            <v>40</v>
          </cell>
          <cell r="D114" t="str">
            <v xml:space="preserve"> - КрасСберБанк</v>
          </cell>
          <cell r="E114">
            <v>4002</v>
          </cell>
        </row>
        <row r="115">
          <cell r="B115">
            <v>40</v>
          </cell>
          <cell r="D115" t="str">
            <v xml:space="preserve"> - АЛЬФА Банк</v>
          </cell>
          <cell r="E115">
            <v>4003</v>
          </cell>
        </row>
        <row r="116">
          <cell r="B116">
            <v>40</v>
          </cell>
          <cell r="D116" t="str">
            <v xml:space="preserve"> - ИНКОМ Банк</v>
          </cell>
          <cell r="E116">
            <v>4004</v>
          </cell>
        </row>
        <row r="117">
          <cell r="B117">
            <v>40</v>
          </cell>
          <cell r="D117" t="str">
            <v xml:space="preserve"> - Российский Кредит</v>
          </cell>
          <cell r="E117">
            <v>4005</v>
          </cell>
        </row>
        <row r="118">
          <cell r="B118">
            <v>40</v>
          </cell>
          <cell r="D118" t="str">
            <v xml:space="preserve"> - Залогбанк </v>
          </cell>
          <cell r="E118">
            <v>4006</v>
          </cell>
        </row>
        <row r="119">
          <cell r="B119">
            <v>40</v>
          </cell>
          <cell r="D119" t="str">
            <v xml:space="preserve"> - прочие</v>
          </cell>
          <cell r="E119">
            <v>4099</v>
          </cell>
        </row>
        <row r="121">
          <cell r="D121" t="str">
            <v>Д И С Б А Л А Н С  :</v>
          </cell>
          <cell r="G121">
            <v>0</v>
          </cell>
          <cell r="H121">
            <v>0</v>
          </cell>
          <cell r="I121">
            <v>0</v>
          </cell>
        </row>
        <row r="122">
          <cell r="D122" t="str">
            <v>ДОХОДОВ над расходами</v>
          </cell>
        </row>
        <row r="123">
          <cell r="D123" t="str">
            <v>РАСХОДОВ над доходами</v>
          </cell>
        </row>
        <row r="126">
          <cell r="C126" t="str">
            <v>Б. РАСХОДНАЯ ЧАСТЬ</v>
          </cell>
          <cell r="E126">
            <v>5</v>
          </cell>
        </row>
        <row r="127">
          <cell r="D127" t="str">
            <v xml:space="preserve"> - из СЕБЕСТОИМОСТИ</v>
          </cell>
          <cell r="E127">
            <v>51</v>
          </cell>
        </row>
        <row r="128">
          <cell r="D128" t="str">
            <v xml:space="preserve"> - из ПРИБЫЛИ ОТ РЕАЛИЗАЦИИ</v>
          </cell>
          <cell r="E128">
            <v>52</v>
          </cell>
        </row>
        <row r="129">
          <cell r="D129" t="str">
            <v xml:space="preserve"> - из ПРИБЫЛИ ПРЕДПРИЯТИЯ</v>
          </cell>
          <cell r="E129">
            <v>53</v>
          </cell>
        </row>
        <row r="132">
          <cell r="B132">
            <v>5</v>
          </cell>
          <cell r="C132" t="str">
            <v>КОММЕРЧЕСКИЙ ДИРЕКТОР</v>
          </cell>
          <cell r="E132">
            <v>6</v>
          </cell>
        </row>
        <row r="134">
          <cell r="B134">
            <v>6</v>
          </cell>
          <cell r="C134" t="str">
            <v>РАСХОДЫ ЗА СЧЕТ СЕБЕСТОИМОСТИ</v>
          </cell>
          <cell r="E134">
            <v>61</v>
          </cell>
        </row>
        <row r="135">
          <cell r="B135">
            <v>61</v>
          </cell>
          <cell r="C135" t="str">
            <v>С Ы Р Ь Е</v>
          </cell>
          <cell r="E135">
            <v>611</v>
          </cell>
        </row>
        <row r="136">
          <cell r="B136">
            <v>611</v>
          </cell>
          <cell r="D136" t="str">
            <v>Глинозем</v>
          </cell>
          <cell r="E136">
            <v>61101</v>
          </cell>
        </row>
        <row r="137">
          <cell r="B137">
            <v>611</v>
          </cell>
          <cell r="D137" t="str">
            <v>Криолит</v>
          </cell>
          <cell r="E137">
            <v>61103</v>
          </cell>
        </row>
        <row r="138">
          <cell r="B138">
            <v>611</v>
          </cell>
          <cell r="D138" t="str">
            <v>Алюминий фтористый (ALF3)</v>
          </cell>
          <cell r="E138">
            <v>61104</v>
          </cell>
        </row>
        <row r="139">
          <cell r="B139">
            <v>611</v>
          </cell>
          <cell r="D139" t="str">
            <v>Фтористый кальций</v>
          </cell>
          <cell r="E139">
            <v>61105</v>
          </cell>
        </row>
        <row r="140">
          <cell r="B140">
            <v>611</v>
          </cell>
          <cell r="D140" t="str">
            <v>Анодные блоки</v>
          </cell>
          <cell r="E140">
            <v>61106</v>
          </cell>
        </row>
        <row r="141">
          <cell r="B141">
            <v>611</v>
          </cell>
          <cell r="D141" t="str">
            <v>Хлористый натрий</v>
          </cell>
          <cell r="E141">
            <v>61107</v>
          </cell>
        </row>
        <row r="142">
          <cell r="B142">
            <v>611</v>
          </cell>
          <cell r="D142" t="str">
            <v>Сода кальцинированная</v>
          </cell>
          <cell r="E142">
            <v>61108</v>
          </cell>
        </row>
        <row r="143">
          <cell r="B143">
            <v>611</v>
          </cell>
          <cell r="D143" t="str">
            <v>Сода каустическая</v>
          </cell>
          <cell r="E143">
            <v>61109</v>
          </cell>
        </row>
        <row r="144">
          <cell r="B144">
            <v>611</v>
          </cell>
          <cell r="D144" t="str">
            <v>Барий хлористый</v>
          </cell>
          <cell r="E144">
            <v>61110</v>
          </cell>
        </row>
        <row r="145">
          <cell r="B145">
            <v>611</v>
          </cell>
          <cell r="D145" t="str">
            <v>Гидроокись</v>
          </cell>
          <cell r="E145">
            <v>61111</v>
          </cell>
        </row>
        <row r="146">
          <cell r="B146">
            <v>611</v>
          </cell>
          <cell r="D146" t="str">
            <v xml:space="preserve">Медь </v>
          </cell>
          <cell r="E146">
            <v>61112</v>
          </cell>
        </row>
        <row r="147">
          <cell r="B147">
            <v>611</v>
          </cell>
          <cell r="D147" t="str">
            <v>Графит</v>
          </cell>
          <cell r="E147">
            <v>61113</v>
          </cell>
        </row>
        <row r="148">
          <cell r="B148">
            <v>611</v>
          </cell>
          <cell r="D148" t="str">
            <v>Титановая губка</v>
          </cell>
          <cell r="E148">
            <v>61114</v>
          </cell>
        </row>
        <row r="149">
          <cell r="B149">
            <v>611</v>
          </cell>
          <cell r="D149" t="str">
            <v>Кокс сырой</v>
          </cell>
          <cell r="E149">
            <v>61115</v>
          </cell>
        </row>
        <row r="150">
          <cell r="B150">
            <v>611</v>
          </cell>
          <cell r="D150" t="str">
            <v>Кокс прокаленный</v>
          </cell>
          <cell r="E150">
            <v>61116</v>
          </cell>
        </row>
        <row r="151">
          <cell r="B151">
            <v>611</v>
          </cell>
          <cell r="D151" t="str">
            <v>Пек каменноугольный</v>
          </cell>
          <cell r="E151">
            <v>61117</v>
          </cell>
        </row>
        <row r="152">
          <cell r="B152">
            <v>611</v>
          </cell>
          <cell r="D152" t="str">
            <v>Глиноземная шихта</v>
          </cell>
          <cell r="E152">
            <v>61118</v>
          </cell>
        </row>
        <row r="153">
          <cell r="B153">
            <v>611</v>
          </cell>
          <cell r="D153" t="str">
            <v>Пена угольная</v>
          </cell>
          <cell r="E153">
            <v>61119</v>
          </cell>
        </row>
        <row r="154">
          <cell r="B154">
            <v>611</v>
          </cell>
          <cell r="D154" t="str">
            <v>Огарки</v>
          </cell>
          <cell r="E154">
            <v>61120</v>
          </cell>
        </row>
        <row r="155">
          <cell r="B155">
            <v>611</v>
          </cell>
          <cell r="D155" t="str">
            <v>Угольная футеровка</v>
          </cell>
          <cell r="E155">
            <v>61121</v>
          </cell>
        </row>
        <row r="156">
          <cell r="B156">
            <v>611</v>
          </cell>
          <cell r="C156" t="str">
            <v>Завод Фтористого Алюминия</v>
          </cell>
          <cell r="E156">
            <v>61130</v>
          </cell>
        </row>
        <row r="157">
          <cell r="B157">
            <v>61130</v>
          </cell>
          <cell r="D157" t="str">
            <v xml:space="preserve"> - гидроокись</v>
          </cell>
          <cell r="E157">
            <v>611301</v>
          </cell>
        </row>
        <row r="158">
          <cell r="B158">
            <v>61130</v>
          </cell>
          <cell r="D158" t="str">
            <v xml:space="preserve"> - кислота серная</v>
          </cell>
          <cell r="E158">
            <v>611302</v>
          </cell>
        </row>
        <row r="159">
          <cell r="B159">
            <v>61130</v>
          </cell>
          <cell r="D159" t="str">
            <v xml:space="preserve"> - олеум</v>
          </cell>
          <cell r="E159">
            <v>611303</v>
          </cell>
        </row>
        <row r="160">
          <cell r="B160">
            <v>61130</v>
          </cell>
          <cell r="D160" t="str">
            <v xml:space="preserve"> - фтористый кальций </v>
          </cell>
          <cell r="E160">
            <v>611304</v>
          </cell>
        </row>
        <row r="161">
          <cell r="B161">
            <v>61130</v>
          </cell>
          <cell r="D161" t="str">
            <v xml:space="preserve"> - пыль белитоизвестняковая</v>
          </cell>
          <cell r="E161">
            <v>611305</v>
          </cell>
        </row>
        <row r="162">
          <cell r="B162">
            <v>61130</v>
          </cell>
          <cell r="D162" t="str">
            <v xml:space="preserve"> - молоко известковое</v>
          </cell>
          <cell r="E162">
            <v>611306</v>
          </cell>
        </row>
        <row r="163">
          <cell r="B163">
            <v>611</v>
          </cell>
          <cell r="D163" t="str">
            <v xml:space="preserve">Таможенные платежи за сырье </v>
          </cell>
          <cell r="E163">
            <v>6112</v>
          </cell>
        </row>
        <row r="164">
          <cell r="B164">
            <v>611</v>
          </cell>
          <cell r="D164" t="str">
            <v>Ж/д тариф по перевозке сырья</v>
          </cell>
          <cell r="E164">
            <v>6113</v>
          </cell>
        </row>
        <row r="166">
          <cell r="B166">
            <v>61</v>
          </cell>
          <cell r="C166" t="str">
            <v>Топливо всего, в т.ч. :</v>
          </cell>
          <cell r="E166">
            <v>6121</v>
          </cell>
        </row>
        <row r="167">
          <cell r="B167">
            <v>6121</v>
          </cell>
          <cell r="D167" t="str">
            <v xml:space="preserve"> - мазут</v>
          </cell>
          <cell r="E167">
            <v>61211</v>
          </cell>
        </row>
        <row r="168">
          <cell r="B168">
            <v>6121</v>
          </cell>
          <cell r="D168" t="str">
            <v xml:space="preserve"> - газ</v>
          </cell>
          <cell r="E168">
            <v>61212</v>
          </cell>
        </row>
        <row r="169">
          <cell r="B169">
            <v>6121</v>
          </cell>
          <cell r="D169" t="str">
            <v xml:space="preserve"> - дизтопливо</v>
          </cell>
          <cell r="E169">
            <v>61213</v>
          </cell>
        </row>
        <row r="170">
          <cell r="B170">
            <v>6121</v>
          </cell>
          <cell r="D170" t="str">
            <v xml:space="preserve"> - бензин</v>
          </cell>
          <cell r="E170">
            <v>61214</v>
          </cell>
        </row>
        <row r="171">
          <cell r="B171">
            <v>6121</v>
          </cell>
          <cell r="D171" t="str">
            <v xml:space="preserve"> - ГСМ</v>
          </cell>
          <cell r="E171">
            <v>61215</v>
          </cell>
        </row>
        <row r="172">
          <cell r="B172">
            <v>6121</v>
          </cell>
          <cell r="D172" t="str">
            <v xml:space="preserve"> - топливо прочее</v>
          </cell>
          <cell r="E172">
            <v>61219</v>
          </cell>
        </row>
        <row r="173">
          <cell r="B173">
            <v>61</v>
          </cell>
          <cell r="C173" t="str">
            <v xml:space="preserve">Материалы и запчасти, в т.ч. : </v>
          </cell>
          <cell r="E173">
            <v>6122</v>
          </cell>
        </row>
        <row r="174">
          <cell r="B174">
            <v>6122</v>
          </cell>
          <cell r="D174" t="str">
            <v xml:space="preserve"> - гасильный шест</v>
          </cell>
          <cell r="E174">
            <v>61221</v>
          </cell>
        </row>
        <row r="175">
          <cell r="B175">
            <v>6122</v>
          </cell>
          <cell r="D175" t="str">
            <v xml:space="preserve"> - блоки угольные</v>
          </cell>
          <cell r="E175">
            <v>61222</v>
          </cell>
        </row>
        <row r="176">
          <cell r="B176">
            <v>6122</v>
          </cell>
          <cell r="D176" t="str">
            <v xml:space="preserve"> - масса подовая</v>
          </cell>
          <cell r="E176">
            <v>61223</v>
          </cell>
        </row>
        <row r="177">
          <cell r="B177">
            <v>6122</v>
          </cell>
          <cell r="D177" t="str">
            <v xml:space="preserve"> - кирпич шамотный</v>
          </cell>
          <cell r="E177">
            <v>61224</v>
          </cell>
        </row>
        <row r="178">
          <cell r="B178">
            <v>6122</v>
          </cell>
          <cell r="D178" t="str">
            <v xml:space="preserve"> - блюмсы</v>
          </cell>
          <cell r="E178">
            <v>61225</v>
          </cell>
        </row>
        <row r="179">
          <cell r="B179">
            <v>6122</v>
          </cell>
          <cell r="D179" t="str">
            <v xml:space="preserve"> - прочие материалы (коммерция)</v>
          </cell>
          <cell r="E179">
            <v>61229</v>
          </cell>
        </row>
        <row r="180">
          <cell r="B180">
            <v>61</v>
          </cell>
          <cell r="D180" t="str">
            <v xml:space="preserve">Спецодежда </v>
          </cell>
          <cell r="E180">
            <v>6123</v>
          </cell>
        </row>
        <row r="181">
          <cell r="B181">
            <v>61</v>
          </cell>
          <cell r="D181" t="str">
            <v>Ж/Д тариф (экспорт алюминия)</v>
          </cell>
          <cell r="E181">
            <v>613</v>
          </cell>
        </row>
        <row r="182">
          <cell r="B182">
            <v>61</v>
          </cell>
          <cell r="D182" t="str">
            <v>Портовые расходы (экспорт алюминия)</v>
          </cell>
          <cell r="E182">
            <v>614</v>
          </cell>
        </row>
        <row r="183">
          <cell r="B183">
            <v>61</v>
          </cell>
          <cell r="D183" t="str">
            <v>Таможенные услуги прочие</v>
          </cell>
          <cell r="E183">
            <v>615</v>
          </cell>
        </row>
        <row r="184">
          <cell r="B184">
            <v>61</v>
          </cell>
          <cell r="D184" t="str">
            <v>Транспортные  расходы прочие</v>
          </cell>
          <cell r="E184">
            <v>616</v>
          </cell>
        </row>
        <row r="185">
          <cell r="B185">
            <v>61</v>
          </cell>
          <cell r="D185" t="str">
            <v>Прочие расходы с/с (коммерция)</v>
          </cell>
          <cell r="E185">
            <v>619</v>
          </cell>
        </row>
        <row r="186">
          <cell r="B186">
            <v>61</v>
          </cell>
          <cell r="D186" t="str">
            <v>Услуги КрАМЗа по пер-ке Т-образки</v>
          </cell>
          <cell r="E186">
            <v>6191</v>
          </cell>
        </row>
        <row r="188">
          <cell r="B188">
            <v>6</v>
          </cell>
          <cell r="C188" t="str">
            <v>РАСХОДЫ ЗА СЧЕТ ПРИБЫЛИ</v>
          </cell>
          <cell r="E188">
            <v>62</v>
          </cell>
        </row>
        <row r="189">
          <cell r="B189">
            <v>62</v>
          </cell>
          <cell r="D189" t="str">
            <v>Приобретение оборудования</v>
          </cell>
          <cell r="E189">
            <v>621</v>
          </cell>
        </row>
        <row r="192">
          <cell r="B192">
            <v>5</v>
          </cell>
          <cell r="C192" t="str">
            <v>ИСПОЛНИТЕЛЬНЫЙ ДИРЕКТОР</v>
          </cell>
          <cell r="E192">
            <v>7</v>
          </cell>
        </row>
        <row r="194">
          <cell r="B194">
            <v>7</v>
          </cell>
          <cell r="C194" t="str">
            <v>РАСХОДЫ ЗА СЧЕТ СЕБЕСТОИМОСТИ</v>
          </cell>
          <cell r="E194">
            <v>71</v>
          </cell>
        </row>
        <row r="195">
          <cell r="B195">
            <v>71</v>
          </cell>
          <cell r="D195" t="str">
            <v>Электроэнергия</v>
          </cell>
          <cell r="E195">
            <v>711</v>
          </cell>
        </row>
        <row r="196">
          <cell r="B196">
            <v>71</v>
          </cell>
          <cell r="D196" t="str">
            <v>Сжатый воздух</v>
          </cell>
          <cell r="E196">
            <v>712</v>
          </cell>
        </row>
        <row r="197">
          <cell r="B197">
            <v>71</v>
          </cell>
          <cell r="D197" t="str">
            <v>Вода</v>
          </cell>
          <cell r="E197">
            <v>713</v>
          </cell>
        </row>
        <row r="198">
          <cell r="B198">
            <v>71</v>
          </cell>
          <cell r="D198" t="str">
            <v>Тепло</v>
          </cell>
          <cell r="E198">
            <v>714</v>
          </cell>
        </row>
        <row r="199">
          <cell r="B199">
            <v>71</v>
          </cell>
          <cell r="C199" t="str">
            <v xml:space="preserve">Материалы и запчасти, в т.ч. : </v>
          </cell>
          <cell r="E199">
            <v>715</v>
          </cell>
        </row>
        <row r="200">
          <cell r="B200">
            <v>715</v>
          </cell>
          <cell r="D200" t="str">
            <v xml:space="preserve"> - кожух анодный</v>
          </cell>
          <cell r="E200">
            <v>7151</v>
          </cell>
        </row>
        <row r="201">
          <cell r="B201">
            <v>715</v>
          </cell>
          <cell r="D201" t="str">
            <v xml:space="preserve"> - кожух катодный</v>
          </cell>
          <cell r="E201">
            <v>7152</v>
          </cell>
        </row>
        <row r="202">
          <cell r="B202">
            <v>715</v>
          </cell>
          <cell r="D202" t="str">
            <v xml:space="preserve"> - штыри (шт.)</v>
          </cell>
          <cell r="E202">
            <v>7153</v>
          </cell>
        </row>
        <row r="203">
          <cell r="B203">
            <v>715</v>
          </cell>
          <cell r="D203" t="str">
            <v xml:space="preserve"> - секции прямые</v>
          </cell>
          <cell r="E203">
            <v>7154</v>
          </cell>
        </row>
        <row r="204">
          <cell r="B204">
            <v>715</v>
          </cell>
          <cell r="D204" t="str">
            <v xml:space="preserve"> - секции угловые</v>
          </cell>
          <cell r="E204">
            <v>7155</v>
          </cell>
        </row>
        <row r="205">
          <cell r="B205">
            <v>715</v>
          </cell>
          <cell r="D205" t="str">
            <v xml:space="preserve"> - труба прямая</v>
          </cell>
          <cell r="E205">
            <v>7156</v>
          </cell>
        </row>
        <row r="206">
          <cell r="B206">
            <v>715</v>
          </cell>
          <cell r="D206" t="str">
            <v xml:space="preserve"> - прочие материалы (произ-во)</v>
          </cell>
          <cell r="E206">
            <v>7159</v>
          </cell>
        </row>
        <row r="207">
          <cell r="B207">
            <v>71</v>
          </cell>
          <cell r="C207" t="str">
            <v>Услуги подрядчиков, в т.ч. :</v>
          </cell>
          <cell r="E207">
            <v>716</v>
          </cell>
        </row>
        <row r="208">
          <cell r="B208">
            <v>716</v>
          </cell>
          <cell r="D208" t="str">
            <v xml:space="preserve"> - для основных цехов </v>
          </cell>
          <cell r="E208">
            <v>7161</v>
          </cell>
        </row>
        <row r="209">
          <cell r="B209">
            <v>716</v>
          </cell>
          <cell r="D209" t="str">
            <v xml:space="preserve"> - для других нужд </v>
          </cell>
          <cell r="E209">
            <v>7162</v>
          </cell>
        </row>
        <row r="210">
          <cell r="B210">
            <v>71</v>
          </cell>
          <cell r="D210" t="str">
            <v>Плата за нормативные выбросы</v>
          </cell>
          <cell r="E210">
            <v>717</v>
          </cell>
        </row>
        <row r="211">
          <cell r="B211">
            <v>71</v>
          </cell>
          <cell r="D211" t="str">
            <v>Прочие расходы с/с (произ-во)</v>
          </cell>
          <cell r="E211">
            <v>719</v>
          </cell>
        </row>
        <row r="212">
          <cell r="B212">
            <v>71</v>
          </cell>
          <cell r="D212" t="str">
            <v>Расходы по охране труда</v>
          </cell>
          <cell r="E212">
            <v>7191</v>
          </cell>
        </row>
        <row r="213">
          <cell r="B213">
            <v>71</v>
          </cell>
          <cell r="D213" t="str">
            <v>Проверка приборов</v>
          </cell>
          <cell r="E213">
            <v>7192</v>
          </cell>
        </row>
        <row r="215">
          <cell r="B215">
            <v>7</v>
          </cell>
          <cell r="C215" t="str">
            <v>РАСХОДЫ ЗА СЧЕТ ПРИБЫЛИ</v>
          </cell>
          <cell r="E215">
            <v>72</v>
          </cell>
        </row>
        <row r="216">
          <cell r="B216">
            <v>72</v>
          </cell>
          <cell r="C216" t="str">
            <v>Капитальные вложения, в т.ч. :</v>
          </cell>
          <cell r="E216">
            <v>721</v>
          </cell>
        </row>
        <row r="217">
          <cell r="B217">
            <v>721</v>
          </cell>
          <cell r="D217" t="str">
            <v xml:space="preserve"> - СМР</v>
          </cell>
          <cell r="E217">
            <v>7211</v>
          </cell>
        </row>
        <row r="218">
          <cell r="B218">
            <v>721</v>
          </cell>
          <cell r="D218" t="str">
            <v xml:space="preserve"> - оборудование</v>
          </cell>
          <cell r="E218">
            <v>7212</v>
          </cell>
        </row>
        <row r="219">
          <cell r="B219">
            <v>721</v>
          </cell>
          <cell r="D219" t="str">
            <v xml:space="preserve"> - НИОКР</v>
          </cell>
          <cell r="E219">
            <v>7213</v>
          </cell>
        </row>
        <row r="220">
          <cell r="B220">
            <v>72</v>
          </cell>
          <cell r="D220" t="str">
            <v>Плата за сверхнормативные выбросы</v>
          </cell>
          <cell r="E220">
            <v>722</v>
          </cell>
        </row>
        <row r="223">
          <cell r="B223">
            <v>5</v>
          </cell>
          <cell r="C223" t="str">
            <v>ДИРЕКТОР ПО ФИНАНСАМ</v>
          </cell>
          <cell r="E223">
            <v>8</v>
          </cell>
        </row>
        <row r="225">
          <cell r="B225">
            <v>8</v>
          </cell>
          <cell r="C225" t="str">
            <v>РАСХОДЫ ЗА СЧЕТ СЕБЕСТОИМОСТИ</v>
          </cell>
          <cell r="E225">
            <v>81</v>
          </cell>
        </row>
        <row r="226">
          <cell r="B226">
            <v>81</v>
          </cell>
          <cell r="D226" t="str">
            <v>Платежи за счет заработной платы</v>
          </cell>
          <cell r="E226">
            <v>811</v>
          </cell>
        </row>
        <row r="227">
          <cell r="B227">
            <v>81</v>
          </cell>
          <cell r="C227" t="str">
            <v>Отчисления в социальные фонды :</v>
          </cell>
          <cell r="E227">
            <v>812</v>
          </cell>
        </row>
        <row r="228">
          <cell r="B228">
            <v>812</v>
          </cell>
          <cell r="D228" t="str">
            <v xml:space="preserve"> - Пенсионный фонд</v>
          </cell>
          <cell r="E228">
            <v>8121</v>
          </cell>
        </row>
        <row r="229">
          <cell r="B229">
            <v>812</v>
          </cell>
          <cell r="D229" t="str">
            <v xml:space="preserve"> - ФОМС</v>
          </cell>
          <cell r="E229">
            <v>8122</v>
          </cell>
        </row>
        <row r="230">
          <cell r="B230">
            <v>812</v>
          </cell>
          <cell r="D230" t="str">
            <v xml:space="preserve"> - ФСС</v>
          </cell>
          <cell r="E230">
            <v>8123</v>
          </cell>
        </row>
        <row r="231">
          <cell r="B231">
            <v>812</v>
          </cell>
          <cell r="D231" t="str">
            <v xml:space="preserve"> - Фонд занятости</v>
          </cell>
          <cell r="E231">
            <v>8124</v>
          </cell>
        </row>
        <row r="232">
          <cell r="B232">
            <v>81</v>
          </cell>
          <cell r="C232" t="str">
            <v>Налоги и платежи в бюджеты, в т.ч. :</v>
          </cell>
          <cell r="E232">
            <v>813</v>
          </cell>
        </row>
        <row r="233">
          <cell r="B233">
            <v>813</v>
          </cell>
          <cell r="D233" t="str">
            <v xml:space="preserve"> - на пользователей автомобильных дорог</v>
          </cell>
          <cell r="E233">
            <v>81301</v>
          </cell>
        </row>
        <row r="234">
          <cell r="B234">
            <v>813</v>
          </cell>
          <cell r="D234" t="str">
            <v xml:space="preserve"> - транспортный</v>
          </cell>
          <cell r="E234">
            <v>81302</v>
          </cell>
        </row>
        <row r="235">
          <cell r="B235">
            <v>813</v>
          </cell>
          <cell r="D235" t="str">
            <v xml:space="preserve"> - за пользование недрами</v>
          </cell>
          <cell r="E235">
            <v>81303</v>
          </cell>
        </row>
        <row r="236">
          <cell r="B236">
            <v>813</v>
          </cell>
          <cell r="D236" t="str">
            <v xml:space="preserve"> - на воспроизводство минерально-сырьевой базы</v>
          </cell>
          <cell r="E236">
            <v>81304</v>
          </cell>
        </row>
        <row r="237">
          <cell r="B237">
            <v>813</v>
          </cell>
          <cell r="D237" t="str">
            <v xml:space="preserve"> - на землю</v>
          </cell>
          <cell r="E237">
            <v>81305</v>
          </cell>
        </row>
        <row r="238">
          <cell r="B238">
            <v>813</v>
          </cell>
          <cell r="D238" t="str">
            <v xml:space="preserve"> - за аренду земли</v>
          </cell>
          <cell r="E238">
            <v>81306</v>
          </cell>
        </row>
        <row r="239">
          <cell r="B239">
            <v>813</v>
          </cell>
          <cell r="D239" t="str">
            <v xml:space="preserve"> - за воду</v>
          </cell>
          <cell r="E239">
            <v>81307</v>
          </cell>
        </row>
        <row r="240">
          <cell r="B240">
            <v>813</v>
          </cell>
          <cell r="D240" t="str">
            <v xml:space="preserve"> - с владельцев транспортных средств</v>
          </cell>
          <cell r="E240">
            <v>81308</v>
          </cell>
        </row>
        <row r="241">
          <cell r="B241">
            <v>81</v>
          </cell>
          <cell r="D241" t="str">
            <v>Проценты за кредит</v>
          </cell>
          <cell r="E241">
            <v>814</v>
          </cell>
        </row>
        <row r="242">
          <cell r="B242">
            <v>81</v>
          </cell>
          <cell r="D242" t="str">
            <v>Аудиторские услуги</v>
          </cell>
          <cell r="E242">
            <v>817</v>
          </cell>
        </row>
        <row r="243">
          <cell r="B243">
            <v>81</v>
          </cell>
          <cell r="D243" t="str">
            <v>Представительские расходы</v>
          </cell>
          <cell r="E243">
            <v>818</v>
          </cell>
        </row>
        <row r="244">
          <cell r="B244">
            <v>81</v>
          </cell>
          <cell r="D244" t="str">
            <v>Прочие расходы с\с (финансы)</v>
          </cell>
          <cell r="E244">
            <v>819</v>
          </cell>
        </row>
        <row r="245">
          <cell r="B245">
            <v>81</v>
          </cell>
          <cell r="D245" t="str">
            <v>Телеграфные расходы</v>
          </cell>
          <cell r="E245">
            <v>8191</v>
          </cell>
        </row>
        <row r="246">
          <cell r="B246">
            <v>81</v>
          </cell>
          <cell r="D246" t="str">
            <v>Подготовка кадров</v>
          </cell>
          <cell r="E246">
            <v>8199</v>
          </cell>
        </row>
        <row r="248">
          <cell r="B248">
            <v>8</v>
          </cell>
          <cell r="C248" t="str">
            <v>РАСХОДЫ ИЗ ПРИБЫЛИ от реализации</v>
          </cell>
          <cell r="E248">
            <v>82</v>
          </cell>
        </row>
        <row r="249">
          <cell r="B249">
            <v>82</v>
          </cell>
          <cell r="C249" t="str">
            <v>Налоги - всего</v>
          </cell>
          <cell r="E249">
            <v>821</v>
          </cell>
        </row>
        <row r="250">
          <cell r="B250">
            <v>821</v>
          </cell>
          <cell r="D250" t="str">
            <v xml:space="preserve"> - содержание объектов соцкультбыта</v>
          </cell>
          <cell r="E250">
            <v>8211</v>
          </cell>
        </row>
        <row r="251">
          <cell r="B251">
            <v>821</v>
          </cell>
          <cell r="D251" t="str">
            <v xml:space="preserve"> - на имущество</v>
          </cell>
          <cell r="E251">
            <v>8212</v>
          </cell>
        </row>
        <row r="252">
          <cell r="B252">
            <v>821</v>
          </cell>
          <cell r="D252" t="str">
            <v xml:space="preserve"> - сбор на уборку территории</v>
          </cell>
          <cell r="E252">
            <v>8213</v>
          </cell>
        </row>
        <row r="253">
          <cell r="B253">
            <v>821</v>
          </cell>
          <cell r="D253" t="str">
            <v xml:space="preserve"> - сбор на содержание милиции</v>
          </cell>
          <cell r="E253">
            <v>8214</v>
          </cell>
        </row>
        <row r="254">
          <cell r="B254">
            <v>821</v>
          </cell>
          <cell r="D254" t="str">
            <v xml:space="preserve"> - на общеобразовательные нужды</v>
          </cell>
          <cell r="E254">
            <v>8215</v>
          </cell>
        </row>
        <row r="255">
          <cell r="B255">
            <v>821</v>
          </cell>
          <cell r="D255" t="str">
            <v xml:space="preserve"> - на прибыль</v>
          </cell>
          <cell r="E255">
            <v>8216</v>
          </cell>
        </row>
        <row r="257">
          <cell r="B257">
            <v>8</v>
          </cell>
          <cell r="C257" t="str">
            <v>РАСХОДЫ ЗА СЧЕТ ПРИБЫЛИ</v>
          </cell>
          <cell r="E257">
            <v>83</v>
          </cell>
        </row>
        <row r="258">
          <cell r="B258">
            <v>83</v>
          </cell>
          <cell r="D258" t="str">
            <v>Затраты на объекты С-К-Б</v>
          </cell>
          <cell r="E258">
            <v>831</v>
          </cell>
        </row>
        <row r="259">
          <cell r="B259">
            <v>83</v>
          </cell>
          <cell r="D259" t="str">
            <v>Финансовые вложения</v>
          </cell>
          <cell r="E259">
            <v>832</v>
          </cell>
        </row>
        <row r="260">
          <cell r="B260">
            <v>83</v>
          </cell>
          <cell r="D260" t="str">
            <v>Благотворительность</v>
          </cell>
          <cell r="E260">
            <v>833</v>
          </cell>
        </row>
        <row r="261">
          <cell r="B261">
            <v>83</v>
          </cell>
          <cell r="D261" t="str">
            <v>Расходы Совета Директоров</v>
          </cell>
          <cell r="E261">
            <v>834</v>
          </cell>
        </row>
        <row r="262">
          <cell r="B262">
            <v>83</v>
          </cell>
          <cell r="D262" t="str">
            <v>Прочие расходы из прибыли</v>
          </cell>
          <cell r="E262">
            <v>839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ый_лист"/>
      <sheetName val="Свод"/>
      <sheetName val="Фин рез"/>
      <sheetName val="Филиалы"/>
      <sheetName val="Январь"/>
    </sheetNames>
    <sheetDataSet>
      <sheetData sheetId="0" refreshError="1">
        <row r="3">
          <cell r="F3">
            <v>36892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1"/>
      <sheetName val="Лист9"/>
      <sheetName val="Январь 1997 г"/>
      <sheetName val="Февраль 1997"/>
      <sheetName val="2  месяца 1997"/>
      <sheetName val="МАРТ"/>
      <sheetName val="1 квартал 1997"/>
      <sheetName val="АПРЕЛ Ь"/>
      <sheetName val="МАЙ 1997"/>
      <sheetName val="ИЮНЬ 1997"/>
      <sheetName val="2 квартал 1997"/>
      <sheetName val="Лист13"/>
      <sheetName val="Лист14"/>
      <sheetName val="В $"/>
      <sheetName val="Лист12"/>
      <sheetName val="1полуг"/>
      <sheetName val="июнь"/>
      <sheetName val="7м-в"/>
      <sheetName val="8 мес"/>
      <sheetName val="август"/>
      <sheetName val="сент"/>
      <sheetName val="3кв97"/>
      <sheetName val="9м-в97"/>
      <sheetName val="Октябрь"/>
      <sheetName val="10 м - в"/>
      <sheetName val="нбр97"/>
      <sheetName val="11м-в97"/>
      <sheetName val="дкбр97"/>
      <sheetName val="4кв97"/>
      <sheetName val="97г"/>
      <sheetName val="янв98 "/>
      <sheetName val="фвр98"/>
      <sheetName val="2мес98"/>
      <sheetName val="март98"/>
      <sheetName val="1кв98"/>
      <sheetName val="апр98"/>
      <sheetName val="4 мес 98"/>
      <sheetName val="май 98"/>
      <sheetName val="5 мес 98"/>
      <sheetName val="июнь98"/>
      <sheetName val="2 кв98"/>
      <sheetName val="1 пгд98старый формат"/>
      <sheetName val="1 пгд98 (2)образец формата"/>
      <sheetName val="1 пгд98 "/>
      <sheetName val="июль98"/>
      <sheetName val="7 мес 98"/>
      <sheetName val="авг 98"/>
      <sheetName val="8 мес 98"/>
      <sheetName val="сент 98"/>
      <sheetName val="3 кв 98"/>
      <sheetName val="9 мес 98"/>
      <sheetName val="окт 98"/>
      <sheetName val="10 мес 98"/>
      <sheetName val="нбр 98"/>
      <sheetName val="11 мес 98"/>
      <sheetName val="дкб98"/>
      <sheetName val="4 кв98"/>
      <sheetName val="1998"/>
      <sheetName val="Отч 98 к 97"/>
      <sheetName val="Янв 99"/>
      <sheetName val="Фвр 99"/>
      <sheetName val="2 мес99"/>
      <sheetName val="Мрт 99"/>
      <sheetName val="1 кв 99"/>
      <sheetName val="Ф апр к март"/>
      <sheetName val=" апр 9 к апр 8"/>
      <sheetName val="Апр 99"/>
      <sheetName val="4 мес 99"/>
      <sheetName val="Май 9"/>
      <sheetName val="5 мес 9"/>
      <sheetName val="1 пг9 к 1 пг8"/>
      <sheetName val="июнь9"/>
      <sheetName val="2 кв9"/>
      <sheetName val="1 пг9"/>
      <sheetName val="июль99"/>
      <sheetName val="7 мес99"/>
      <sheetName val="авг99"/>
      <sheetName val="8 мес99"/>
      <sheetName val="сент99"/>
      <sheetName val="3 кв99"/>
      <sheetName val="9мес99"/>
      <sheetName val="окт99"/>
      <sheetName val="10мес99"/>
      <sheetName val="нбр99"/>
      <sheetName val="11мес99"/>
      <sheetName val="дкб99"/>
      <sheetName val="4 кв99"/>
      <sheetName val="1999"/>
      <sheetName val="1999 $$"/>
      <sheetName val="Лист1"/>
      <sheetName val="Янв_01"/>
      <sheetName val="Фвр_01"/>
      <sheetName val="2 мес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мортизация"/>
      <sheetName val="заработная плата"/>
      <sheetName val="постоянные затраты"/>
      <sheetName val="Конс_отчет"/>
      <sheetName val="деньги-реализ"/>
      <sheetName val="коэфф"/>
      <sheetName val="prezent"/>
      <sheetName val="Дозакл-new"/>
      <sheetName val="Rual Trade (ДОЗАКЛ)"/>
      <sheetName val="Форма РУАЛ"/>
      <sheetName val="справка_ден"/>
      <sheetName val="Пл_Сметы"/>
      <sheetName val="Операции"/>
      <sheetName val="статьи"/>
      <sheetName val="Лист1"/>
      <sheetName val="Ульянов-СМЗ"/>
      <sheetName val="Лист2"/>
      <sheetName val="Центры_затрат"/>
      <sheetName val="Лист3"/>
      <sheetName val="Деб_кред_задолж  "/>
      <sheetName val="июнь9"/>
      <sheetName val="постоянныезатраты"/>
      <sheetName val="?????????? ???????"/>
      <sheetName val="Усл К"/>
      <sheetName val="Прил 4"/>
      <sheetName val="С 2004 Ф"/>
      <sheetName val="№1 Осн показ"/>
      <sheetName val="№2 Динамика факта осн пок"/>
      <sheetName val="№3 Динамика ремонтов"/>
      <sheetName val="№4 Анализ ст-ти услуг  КраМЗ "/>
      <sheetName val="№4 Анализ ст-ти услуг БрАЗ"/>
      <sheetName val="№4 Анализ ст-ти услуг САЗ"/>
      <sheetName val="№4 Анализ ст-ти услуг НкАЗ"/>
      <sheetName val="№4 Анализ ст-ти услуг АГК"/>
      <sheetName val="№5 анализ сметы по филиалам"/>
      <sheetName val="№6 анализ БИЗ по филиалам"/>
      <sheetName val="№6 БИЗ(изм)"/>
      <sheetName val="№7 25 счет"/>
      <sheetName val="№8 26 счет"/>
      <sheetName val="№9 Расш услуг"/>
      <sheetName val="№9 Расш услуг КраМЗ(изм)"/>
      <sheetName val="№10 Доп передан затраты "/>
      <sheetName val="№11 Сведения об авансах"/>
      <sheetName val="№12 Отчет по движению"/>
      <sheetName val="№13 Анализ МТО закупки списание"/>
      <sheetName val="№14 Анализ ФОТ "/>
      <sheetName val="№15 Наруш тр дисц"/>
      <sheetName val="№16 Анализ заболев"/>
      <sheetName val="№17 Меропр по охр труда "/>
      <sheetName val="№18 ТМЦ"/>
      <sheetName val="№18 ТМЦ(изм)"/>
      <sheetName val="Données"/>
      <sheetName val="Январь"/>
      <sheetName val="оборудование"/>
      <sheetName val="2002(v2)"/>
      <sheetName val="оглавление"/>
      <sheetName val="?????????????????"/>
      <sheetName val="Дебиторка"/>
      <sheetName val="Сдача "/>
      <sheetName val="№4 лнализ ст-ти услуг АГК"/>
      <sheetName val="№10 㕂㘳_x0000__x0000_̀²츿䅿愗H_x0000__x0000__x0000_⸀Ёᨀ_x0000__x0000__x0000_뿎"/>
      <sheetName val=""/>
      <sheetName val="Список"/>
      <sheetName val="Кл предприятий"/>
      <sheetName val="__________ _______"/>
      <sheetName val="_________________"/>
      <sheetName val="№10 㕂㘳??̀²츿䅿愗H???⸀Ёᨀ???뿎"/>
      <sheetName val="Inventories as of 03.20"/>
      <sheetName val="Смета укрупнен."/>
      <sheetName val="䐦㕂㜸_x0000__x0000_ЀÑ퍹䂟ꩥ岏Ã"/>
      <sheetName val="䐦㕂㜸??ЀÑ퍹䂟ꩥ岏Ã"/>
      <sheetName val="ограничения_азот"/>
      <sheetName val="Оборудование_стоим"/>
      <sheetName val="Д_коммерческий"/>
      <sheetName val="Списки выбора"/>
      <sheetName val="Оборудование для БП"/>
      <sheetName val="ГИТ"/>
      <sheetName val="№10 㕂㘳"/>
      <sheetName val="䐦㕂㜸"/>
    </sheetNames>
    <sheetDataSet>
      <sheetData sheetId="0" refreshError="1"/>
      <sheetData sheetId="1" refreshError="1"/>
      <sheetData sheetId="2" refreshError="1">
        <row r="18">
          <cell r="F18">
            <v>410.43131023479225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Jan"/>
      <sheetName val="13 Jan"/>
      <sheetName val="20 Jan "/>
      <sheetName val="27 Jan"/>
      <sheetName val="03 Feb"/>
      <sheetName val="10 Feb"/>
      <sheetName val="17 Feb"/>
      <sheetName val="24 Feb"/>
      <sheetName val="03 Mar"/>
      <sheetName val="10 Mar"/>
      <sheetName val="17 Mar"/>
      <sheetName val="24 Mar"/>
      <sheetName val="31 Mar"/>
      <sheetName val="14 Apr"/>
      <sheetName val="01 Jul"/>
      <sheetName val="17 Nov"/>
      <sheetName val="24 Nov"/>
      <sheetName val="Лимиты"/>
      <sheetName val="ОВГВЗ-ОФЗ"/>
      <sheetName val="Лист1"/>
      <sheetName val="хедж"/>
      <sheetName val="Лист не изменять"/>
      <sheetName val="Форма №1 HC"/>
      <sheetName val="Форма №2 HC"/>
      <sheetName val="Форма №3 HC"/>
      <sheetName val="Форма №4 HC"/>
      <sheetName val="Баланс и ОПУ_детальный"/>
      <sheetName val="ОСВ"/>
      <sheetName val="ОСВ HC"/>
      <sheetName val="Баланс"/>
      <sheetName val="Баланс HC"/>
      <sheetName val="ОПУ"/>
      <sheetName val="Мейпинг "/>
      <sheetName val="Капитал"/>
      <sheetName val="Капитал HC"/>
      <sheetName val="ДДС"/>
      <sheetName val="ДДС HC"/>
      <sheetName val="Касса и экв "/>
      <sheetName val="Депозиты "/>
      <sheetName val="Торговые цб "/>
      <sheetName val="Для продажи "/>
      <sheetName val="Дочерние и зависимые комп. "/>
      <sheetName val="Страховая дз_кз "/>
      <sheetName val="Прочие активы "/>
      <sheetName val="Прочие дох_расх "/>
      <sheetName val="Админ-ые расходы "/>
      <sheetName val="Прочие пассивы "/>
      <sheetName val="Прочие страх. дох&amp;расх. "/>
      <sheetName val="Результат от выбытия ОС и ИС "/>
      <sheetName val="НМА "/>
      <sheetName val="Сегментарный отчет_ уч груп "/>
      <sheetName val="Инвест рез-т "/>
      <sheetName val="З.П. "/>
      <sheetName val="ОПУ HC"/>
      <sheetName val="Adj 30.06.11"/>
      <sheetName val="Note 9"/>
      <sheetName val="DT_calc"/>
      <sheetName val="Форекс "/>
      <sheetName val="Налог на прибыль"/>
      <sheetName val="База данных по страхованию"/>
      <sheetName val="Список СС"/>
      <sheetName val="Налог на прибыль ОФА"/>
      <sheetName val="Adj 31.12.10"/>
      <sheetName val="DT Basel "/>
      <sheetName val="diff RE"/>
      <sheetName val="Мейпинг"/>
      <sheetName val="Резервы"/>
      <sheetName val="Note 26"/>
      <sheetName val="переоценка"/>
      <sheetName val="FA_IFRS"/>
      <sheetName val="ОС"/>
      <sheetName val="Реестр по ОС и ИС"/>
      <sheetName val="Реестр по ОС и ИС "/>
      <sheetName val="Движение резервов"/>
      <sheetName val="FA_IFRS_10"/>
      <sheetName val="выбытие"/>
      <sheetName val="постоянные затра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497">
          <cell r="G497">
            <v>1.6942665365227507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 не изменять"/>
      <sheetName val="Образец для работы с ОСВ"/>
      <sheetName val="Лист контроля"/>
      <sheetName val="Руководство по заполнению"/>
      <sheetName val="Изменения"/>
      <sheetName val="Форма №1"/>
      <sheetName val="прил к Ф№1"/>
      <sheetName val="Форма №2"/>
      <sheetName val="Форма №2а"/>
      <sheetName val="Форма №3"/>
      <sheetName val="Форма №4"/>
      <sheetName val="Форма №5"/>
      <sheetName val="Страх д.кр."/>
      <sheetName val="Изменение_НРП"/>
      <sheetName val="Баланс и ОПУ_детальный"/>
      <sheetName val="Баланс"/>
      <sheetName val="ОПУ"/>
      <sheetName val="Капитал"/>
      <sheetName val="ДДС"/>
      <sheetName val="Касса и экв"/>
      <sheetName val="Депозиты"/>
      <sheetName val="Инвест рез-т"/>
      <sheetName val="Кредиты"/>
      <sheetName val="Ценные бумаги"/>
      <sheetName val="Для продажи"/>
      <sheetName val="РЕПО"/>
      <sheetName val="Дочерние и зависимые комп."/>
      <sheetName val="Страховая дз_кз"/>
      <sheetName val="Прочие активы"/>
      <sheetName val="Прочие пассивы"/>
      <sheetName val="НМА"/>
      <sheetName val="ОС"/>
      <sheetName val="Инвестиц собств"/>
      <sheetName val="Реестр по ОС и ИС"/>
      <sheetName val="Реестр по выбыв ОС"/>
      <sheetName val="Результат от выбытия ОС и ИС"/>
      <sheetName val="Прочие страх. дох&amp;расх."/>
      <sheetName val="З.П."/>
      <sheetName val="Админ-ые расходы"/>
      <sheetName val="Форекс"/>
      <sheetName val="Прочие дох_расх"/>
      <sheetName val="Налог на прибыль"/>
      <sheetName val="Сегментарный отчет"/>
      <sheetName val="Условные обяз-ва"/>
      <sheetName val="Сомнительная задолженность"/>
      <sheetName val="Операции между связ сторонами"/>
      <sheetName val="Банк_Баланс_ОПУ"/>
      <sheetName val="До погашения"/>
      <sheetName val="Пенсионный план"/>
      <sheetName val="База данных по страхованию"/>
      <sheetName val="Операции между связанными лицам"/>
      <sheetName val="Список СС"/>
      <sheetName val="Налог на прибыль ОФА"/>
    </sheetNames>
    <sheetDataSet>
      <sheetData sheetId="0">
        <row r="3">
          <cell r="B3" t="str">
            <v>Заполнено полностью</v>
          </cell>
        </row>
        <row r="4">
          <cell r="B4" t="str">
            <v>Заполнено частично</v>
          </cell>
        </row>
        <row r="5">
          <cell r="B5" t="str">
            <v>Не возможно заполнить/выполнить</v>
          </cell>
        </row>
        <row r="6">
          <cell r="B6" t="str">
            <v>Не применимо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 не изменять"/>
      <sheetName val="Лист контроля"/>
      <sheetName val="Форма №1"/>
      <sheetName val="Форма №2"/>
      <sheetName val="Форма №3"/>
      <sheetName val="Форма №4"/>
      <sheetName val="ДДС"/>
      <sheetName val="Баланс"/>
      <sheetName val="ОПУ"/>
      <sheetName val="Капитал 2005-31.12.2006"/>
      <sheetName val="Оборотная ведомость"/>
      <sheetName val="ORE2006"/>
      <sheetName val="SAD2006"/>
      <sheetName val="ADJ 31.12.2006"/>
      <sheetName val="Стоимость аудита "/>
      <sheetName val="Резервирование"/>
      <sheetName val="Инвест-ции по балансовой ст-ти"/>
      <sheetName val="AFS_unquoted"/>
      <sheetName val="ОС"/>
      <sheetName val="Реестр по ОС и ИС"/>
      <sheetName val="Касса и экв"/>
      <sheetName val="Для продажи"/>
      <sheetName val="Кредиты"/>
      <sheetName val="Депозиты"/>
      <sheetName val="Страховая дз_кз"/>
      <sheetName val="Торговые цб"/>
      <sheetName val="Прочие активы"/>
      <sheetName val="Прочие пассивы"/>
      <sheetName val="Сегментарный отчет "/>
      <sheetName val="Сегментарный отчет_ уч группы"/>
      <sheetName val="Прочие страх. дох&amp;расх."/>
      <sheetName val="Прочие дох_расх"/>
      <sheetName val="Инвест рез-т"/>
      <sheetName val="З.П."/>
      <sheetName val="Форекс"/>
      <sheetName val="начисление премий"/>
      <sheetName val="Просроченная задолженность"/>
      <sheetName val="5.Stat.Tax return"/>
      <sheetName val="Инго-Украина-резервы"/>
      <sheetName val="Капитал"/>
      <sheetName val="Капитал EY"/>
      <sheetName val="3.Stat.Change in equity"/>
      <sheetName val="4.Stat.Chash flow"/>
      <sheetName val="6.TB"/>
      <sheetName val="CF  BS"/>
      <sheetName val="9. CF "/>
      <sheetName val="8.IFRS Change in equity"/>
      <sheetName val="Note 5"/>
      <sheetName val="Note 6"/>
      <sheetName val="Note 7"/>
      <sheetName val="Note 8"/>
      <sheetName val="Note 9"/>
      <sheetName val="Note 10 "/>
      <sheetName val="Note 11"/>
      <sheetName val="DT Nat Acc"/>
      <sheetName val="DT Basel"/>
      <sheetName val="DT calc"/>
      <sheetName val="Налог на прибыль"/>
      <sheetName val="Note 13"/>
      <sheetName val="FA IFRS 2006"/>
      <sheetName val="Note 14"/>
      <sheetName val="Note 15(n-a)"/>
      <sheetName val="Note 16"/>
      <sheetName val="Note 17"/>
      <sheetName val="Note 18(n-a)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"/>
      <sheetName val="Note 29"/>
      <sheetName val="Note 30"/>
      <sheetName val="Note 31(n-a)"/>
      <sheetName val="Note 32 (n-a)"/>
      <sheetName val="work 30 note"/>
      <sheetName val="Баланс и ОПУ_детальный"/>
      <sheetName val="Инвестиц собств"/>
      <sheetName val="Дочерние и зависимые комп."/>
      <sheetName val="До погашения"/>
      <sheetName val="База данных по страхованию"/>
      <sheetName val="Условные обяз-ва"/>
      <sheetName val="Пенсонный план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">
          <cell r="J4" t="str">
            <v>Земля и здания</v>
          </cell>
        </row>
        <row r="5">
          <cell r="J5" t="str">
            <v>Земля и здания</v>
          </cell>
        </row>
        <row r="6">
          <cell r="J6" t="str">
            <v>Компьютеры и оборудование</v>
          </cell>
        </row>
        <row r="7">
          <cell r="J7" t="str">
            <v>Компьютеры и оборудование</v>
          </cell>
        </row>
        <row r="8">
          <cell r="J8" t="str">
            <v>Компьютеры и оборудование</v>
          </cell>
        </row>
        <row r="9">
          <cell r="J9" t="str">
            <v>Автотранспорт</v>
          </cell>
        </row>
        <row r="10">
          <cell r="J10" t="str">
            <v>Мебель и принадлежности</v>
          </cell>
        </row>
        <row r="11">
          <cell r="J11" t="str">
            <v>Прочее</v>
          </cell>
        </row>
        <row r="12">
          <cell r="J12" t="str">
            <v>Мебель и принадлежности</v>
          </cell>
        </row>
        <row r="13">
          <cell r="J13" t="str">
            <v>Мебель и принадлежности</v>
          </cell>
        </row>
        <row r="14">
          <cell r="J14" t="str">
            <v>Мебель и принадлежности</v>
          </cell>
        </row>
        <row r="15">
          <cell r="J15" t="str">
            <v>Мебель и принадлежности</v>
          </cell>
        </row>
        <row r="16">
          <cell r="J16" t="str">
            <v>Мебель и принадлежности</v>
          </cell>
        </row>
        <row r="17">
          <cell r="J17" t="str">
            <v>Мебель и принадлежности</v>
          </cell>
        </row>
        <row r="18">
          <cell r="J18" t="str">
            <v>Земля и здания</v>
          </cell>
        </row>
        <row r="19">
          <cell r="J19" t="str">
            <v>Мебель и принадлежности</v>
          </cell>
        </row>
        <row r="20">
          <cell r="J20" t="str">
            <v>Нематериальные активы</v>
          </cell>
        </row>
        <row r="21">
          <cell r="J21" t="str">
            <v>Нематериальные активы</v>
          </cell>
        </row>
        <row r="22">
          <cell r="J22" t="str">
            <v>Нематериальные активы</v>
          </cell>
        </row>
        <row r="23">
          <cell r="J23" t="str">
            <v>Земля и здания, амортизация</v>
          </cell>
        </row>
        <row r="24">
          <cell r="J24" t="str">
            <v>Компьютеры и оборудование, амортизация</v>
          </cell>
        </row>
        <row r="25">
          <cell r="J25" t="str">
            <v>Компьютеры и оборудование, амортизация</v>
          </cell>
        </row>
        <row r="26">
          <cell r="J26" t="str">
            <v>Компьютеры и оборудование, амортизация</v>
          </cell>
        </row>
        <row r="27">
          <cell r="J27" t="str">
            <v>Автотранспорт, амортизация</v>
          </cell>
        </row>
        <row r="28">
          <cell r="J28" t="str">
            <v>Автотранспорт, амортизация</v>
          </cell>
        </row>
        <row r="29">
          <cell r="J29" t="str">
            <v>Автотранспорт, амортизация</v>
          </cell>
        </row>
        <row r="30">
          <cell r="J30" t="str">
            <v xml:space="preserve">Мебель, амортизация </v>
          </cell>
        </row>
        <row r="31">
          <cell r="J31" t="str">
            <v xml:space="preserve">Мебель, амортизация </v>
          </cell>
        </row>
        <row r="32">
          <cell r="J32" t="str">
            <v xml:space="preserve">Мебель, амортизация </v>
          </cell>
        </row>
        <row r="33">
          <cell r="J33" t="str">
            <v xml:space="preserve">Мебель, амортизация </v>
          </cell>
        </row>
        <row r="34">
          <cell r="J34" t="str">
            <v xml:space="preserve">Мебель, амортизация </v>
          </cell>
        </row>
        <row r="35">
          <cell r="J35" t="str">
            <v xml:space="preserve">Мебель, амортизация </v>
          </cell>
        </row>
        <row r="36">
          <cell r="J36" t="str">
            <v xml:space="preserve">Мебель, амортизация </v>
          </cell>
        </row>
        <row r="37">
          <cell r="J37" t="str">
            <v xml:space="preserve">Мебель, амортизация </v>
          </cell>
        </row>
        <row r="38">
          <cell r="J38" t="str">
            <v>Земля и здания, амортизация</v>
          </cell>
        </row>
        <row r="39">
          <cell r="J39" t="str">
            <v xml:space="preserve">Мебель, амортизация </v>
          </cell>
        </row>
        <row r="40">
          <cell r="J40" t="str">
            <v>Нематериальные активы</v>
          </cell>
        </row>
        <row r="41">
          <cell r="J41" t="str">
            <v>Нематериальные активы</v>
          </cell>
        </row>
        <row r="42">
          <cell r="J42" t="str">
            <v>Нематериальные активы</v>
          </cell>
        </row>
        <row r="43">
          <cell r="J43" t="str">
            <v>Нематериальные активы</v>
          </cell>
        </row>
        <row r="44">
          <cell r="J44" t="str">
            <v>Котируемые акции</v>
          </cell>
        </row>
        <row r="45">
          <cell r="J45" t="str">
            <v>Незавершенное строительство</v>
          </cell>
        </row>
        <row r="46">
          <cell r="J46" t="str">
            <v>Незавершенное строительство</v>
          </cell>
        </row>
        <row r="47">
          <cell r="J47" t="str">
            <v>Незавершенное строительство</v>
          </cell>
        </row>
        <row r="48">
          <cell r="J48" t="str">
            <v>Нематериальные активы</v>
          </cell>
        </row>
        <row r="49">
          <cell r="J49" t="str">
            <v>Прочее</v>
          </cell>
        </row>
        <row r="50">
          <cell r="J50" t="str">
            <v>Прочее</v>
          </cell>
        </row>
        <row r="51">
          <cell r="J51" t="str">
            <v>Отложенный налог</v>
          </cell>
        </row>
        <row r="52">
          <cell r="J52" t="str">
            <v>Инвентарь</v>
          </cell>
        </row>
        <row r="53">
          <cell r="J53" t="str">
            <v>Инвентарь</v>
          </cell>
        </row>
        <row r="54">
          <cell r="J54" t="str">
            <v>Инвентарь</v>
          </cell>
        </row>
        <row r="55">
          <cell r="J55" t="str">
            <v>Инвентарь</v>
          </cell>
        </row>
        <row r="56">
          <cell r="J56" t="str">
            <v>Инвентарь</v>
          </cell>
        </row>
        <row r="57">
          <cell r="J57" t="str">
            <v>Инвентарь</v>
          </cell>
        </row>
        <row r="58">
          <cell r="J58" t="str">
            <v>Инвентарь</v>
          </cell>
        </row>
        <row r="59">
          <cell r="J59" t="str">
            <v>Инвентарь</v>
          </cell>
        </row>
        <row r="60">
          <cell r="J60" t="str">
            <v>Инвентарь</v>
          </cell>
        </row>
        <row r="61">
          <cell r="J61" t="str">
            <v>Касса</v>
          </cell>
        </row>
        <row r="62">
          <cell r="J62" t="str">
            <v>Касса</v>
          </cell>
        </row>
        <row r="63">
          <cell r="J63" t="str">
            <v>Касса</v>
          </cell>
        </row>
        <row r="64">
          <cell r="J64" t="str">
            <v>Денежные средства на текущих и расчетных счетах</v>
          </cell>
        </row>
        <row r="65">
          <cell r="J65" t="str">
            <v>Денежные средства на текущих и расчетных счетах</v>
          </cell>
        </row>
        <row r="66">
          <cell r="J66" t="str">
            <v>Денежные средства на текущих и расчетных счетах</v>
          </cell>
        </row>
        <row r="67">
          <cell r="J67" t="str">
            <v>Денежные средства на текущих и расчетных счетах</v>
          </cell>
        </row>
        <row r="68">
          <cell r="J68" t="str">
            <v>Денежные средства на текущих и расчетных счетах</v>
          </cell>
        </row>
        <row r="69">
          <cell r="J69" t="str">
            <v>Денежные средства на текущих и расчетных счетах</v>
          </cell>
        </row>
        <row r="70">
          <cell r="J70" t="str">
            <v>Денежные средства на текущих и расчетных счетах</v>
          </cell>
        </row>
        <row r="71">
          <cell r="J71" t="str">
            <v>Денежные средства на текущих и расчетных счетах</v>
          </cell>
        </row>
        <row r="72">
          <cell r="J72" t="str">
            <v>Денежные средства на текущих и расчетных счетах</v>
          </cell>
        </row>
        <row r="73">
          <cell r="J73" t="str">
            <v>Денежные средства на текущих и расчетных счетах</v>
          </cell>
        </row>
        <row r="74">
          <cell r="J74" t="str">
            <v>Денежные средства на текущих и расчетных счетах</v>
          </cell>
        </row>
        <row r="75">
          <cell r="J75" t="str">
            <v>Депозиты (до 3-х месяцев)</v>
          </cell>
        </row>
        <row r="76">
          <cell r="J76" t="str">
            <v>Прочие банки</v>
          </cell>
        </row>
        <row r="77">
          <cell r="J77" t="str">
            <v>Прочие банки</v>
          </cell>
        </row>
        <row r="78">
          <cell r="J78" t="str">
            <v>Прочие банки</v>
          </cell>
        </row>
        <row r="79">
          <cell r="J79" t="str">
            <v>Прочие банки</v>
          </cell>
        </row>
        <row r="80">
          <cell r="J80" t="str">
            <v>Прочее</v>
          </cell>
        </row>
        <row r="81">
          <cell r="J81" t="str">
            <v>Дебиторская задолженность по премиям по прямому страхованию</v>
          </cell>
        </row>
        <row r="82">
          <cell r="J82" t="str">
            <v>Дебиторская задолженность по премиям по прямому страхованию</v>
          </cell>
        </row>
        <row r="83">
          <cell r="J83" t="str">
            <v>Дебиторская задолженность по премиям по прямому страхованию</v>
          </cell>
        </row>
        <row r="84">
          <cell r="J84" t="str">
            <v>Дебиторская задолженность по премиям по прямому страхованию</v>
          </cell>
        </row>
        <row r="85">
          <cell r="J85" t="str">
            <v>Дебиторская задолженность по премиям по прямому страхованию</v>
          </cell>
        </row>
        <row r="86">
          <cell r="J86" t="str">
            <v>Дебиторская задолженность по премиям по прямому страхованию</v>
          </cell>
        </row>
        <row r="87">
          <cell r="J87" t="str">
            <v>Дебиторская задолженность по премиям по прямому страхованию</v>
          </cell>
        </row>
        <row r="88">
          <cell r="J88" t="str">
            <v>Дебиторская задолженность по премиям по прямому страхованию</v>
          </cell>
        </row>
        <row r="89">
          <cell r="J89" t="str">
            <v>Дебиторская задолженность по премиям по прямому страхованию</v>
          </cell>
        </row>
        <row r="90">
          <cell r="J90" t="str">
            <v>Дебиторская задолженность по премиям по прямому страхованию</v>
          </cell>
        </row>
        <row r="91">
          <cell r="J91" t="str">
            <v>Дебиторская задолженность по премиям по прямому страхованию</v>
          </cell>
        </row>
        <row r="92">
          <cell r="J92" t="str">
            <v>Дебиторская задолженность по премиям по прямому страхованию</v>
          </cell>
        </row>
        <row r="93">
          <cell r="J93" t="str">
            <v>Дебиторская задолженность по премиям по прямому страхованию</v>
          </cell>
        </row>
        <row r="94">
          <cell r="J94" t="str">
            <v>Дебиторская задолженность по премиям по прямому страхованию</v>
          </cell>
        </row>
        <row r="95">
          <cell r="J95" t="str">
            <v>Дебиторская задолженность по премиям по прямому страхованию</v>
          </cell>
        </row>
        <row r="96">
          <cell r="J96" t="str">
            <v>Дебиторская задолженность по премиям по прямому страхованию</v>
          </cell>
        </row>
        <row r="97">
          <cell r="J97" t="str">
            <v>Дебиторская задолженность по премиям по прямому страхованию</v>
          </cell>
        </row>
        <row r="98">
          <cell r="J98" t="str">
            <v>Дебиторская задолженность по премиям по прямому страхованию</v>
          </cell>
        </row>
        <row r="99">
          <cell r="J99" t="str">
            <v>Дебиторская задолженность по премиям по прямому страхованию</v>
          </cell>
        </row>
        <row r="100">
          <cell r="J100" t="str">
            <v>Дебиторская задолженность по премиям по прямому страхованию</v>
          </cell>
        </row>
        <row r="101">
          <cell r="J101" t="str">
            <v>Дебиторская задолженность по премиям по прямому страхованию</v>
          </cell>
        </row>
        <row r="102">
          <cell r="J102" t="str">
            <v>Дебиторская задолженность по премиям по прямому страхованию</v>
          </cell>
        </row>
        <row r="103">
          <cell r="J103" t="str">
            <v>Дебиторская задолженность по премиям по прямому страхованию</v>
          </cell>
        </row>
        <row r="104">
          <cell r="J104" t="str">
            <v>Дебиторская задолженность по премиям по прямому страхованию</v>
          </cell>
        </row>
        <row r="105">
          <cell r="J105" t="str">
            <v>Дебиторская задолженность по премиям по прямому страхованию</v>
          </cell>
        </row>
        <row r="106">
          <cell r="J106" t="str">
            <v>Дебиторская задолженность по премиям по прямому страхованию</v>
          </cell>
        </row>
        <row r="107">
          <cell r="J107" t="str">
            <v>Дебиторская задолженность по премиям по прямому страхованию</v>
          </cell>
        </row>
        <row r="108">
          <cell r="J108" t="str">
            <v>Дебиторская задолженность по премиям по прямому страхованию</v>
          </cell>
        </row>
        <row r="109">
          <cell r="J109" t="str">
            <v>Дебиторская задолженность по премиям по прямому страхованию</v>
          </cell>
        </row>
        <row r="110">
          <cell r="J110" t="str">
            <v>Дебиторская задолженность по премиям по прямому страхованию</v>
          </cell>
        </row>
        <row r="111">
          <cell r="J111" t="str">
            <v>Дебиторская задолженность по премиям по прямому страхованию</v>
          </cell>
        </row>
        <row r="112">
          <cell r="J112" t="str">
            <v>Дебиторская задолженность по премиям по прямому страхованию</v>
          </cell>
        </row>
        <row r="113">
          <cell r="J113" t="str">
            <v>Дебиторская задолженность по премиям по прямому страхованию</v>
          </cell>
        </row>
        <row r="114">
          <cell r="J114" t="str">
            <v>Дебиторская задолженность по премиям по прямому страхованию</v>
          </cell>
        </row>
        <row r="115">
          <cell r="J115" t="str">
            <v>Дебиторская задолженность по премиям по прямому страхованию</v>
          </cell>
        </row>
        <row r="116">
          <cell r="J116" t="str">
            <v>Дебиторская задолженность по премиям по прямому страхованию</v>
          </cell>
        </row>
        <row r="117">
          <cell r="J117" t="str">
            <v>Дебиторская задолженность по премиям по прямому страхованию</v>
          </cell>
        </row>
        <row r="118">
          <cell r="J118" t="str">
            <v>Дебиторская задолженность по премиям по прямому страхованию</v>
          </cell>
        </row>
        <row r="119">
          <cell r="J119" t="str">
            <v>Дебиторская задолженность по премиям по прямому страхованию</v>
          </cell>
        </row>
        <row r="120">
          <cell r="J120" t="str">
            <v>Дебиторская задолженность по премиям по прямому страхованию</v>
          </cell>
        </row>
        <row r="121">
          <cell r="J121" t="str">
            <v>Дебиторская задолженность по премиям по прямому страхованию</v>
          </cell>
        </row>
        <row r="122">
          <cell r="J122" t="str">
            <v>Дебиторская задолженность по премиям по прямому страхованию</v>
          </cell>
        </row>
        <row r="123">
          <cell r="J123" t="str">
            <v>Авансы и предоплаты</v>
          </cell>
        </row>
        <row r="124">
          <cell r="J124" t="str">
            <v>Прочее</v>
          </cell>
        </row>
        <row r="125">
          <cell r="J125" t="str">
            <v>Прочее</v>
          </cell>
        </row>
        <row r="126">
          <cell r="J126" t="str">
            <v>Прочее</v>
          </cell>
        </row>
        <row r="127">
          <cell r="J127" t="str">
            <v>Начисления процентов и купона</v>
          </cell>
        </row>
        <row r="128">
          <cell r="J128" t="str">
            <v>Регрессные требования</v>
          </cell>
        </row>
        <row r="129">
          <cell r="J129" t="str">
            <v>Прочее</v>
          </cell>
        </row>
        <row r="130">
          <cell r="J130" t="str">
            <v>Прочее</v>
          </cell>
        </row>
        <row r="132">
          <cell r="J132" t="str">
            <v>Прочее</v>
          </cell>
        </row>
        <row r="133">
          <cell r="J133" t="str">
            <v>Дебиторская задолженность по выплатам по переданному перестрахованию</v>
          </cell>
        </row>
        <row r="134">
          <cell r="J134" t="str">
            <v>Прочее</v>
          </cell>
        </row>
        <row r="135">
          <cell r="J135" t="str">
            <v>Прочее</v>
          </cell>
        </row>
        <row r="136">
          <cell r="J136" t="str">
            <v>Прочее</v>
          </cell>
        </row>
        <row r="137">
          <cell r="J137" t="str">
            <v>Прочее</v>
          </cell>
        </row>
        <row r="138">
          <cell r="J138" t="str">
            <v>Прочее</v>
          </cell>
        </row>
        <row r="139">
          <cell r="J139" t="str">
            <v>Прочее</v>
          </cell>
        </row>
        <row r="140">
          <cell r="J140" t="str">
            <v>Авансы и предоплаты</v>
          </cell>
        </row>
        <row r="141">
          <cell r="J141" t="str">
            <v>Уставный капитал</v>
          </cell>
        </row>
        <row r="142">
          <cell r="J142" t="str">
            <v>Добавочный капитал</v>
          </cell>
        </row>
        <row r="143">
          <cell r="J143" t="str">
            <v>Добавочный капитал</v>
          </cell>
        </row>
        <row r="144">
          <cell r="J144" t="str">
            <v>Добавочный капитал</v>
          </cell>
        </row>
        <row r="145">
          <cell r="J145" t="str">
            <v>Добавочный капитал</v>
          </cell>
        </row>
        <row r="146">
          <cell r="J146" t="str">
            <v>Добавочный капитал</v>
          </cell>
        </row>
        <row r="147">
          <cell r="J147" t="str">
            <v>Накопленная прибыль (убытки) прошлых лет</v>
          </cell>
        </row>
        <row r="148">
          <cell r="J148" t="str">
            <v xml:space="preserve">Распределение прибыли </v>
          </cell>
        </row>
        <row r="152">
          <cell r="J152" t="str">
            <v>Незаработанные премии по прямому страхованию</v>
          </cell>
        </row>
        <row r="153">
          <cell r="J153" t="str">
            <v>Незаработанные премии по прямому страхованию</v>
          </cell>
        </row>
        <row r="154">
          <cell r="J154" t="str">
            <v>Незаработанные премии по прямому страхованию</v>
          </cell>
        </row>
        <row r="155">
          <cell r="J155" t="str">
            <v>Незаработанные премии по прямому страхованию</v>
          </cell>
        </row>
        <row r="156">
          <cell r="J156" t="str">
            <v>Незаработанные премии по прямому страхованию</v>
          </cell>
        </row>
        <row r="157">
          <cell r="J157" t="str">
            <v>Незаработанные премии по прямому страхованию</v>
          </cell>
        </row>
        <row r="158">
          <cell r="J158" t="str">
            <v>Незаработанные премии по прямому страхованию</v>
          </cell>
        </row>
        <row r="159">
          <cell r="J159" t="str">
            <v>Незаработанные премии по прямому страхованию</v>
          </cell>
        </row>
        <row r="160">
          <cell r="J160" t="str">
            <v>Незаработанные премии по прямому страхованию</v>
          </cell>
        </row>
        <row r="161">
          <cell r="J161" t="str">
            <v>Незаработанные премии по прямому страхованию</v>
          </cell>
        </row>
        <row r="162">
          <cell r="J162" t="str">
            <v>Незаработанные премии по прямому страхованию</v>
          </cell>
        </row>
        <row r="163">
          <cell r="J163" t="str">
            <v>Незаработанные премии по прямому страхованию</v>
          </cell>
        </row>
        <row r="164">
          <cell r="J164" t="str">
            <v>Незаработанные премии по прямому страхованию</v>
          </cell>
        </row>
        <row r="165">
          <cell r="J165" t="str">
            <v>Незаработанные премии по прямому страхованию</v>
          </cell>
        </row>
        <row r="166">
          <cell r="J166" t="str">
            <v>Незаработанные премии по прямому страхованию</v>
          </cell>
        </row>
        <row r="167">
          <cell r="J167" t="str">
            <v>Незаработанные премии по прямому страхованию</v>
          </cell>
        </row>
        <row r="168">
          <cell r="J168" t="str">
            <v>Незаработанные премии по прямому страхованию</v>
          </cell>
        </row>
        <row r="169">
          <cell r="J169" t="str">
            <v>Незаработанные премии по прямому страхованию</v>
          </cell>
        </row>
        <row r="170">
          <cell r="J170" t="str">
            <v>Незаработанные премии по прямому страхованию</v>
          </cell>
        </row>
        <row r="171">
          <cell r="J171" t="str">
            <v>Незаработанные премии по прямому страхованию</v>
          </cell>
        </row>
        <row r="172">
          <cell r="J172" t="str">
            <v>Незаработанные премии по прямому страхованию</v>
          </cell>
        </row>
        <row r="173">
          <cell r="J173" t="str">
            <v>Незаработанные премии по прямому страхованию</v>
          </cell>
        </row>
        <row r="174">
          <cell r="J174" t="str">
            <v>Незаработанные премии по прямому страхованию</v>
          </cell>
        </row>
        <row r="175">
          <cell r="J175" t="str">
            <v>Незаработанные премии по прямому страхованию</v>
          </cell>
        </row>
        <row r="176">
          <cell r="J176" t="str">
            <v>Незаработанные премии по прямому страхованию</v>
          </cell>
        </row>
        <row r="177">
          <cell r="J177" t="str">
            <v>Незаработанные премии по прямому страхованию</v>
          </cell>
        </row>
        <row r="178">
          <cell r="J178" t="str">
            <v>Незаработанные премии по прямому страхованию</v>
          </cell>
        </row>
        <row r="179">
          <cell r="J179" t="str">
            <v>Незаработанные премии по прямому страхованию</v>
          </cell>
        </row>
        <row r="180">
          <cell r="J180" t="str">
            <v>Незаработанные премии по прямому страхованию</v>
          </cell>
        </row>
        <row r="181">
          <cell r="J181" t="str">
            <v>Незаработанные премии по прямому страхованию</v>
          </cell>
        </row>
        <row r="182">
          <cell r="J182" t="str">
            <v>Незаработанные премии по прямому страхованию</v>
          </cell>
        </row>
        <row r="183">
          <cell r="J183" t="str">
            <v>Незаработанные премии по прямому страхованию</v>
          </cell>
        </row>
        <row r="184">
          <cell r="J184" t="str">
            <v>Незаработанные премии по прямому страхованию</v>
          </cell>
        </row>
        <row r="185">
          <cell r="J185" t="str">
            <v>Незаработанные премии по прямому страхованию</v>
          </cell>
        </row>
        <row r="186">
          <cell r="J186" t="str">
            <v>Незаработанные премии по прямому страхованию</v>
          </cell>
        </row>
        <row r="187">
          <cell r="J187" t="str">
            <v>Незаработанные премии по прямому страхованию</v>
          </cell>
        </row>
        <row r="188">
          <cell r="J188" t="str">
            <v>Незаработанные премии по прямому страхованию</v>
          </cell>
        </row>
        <row r="189">
          <cell r="J189" t="str">
            <v>Незаработанные премии по прямому страхованию</v>
          </cell>
        </row>
        <row r="190">
          <cell r="J190" t="str">
            <v>Незаработанные премии по прямому страхованию</v>
          </cell>
        </row>
        <row r="191">
          <cell r="J191" t="str">
            <v>Незаработанные премии по прямому страхованию</v>
          </cell>
        </row>
        <row r="192">
          <cell r="J192" t="str">
            <v>Незаработанные премии по прямому страхованию</v>
          </cell>
        </row>
        <row r="193">
          <cell r="J193" t="str">
            <v>Незаработанные премии по прямому страхованию</v>
          </cell>
        </row>
        <row r="194">
          <cell r="J194" t="str">
            <v>Незаработанные премии по прямому страхованию</v>
          </cell>
        </row>
        <row r="195">
          <cell r="J195" t="str">
            <v>Прямое страхование</v>
          </cell>
        </row>
        <row r="196">
          <cell r="J196" t="str">
            <v>Прямое страхование</v>
          </cell>
          <cell r="K196">
            <v>-722.14951999999994</v>
          </cell>
        </row>
        <row r="197">
          <cell r="J197" t="str">
            <v>Прямое страхование</v>
          </cell>
        </row>
        <row r="198">
          <cell r="J198" t="str">
            <v>Прямое страхование</v>
          </cell>
          <cell r="K198">
            <v>-580.37325999999996</v>
          </cell>
        </row>
        <row r="199">
          <cell r="J199" t="str">
            <v>Незаработанные премии по исходящему перестрахованию</v>
          </cell>
        </row>
        <row r="200">
          <cell r="J200" t="str">
            <v>Исходящее перестрахование</v>
          </cell>
        </row>
        <row r="201">
          <cell r="J201" t="str">
            <v>Исходящее перестрахование</v>
          </cell>
        </row>
        <row r="202">
          <cell r="J202" t="str">
            <v>Исходящее перестрахование</v>
          </cell>
        </row>
        <row r="203">
          <cell r="J203" t="str">
            <v>Изменение РНП по прямому страхованию</v>
          </cell>
        </row>
        <row r="204">
          <cell r="J204" t="str">
            <v>Изменение РНП по прямому страхованию</v>
          </cell>
        </row>
        <row r="205">
          <cell r="J205" t="str">
            <v>Изменение РНП по прямому страхованию</v>
          </cell>
        </row>
        <row r="206">
          <cell r="J206" t="str">
            <v>Изменение РНП по прямому страхованию</v>
          </cell>
        </row>
        <row r="207">
          <cell r="J207" t="str">
            <v>Изменение РНП по прямому страхованию</v>
          </cell>
        </row>
        <row r="208">
          <cell r="J208" t="str">
            <v>Изменение РНП по прямому страхованию</v>
          </cell>
        </row>
        <row r="209">
          <cell r="J209" t="str">
            <v>Изменение РНП по прямому страхованию</v>
          </cell>
        </row>
        <row r="210">
          <cell r="J210" t="str">
            <v>Изменение РНП по прямому страхованию</v>
          </cell>
        </row>
        <row r="211">
          <cell r="J211" t="str">
            <v>Изменение РНП по прямому страхованию</v>
          </cell>
        </row>
        <row r="212">
          <cell r="J212" t="str">
            <v>Изменение РНП по прямому страхованию</v>
          </cell>
        </row>
        <row r="213">
          <cell r="J213" t="str">
            <v>Изменение РНП по прямому страхованию</v>
          </cell>
        </row>
        <row r="214">
          <cell r="J214" t="str">
            <v>Изменение РНП по прямому страхованию</v>
          </cell>
        </row>
        <row r="215">
          <cell r="J215" t="str">
            <v>Изменение РНП по прямому страхованию</v>
          </cell>
        </row>
        <row r="216">
          <cell r="J216" t="str">
            <v>Изменение РНП по прямому страхованию</v>
          </cell>
        </row>
        <row r="217">
          <cell r="J217" t="str">
            <v>Изменение РНП по прямому страхованию</v>
          </cell>
        </row>
        <row r="218">
          <cell r="J218" t="str">
            <v>Изменение РНП по прямому страхованию</v>
          </cell>
        </row>
        <row r="219">
          <cell r="J219" t="str">
            <v>Изменение РНП по прямому страхованию</v>
          </cell>
        </row>
        <row r="220">
          <cell r="J220" t="str">
            <v>Изменение РНП по прямому страхованию</v>
          </cell>
        </row>
        <row r="221">
          <cell r="J221" t="str">
            <v>Изменение РНП по прямому страхованию</v>
          </cell>
        </row>
        <row r="222">
          <cell r="J222" t="str">
            <v>Изменение РНП по прямому страхованию</v>
          </cell>
        </row>
        <row r="223">
          <cell r="J223" t="str">
            <v>Изменение РНП по прямому страхованию</v>
          </cell>
        </row>
        <row r="224">
          <cell r="J224" t="str">
            <v>Изменение РНП по прямому страхованию</v>
          </cell>
        </row>
        <row r="225">
          <cell r="J225" t="str">
            <v>Изменение РНП по прямому страхованию</v>
          </cell>
        </row>
        <row r="226">
          <cell r="J226" t="str">
            <v>Изменение РНП по прямому страхованию</v>
          </cell>
        </row>
        <row r="227">
          <cell r="J227" t="str">
            <v>Изменение РНП по прямому страхованию</v>
          </cell>
        </row>
        <row r="228">
          <cell r="J228" t="str">
            <v>Изменение РНП по прямому страхованию</v>
          </cell>
        </row>
        <row r="229">
          <cell r="J229" t="str">
            <v>Изменение РНП по прямому страхованию</v>
          </cell>
        </row>
        <row r="230">
          <cell r="J230" t="str">
            <v>Изменение РНП по прямому страхованию</v>
          </cell>
        </row>
        <row r="231">
          <cell r="J231" t="str">
            <v>Изменение РНП по прямому страхованию</v>
          </cell>
        </row>
        <row r="232">
          <cell r="J232" t="str">
            <v>Изменение РНП по прямому страхованию</v>
          </cell>
        </row>
        <row r="233">
          <cell r="J233" t="str">
            <v>Изменение РНП по прямому страхованию</v>
          </cell>
        </row>
        <row r="234">
          <cell r="J234" t="str">
            <v>Изменение РНП по прямому страхованию</v>
          </cell>
        </row>
        <row r="235">
          <cell r="J235" t="str">
            <v>Изменение РНП по прямому страхованию</v>
          </cell>
        </row>
        <row r="236">
          <cell r="J236" t="str">
            <v>Изменение РНП по прямому страхованию</v>
          </cell>
        </row>
        <row r="237">
          <cell r="J237" t="str">
            <v>Изменение РНП по прямому страхованию</v>
          </cell>
        </row>
        <row r="238">
          <cell r="J238" t="str">
            <v>Изменение РНП по прямому страхованию</v>
          </cell>
        </row>
        <row r="239">
          <cell r="J239" t="str">
            <v>Изменение РНП по прямому страхованию</v>
          </cell>
        </row>
        <row r="240">
          <cell r="J240" t="str">
            <v>Изменение РНП по прямому страхованию</v>
          </cell>
        </row>
        <row r="241">
          <cell r="J241" t="str">
            <v>Изменение РНП по прямому страхованию</v>
          </cell>
        </row>
        <row r="242">
          <cell r="J242" t="str">
            <v>Изменение РНП по прямому страхованию</v>
          </cell>
        </row>
        <row r="243">
          <cell r="J243" t="str">
            <v>Изменение РНП по прямому страхованию</v>
          </cell>
        </row>
        <row r="244">
          <cell r="J244" t="str">
            <v>Изменение РНП по прямому страхованию</v>
          </cell>
        </row>
        <row r="245">
          <cell r="J245" t="str">
            <v>Изменение РНП по прямому страхованию</v>
          </cell>
        </row>
        <row r="246">
          <cell r="J246" t="str">
            <v>Изменение РЗУ по прямому страхованию</v>
          </cell>
        </row>
        <row r="247">
          <cell r="J247" t="str">
            <v>Изменение РЗУ по прямому страхованию</v>
          </cell>
        </row>
        <row r="248">
          <cell r="J248" t="str">
            <v>Изменение РЗУ по прямому страхованию</v>
          </cell>
        </row>
        <row r="249">
          <cell r="J249" t="str">
            <v>Изменение РЗУ по прямому страхованию</v>
          </cell>
        </row>
        <row r="255">
          <cell r="J255" t="str">
            <v>Торговые обязательства</v>
          </cell>
        </row>
        <row r="256">
          <cell r="J256" t="str">
            <v>Торговые обязательства</v>
          </cell>
        </row>
        <row r="257">
          <cell r="J257" t="str">
            <v>Задолженность по уплате страховой премии</v>
          </cell>
        </row>
        <row r="258">
          <cell r="J258" t="str">
            <v>Задолженность по уплате страховой премии</v>
          </cell>
        </row>
        <row r="259">
          <cell r="J259" t="str">
            <v>Задолженность по уплате страховой премии</v>
          </cell>
        </row>
        <row r="260">
          <cell r="J260" t="str">
            <v>Задолженность по уплате страховой премии</v>
          </cell>
        </row>
        <row r="261">
          <cell r="J261" t="str">
            <v>Задолженность по уплате страховой премии</v>
          </cell>
        </row>
        <row r="262">
          <cell r="J262" t="str">
            <v>Задолженность по уплате страховой премии</v>
          </cell>
        </row>
        <row r="263">
          <cell r="J263" t="str">
            <v>Задолженность по уплате страховой премии</v>
          </cell>
        </row>
        <row r="264">
          <cell r="J264" t="str">
            <v>Задолженность по уплате страховой премии</v>
          </cell>
        </row>
        <row r="265">
          <cell r="J265" t="str">
            <v>Задолженность по уплате страховой премии</v>
          </cell>
        </row>
        <row r="266">
          <cell r="J266" t="str">
            <v>Задолженность по уплате страховой премии</v>
          </cell>
        </row>
        <row r="267">
          <cell r="J267" t="str">
            <v>Задолженность по уплате страховой премии</v>
          </cell>
        </row>
        <row r="268">
          <cell r="J268" t="str">
            <v>Задолженность по уплате страховой премии</v>
          </cell>
        </row>
        <row r="269">
          <cell r="J269" t="str">
            <v>Задолженность по уплате страховой премии</v>
          </cell>
        </row>
        <row r="270">
          <cell r="J270" t="str">
            <v>Задолженность по уплате страховой премии</v>
          </cell>
        </row>
        <row r="271">
          <cell r="J271" t="str">
            <v>Задолженность по уплате страховой премии</v>
          </cell>
        </row>
        <row r="272">
          <cell r="J272" t="str">
            <v>Задолженность по уплате страховой премии</v>
          </cell>
        </row>
        <row r="273">
          <cell r="J273" t="str">
            <v>Задолженность по уплате страховой премии</v>
          </cell>
        </row>
        <row r="274">
          <cell r="J274" t="str">
            <v>Задолженность по уплате страховой премии</v>
          </cell>
        </row>
        <row r="275">
          <cell r="J275" t="str">
            <v>Задолженность по уплате страховой премии</v>
          </cell>
        </row>
        <row r="276">
          <cell r="J276" t="str">
            <v>Задолженность по уплате страховой премии</v>
          </cell>
        </row>
        <row r="277">
          <cell r="J277" t="str">
            <v>Задолженность по уплате страховой премии</v>
          </cell>
        </row>
        <row r="278">
          <cell r="J278" t="str">
            <v>Задолженность по уплате страховой премии</v>
          </cell>
        </row>
        <row r="279">
          <cell r="J279" t="str">
            <v>Задолженность по уплате страховой премии</v>
          </cell>
        </row>
        <row r="280">
          <cell r="J280" t="str">
            <v>Задолженность по уплате страховой премии</v>
          </cell>
        </row>
        <row r="281">
          <cell r="J281" t="str">
            <v>Задолженность по уплате страховой премии</v>
          </cell>
        </row>
        <row r="282">
          <cell r="J282" t="str">
            <v>Задолженность по уплате страховой премии</v>
          </cell>
        </row>
        <row r="283">
          <cell r="J283" t="str">
            <v>Задолженность по уплате страховой премии</v>
          </cell>
        </row>
        <row r="284">
          <cell r="J284" t="str">
            <v>Задолженность по уплате страховой премии</v>
          </cell>
        </row>
        <row r="285">
          <cell r="J285" t="str">
            <v>Задолженность по уплате страховой премии</v>
          </cell>
        </row>
        <row r="286">
          <cell r="J286" t="str">
            <v>Задолженность по уплате страховой премии</v>
          </cell>
        </row>
        <row r="287">
          <cell r="J287" t="str">
            <v>Задолженность по уплате страховой премии</v>
          </cell>
        </row>
        <row r="288">
          <cell r="J288" t="str">
            <v>Задолженность по уплате страховой премии</v>
          </cell>
        </row>
        <row r="331">
          <cell r="J331" t="str">
            <v>Предоплаты по налогу (кроме налога на прибыль)</v>
          </cell>
        </row>
        <row r="333">
          <cell r="J333" t="str">
            <v>Задолженность по налогу (кроме налога на прибыль)</v>
          </cell>
        </row>
        <row r="334">
          <cell r="J334" t="str">
            <v>Текущий налог</v>
          </cell>
        </row>
        <row r="335">
          <cell r="J335" t="str">
            <v>Задолженность по налогу (кроме налога на прибыль)</v>
          </cell>
        </row>
        <row r="336">
          <cell r="J336" t="str">
            <v>Задолженность по налогу (кроме налога на прибыль)</v>
          </cell>
        </row>
        <row r="337">
          <cell r="J337" t="str">
            <v>Задолженность по налогу (кроме налога на прибыль)</v>
          </cell>
        </row>
        <row r="338">
          <cell r="J338" t="str">
            <v>Задолженность по налогу (кроме налога на прибыль)</v>
          </cell>
        </row>
        <row r="339">
          <cell r="J339" t="str">
            <v>Задолженность по налогу (кроме налога на прибыль)</v>
          </cell>
        </row>
        <row r="340">
          <cell r="J340" t="str">
            <v>Задолженность по налогу (кроме налога на прибыль)</v>
          </cell>
        </row>
        <row r="342">
          <cell r="J342" t="str">
            <v>Задолженность по налогу (кроме налога на прибыль)</v>
          </cell>
        </row>
        <row r="344">
          <cell r="J344" t="str">
            <v>Предоплаты по налогу (кроме налога на прибыль)</v>
          </cell>
        </row>
        <row r="345">
          <cell r="J345" t="str">
            <v>Расчеты по страхованию</v>
          </cell>
        </row>
        <row r="346">
          <cell r="J346" t="str">
            <v>Расчеты по страхованию</v>
          </cell>
        </row>
        <row r="347">
          <cell r="J347" t="str">
            <v>Расчеты по страхованию</v>
          </cell>
        </row>
        <row r="348">
          <cell r="J348" t="str">
            <v>Расчеты по страхованию</v>
          </cell>
        </row>
        <row r="349">
          <cell r="J349" t="str">
            <v>Расчеты по страхованию</v>
          </cell>
        </row>
        <row r="350">
          <cell r="J350" t="str">
            <v>Расчеты по страхованию</v>
          </cell>
        </row>
        <row r="351">
          <cell r="J351" t="str">
            <v>Расчеты по страхованию</v>
          </cell>
        </row>
        <row r="352">
          <cell r="J352" t="str">
            <v>Обязательства по зарплате</v>
          </cell>
        </row>
        <row r="353">
          <cell r="J353" t="str">
            <v>Обязательства по зарплате</v>
          </cell>
        </row>
        <row r="355">
          <cell r="J355" t="str">
            <v>Предоплаты страховых премий по прямому страхованию</v>
          </cell>
        </row>
        <row r="356">
          <cell r="J356" t="str">
            <v>Предоплаты страховых премий по прямому страхованию</v>
          </cell>
        </row>
        <row r="357">
          <cell r="J357" t="str">
            <v>Предоплаты страховых премий по прямому страхованию</v>
          </cell>
        </row>
        <row r="358">
          <cell r="J358" t="str">
            <v>Предоплаты страховых премий по прямому страхованию</v>
          </cell>
        </row>
        <row r="359">
          <cell r="J359" t="str">
            <v>Предоплаты страховых премий по прямому страхованию</v>
          </cell>
        </row>
        <row r="360">
          <cell r="J360" t="str">
            <v>Предоплаты страховых премий по прямому страхованию</v>
          </cell>
        </row>
        <row r="361">
          <cell r="J361" t="str">
            <v>Предоплаты страховых премий по прямому страхованию</v>
          </cell>
        </row>
        <row r="362">
          <cell r="J362" t="str">
            <v>Предоплаты страховых премий по прямому страхованию</v>
          </cell>
        </row>
        <row r="363">
          <cell r="J363" t="str">
            <v>Предоплаты страховых премий по прямому страхованию</v>
          </cell>
        </row>
        <row r="364">
          <cell r="J364" t="str">
            <v>Предоплаты страховых премий по прямому страхованию</v>
          </cell>
        </row>
        <row r="365">
          <cell r="J365" t="str">
            <v>Предоплаты страховых премий по прямому страхованию</v>
          </cell>
        </row>
        <row r="366">
          <cell r="J366" t="str">
            <v>Предоплаты страховых премий по прямому страхованию</v>
          </cell>
        </row>
        <row r="367">
          <cell r="J367" t="str">
            <v>Предоплаты страховых премий по прямому страхованию</v>
          </cell>
        </row>
        <row r="368">
          <cell r="J368" t="str">
            <v>Предоплаты страховых премий по прямому страхованию</v>
          </cell>
        </row>
        <row r="369">
          <cell r="J369" t="str">
            <v>Предоплаты страховых премий по прямому страхованию</v>
          </cell>
        </row>
        <row r="370">
          <cell r="J370" t="str">
            <v>Предоплаты страховых премий по прямому страхованию</v>
          </cell>
        </row>
        <row r="371">
          <cell r="J371" t="str">
            <v>Предоплаты страховых премий по прямому страхованию</v>
          </cell>
        </row>
        <row r="372">
          <cell r="J372" t="str">
            <v>Предоплаты страховых премий по прямому страхованию</v>
          </cell>
        </row>
        <row r="373">
          <cell r="J373" t="str">
            <v>Предоплаты страховых премий по прямому страхованию</v>
          </cell>
        </row>
        <row r="374">
          <cell r="J374" t="str">
            <v>Предоплаты страховых премий по прямому страхованию</v>
          </cell>
        </row>
        <row r="375">
          <cell r="J375" t="str">
            <v>Предоплаты страховых премий по прямому страхованию</v>
          </cell>
        </row>
        <row r="376">
          <cell r="J376" t="str">
            <v>Предоплаты страховых премий по прямому страхованию</v>
          </cell>
        </row>
        <row r="377">
          <cell r="J377" t="str">
            <v>Предоплаты страховых премий по прямому страхованию</v>
          </cell>
        </row>
        <row r="378">
          <cell r="J378" t="str">
            <v>Предоплаты страховых премий по прямому страхованию</v>
          </cell>
        </row>
        <row r="379">
          <cell r="J379" t="str">
            <v>Предоплаты страховых премий по прямому страхованию</v>
          </cell>
        </row>
        <row r="380">
          <cell r="J380" t="str">
            <v>Предоплаты страховых премий по прямому страхованию</v>
          </cell>
        </row>
        <row r="381">
          <cell r="J381" t="str">
            <v>Предоплаты страховых премий по прямому страхованию</v>
          </cell>
        </row>
        <row r="382">
          <cell r="J382" t="str">
            <v>Предоплаты страховых премий по прямому страхованию</v>
          </cell>
        </row>
        <row r="383">
          <cell r="J383" t="str">
            <v>Предоплаты страховых премий по прямому страхованию</v>
          </cell>
        </row>
        <row r="384">
          <cell r="J384" t="str">
            <v>Предоплаты страховых премий по прямому страхованию</v>
          </cell>
        </row>
        <row r="385">
          <cell r="J385" t="str">
            <v>Предоплаты страховых премий по прямому страхованию</v>
          </cell>
        </row>
        <row r="386">
          <cell r="J386" t="str">
            <v>Предоплаты страховых премий по прямому страхованию</v>
          </cell>
        </row>
        <row r="387">
          <cell r="J387" t="str">
            <v>Предоплаты страховых премий по прямому страхованию</v>
          </cell>
        </row>
        <row r="388">
          <cell r="J388" t="str">
            <v>Предоплаты страховых премий по прямому страхованию</v>
          </cell>
        </row>
        <row r="389">
          <cell r="J389" t="str">
            <v>Предоплаты страховых премий по прямому страхованию</v>
          </cell>
        </row>
        <row r="390">
          <cell r="J390" t="str">
            <v>Предоплаты страховых премий по прямому страхованию</v>
          </cell>
        </row>
        <row r="391">
          <cell r="J391" t="str">
            <v>Предоплаты страховых премий по прямому страхованию</v>
          </cell>
        </row>
        <row r="392">
          <cell r="J392" t="str">
            <v>Предоплаты страховых премий по прямому страхованию</v>
          </cell>
        </row>
        <row r="393">
          <cell r="J393" t="str">
            <v>Предоплаты страховых премий по прямому страхованию</v>
          </cell>
        </row>
        <row r="394">
          <cell r="J394" t="str">
            <v>Предоплаты страховых премий по прямому страхованию</v>
          </cell>
        </row>
        <row r="395">
          <cell r="J395" t="str">
            <v>Предоплаты страховых премий по прямому страхованию</v>
          </cell>
        </row>
        <row r="396">
          <cell r="J396" t="str">
            <v>Предоплаты страховых премий по прямому страхованию</v>
          </cell>
        </row>
        <row r="397">
          <cell r="J397" t="str">
            <v>Административные расчеты в филиалах</v>
          </cell>
        </row>
        <row r="400">
          <cell r="J400" t="str">
            <v>Задолженность агентам и брокерам</v>
          </cell>
        </row>
        <row r="401">
          <cell r="J401" t="str">
            <v>Прочее</v>
          </cell>
        </row>
        <row r="402">
          <cell r="J402" t="str">
            <v>Прочее</v>
          </cell>
        </row>
        <row r="403">
          <cell r="J403" t="str">
            <v>Прочее</v>
          </cell>
        </row>
        <row r="404">
          <cell r="J404" t="str">
            <v>Прочее</v>
          </cell>
        </row>
        <row r="405">
          <cell r="J405" t="str">
            <v>Прочее</v>
          </cell>
        </row>
        <row r="408">
          <cell r="J408" t="str">
            <v>Исходящее перестрахование</v>
          </cell>
        </row>
        <row r="409">
          <cell r="J409" t="str">
            <v>Исходящее перестрахование</v>
          </cell>
        </row>
        <row r="410">
          <cell r="J410" t="str">
            <v>Исходящее перестрахование</v>
          </cell>
        </row>
        <row r="411">
          <cell r="J411" t="str">
            <v>Исходящее перестрахование</v>
          </cell>
        </row>
        <row r="412">
          <cell r="J412" t="str">
            <v>Исходящее перестрахование</v>
          </cell>
        </row>
        <row r="413">
          <cell r="J413" t="str">
            <v>Исходящее перестрахование</v>
          </cell>
        </row>
        <row r="414">
          <cell r="J414" t="str">
            <v>Исходящее перестрахование</v>
          </cell>
        </row>
        <row r="415">
          <cell r="J415" t="str">
            <v>Исходящее перестрахование</v>
          </cell>
        </row>
        <row r="416">
          <cell r="J416" t="str">
            <v>Исходящее перестрахование</v>
          </cell>
        </row>
        <row r="417">
          <cell r="J417" t="str">
            <v>Исходящее перестрахование</v>
          </cell>
        </row>
        <row r="418">
          <cell r="J418" t="str">
            <v>Исходящее перестрахование</v>
          </cell>
        </row>
        <row r="419">
          <cell r="J419" t="str">
            <v>Исходящее перестрахование</v>
          </cell>
        </row>
        <row r="420">
          <cell r="J420" t="str">
            <v>Исходящее перестрахование</v>
          </cell>
        </row>
        <row r="421">
          <cell r="J421" t="str">
            <v>Исходящее перестрахование</v>
          </cell>
        </row>
        <row r="422">
          <cell r="J422" t="str">
            <v>Исходящее перестрахование</v>
          </cell>
        </row>
        <row r="423">
          <cell r="J423" t="str">
            <v>Исходящее перестрахование</v>
          </cell>
        </row>
        <row r="424">
          <cell r="J424" t="str">
            <v>Исходящее перестрахование</v>
          </cell>
        </row>
        <row r="425">
          <cell r="J425" t="str">
            <v>Исходящее перестрахование</v>
          </cell>
        </row>
        <row r="426">
          <cell r="J426" t="str">
            <v>Исходящее перестрахование</v>
          </cell>
        </row>
        <row r="427">
          <cell r="J427" t="str">
            <v>Исходящее перестрахование</v>
          </cell>
        </row>
        <row r="428">
          <cell r="J428" t="str">
            <v>Исходящее перестрахование</v>
          </cell>
        </row>
        <row r="429">
          <cell r="J429" t="str">
            <v>Исходящее перестрахование</v>
          </cell>
        </row>
        <row r="430">
          <cell r="J430" t="str">
            <v>Исходящее перестрахование</v>
          </cell>
        </row>
        <row r="431">
          <cell r="J431" t="str">
            <v>Исходящее перестрахование</v>
          </cell>
        </row>
        <row r="432">
          <cell r="J432" t="str">
            <v>Исходящее перестрахование</v>
          </cell>
        </row>
        <row r="433">
          <cell r="J433" t="str">
            <v>Исходящее перестрахование</v>
          </cell>
        </row>
        <row r="434">
          <cell r="J434" t="str">
            <v>Исходящее перестрахование</v>
          </cell>
        </row>
        <row r="435">
          <cell r="J435" t="str">
            <v>Исходящее перестрахование</v>
          </cell>
        </row>
        <row r="436">
          <cell r="J436" t="str">
            <v>Исходящее перестрахование</v>
          </cell>
        </row>
        <row r="437">
          <cell r="J437" t="str">
            <v>Исходящее перестрахование</v>
          </cell>
        </row>
        <row r="438">
          <cell r="J438" t="str">
            <v>Исходящее перестрахование</v>
          </cell>
        </row>
        <row r="440">
          <cell r="J440" t="str">
            <v>Исходящее перестрахование</v>
          </cell>
        </row>
        <row r="441">
          <cell r="J441" t="str">
            <v>Доход по регрессу</v>
          </cell>
        </row>
        <row r="442">
          <cell r="J442" t="str">
            <v>Прочее</v>
          </cell>
        </row>
        <row r="455">
          <cell r="J455" t="str">
            <v>Депозиты и расчетные счета</v>
          </cell>
        </row>
        <row r="460">
          <cell r="J460" t="str">
            <v>Прямое страхование</v>
          </cell>
        </row>
        <row r="461">
          <cell r="J461" t="str">
            <v>Прямое страхование</v>
          </cell>
        </row>
        <row r="462">
          <cell r="J462" t="str">
            <v>Прямое страхование</v>
          </cell>
        </row>
        <row r="463">
          <cell r="J463" t="str">
            <v>Прямое страхование</v>
          </cell>
        </row>
        <row r="464">
          <cell r="J464" t="str">
            <v>Прямое страхование</v>
          </cell>
        </row>
        <row r="465">
          <cell r="J465" t="str">
            <v>Прямое страхование</v>
          </cell>
        </row>
        <row r="466">
          <cell r="J466" t="str">
            <v>Прямое страхование</v>
          </cell>
        </row>
        <row r="467">
          <cell r="J467" t="str">
            <v>Прямое страхование</v>
          </cell>
        </row>
        <row r="468">
          <cell r="J468" t="str">
            <v>Прямое страхование</v>
          </cell>
        </row>
        <row r="469">
          <cell r="J469" t="str">
            <v>Прямое страхование</v>
          </cell>
        </row>
        <row r="470">
          <cell r="J470" t="str">
            <v>Прямое страхование</v>
          </cell>
        </row>
        <row r="471">
          <cell r="J471" t="str">
            <v>Прямое страхование</v>
          </cell>
        </row>
        <row r="472">
          <cell r="J472" t="str">
            <v>Прямое страхование</v>
          </cell>
        </row>
        <row r="473">
          <cell r="J473" t="str">
            <v>Прямое страхование</v>
          </cell>
        </row>
        <row r="474">
          <cell r="J474" t="str">
            <v>Прямое страхование</v>
          </cell>
        </row>
        <row r="475">
          <cell r="J475" t="str">
            <v>Прямое страхование</v>
          </cell>
        </row>
        <row r="476">
          <cell r="J476" t="str">
            <v>Прямое страхование</v>
          </cell>
        </row>
        <row r="477">
          <cell r="J477" t="str">
            <v>Прямое страхование</v>
          </cell>
        </row>
        <row r="478">
          <cell r="J478" t="str">
            <v>Прямое страхование</v>
          </cell>
        </row>
        <row r="479">
          <cell r="J479" t="str">
            <v>Прямое страхование</v>
          </cell>
        </row>
        <row r="480">
          <cell r="J480" t="str">
            <v>Прямое страхование</v>
          </cell>
        </row>
        <row r="481">
          <cell r="J481" t="str">
            <v>Прямое страхование</v>
          </cell>
        </row>
        <row r="482">
          <cell r="J482" t="str">
            <v>Прямое страхование</v>
          </cell>
        </row>
        <row r="483">
          <cell r="J483" t="str">
            <v>Прямое страхование</v>
          </cell>
        </row>
        <row r="484">
          <cell r="J484" t="str">
            <v>Прямое страхование</v>
          </cell>
        </row>
        <row r="485">
          <cell r="J485" t="str">
            <v>Прямое страхование</v>
          </cell>
        </row>
        <row r="486">
          <cell r="J486" t="str">
            <v>Прямое страхование</v>
          </cell>
        </row>
        <row r="487">
          <cell r="J487" t="str">
            <v>Прямое страхование</v>
          </cell>
        </row>
        <row r="488">
          <cell r="J488" t="str">
            <v>Прямое страхование</v>
          </cell>
        </row>
        <row r="489">
          <cell r="J489" t="str">
            <v>Прямое страхование</v>
          </cell>
        </row>
        <row r="490">
          <cell r="J490" t="str">
            <v>Прямое страхование</v>
          </cell>
        </row>
        <row r="491">
          <cell r="J491" t="str">
            <v>Прямое страхование</v>
          </cell>
        </row>
        <row r="492">
          <cell r="J492" t="str">
            <v>Прямое страхование</v>
          </cell>
        </row>
        <row r="493">
          <cell r="J493" t="str">
            <v>Прямое страхование</v>
          </cell>
        </row>
        <row r="494">
          <cell r="J494" t="str">
            <v>Прямое страхование</v>
          </cell>
        </row>
        <row r="495">
          <cell r="J495" t="str">
            <v>Прямое страхование</v>
          </cell>
        </row>
        <row r="496">
          <cell r="J496" t="str">
            <v>Прямое страхование</v>
          </cell>
        </row>
        <row r="497">
          <cell r="J497" t="str">
            <v>Прямое страхование</v>
          </cell>
        </row>
        <row r="498">
          <cell r="J498" t="str">
            <v>Прямое страхование</v>
          </cell>
        </row>
        <row r="499">
          <cell r="J499" t="str">
            <v>Прямое страхование</v>
          </cell>
        </row>
        <row r="500">
          <cell r="J500" t="str">
            <v>Прямое страхование</v>
          </cell>
        </row>
        <row r="501">
          <cell r="J501" t="str">
            <v>Прямое страхование</v>
          </cell>
        </row>
        <row r="506">
          <cell r="J506" t="str">
            <v>На содержание офиса</v>
          </cell>
        </row>
        <row r="507">
          <cell r="J507" t="str">
            <v>На содержание офиса</v>
          </cell>
        </row>
        <row r="508">
          <cell r="J508" t="str">
            <v>Обработка данных</v>
          </cell>
        </row>
        <row r="509">
          <cell r="J509" t="str">
            <v xml:space="preserve">Прочие </v>
          </cell>
        </row>
        <row r="510">
          <cell r="J510" t="str">
            <v xml:space="preserve">Прочие </v>
          </cell>
        </row>
        <row r="511">
          <cell r="J511" t="str">
            <v xml:space="preserve">Прочие </v>
          </cell>
        </row>
        <row r="512">
          <cell r="J512" t="str">
            <v>Обработка данных</v>
          </cell>
        </row>
        <row r="513">
          <cell r="J513" t="str">
            <v xml:space="preserve">Прочие </v>
          </cell>
        </row>
        <row r="514">
          <cell r="J514" t="str">
            <v>На содержание офиса</v>
          </cell>
        </row>
        <row r="515">
          <cell r="J515" t="str">
            <v>На содержание офиса</v>
          </cell>
        </row>
        <row r="516">
          <cell r="J516" t="str">
            <v>На содержание офиса</v>
          </cell>
        </row>
        <row r="517">
          <cell r="J517" t="str">
            <v xml:space="preserve">Прочие </v>
          </cell>
        </row>
        <row r="518">
          <cell r="J518" t="str">
            <v>Командировочные и сопутствующие расходы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-лы"/>
      <sheetName val="01-01-06"/>
      <sheetName val="01-02-06"/>
      <sheetName val="ОТЧЕТ"/>
      <sheetName val="Реестр к погашению за месяц "/>
      <sheetName val="К погашению до востр"/>
      <sheetName val="Ф_лы"/>
      <sheetName val="01-03-06"/>
      <sheetName val="01-04-06"/>
      <sheetName val="01-05-06"/>
      <sheetName val="01-06-06"/>
      <sheetName val="01-07-06"/>
      <sheetName val="01-08-06"/>
      <sheetName val="01-09-06"/>
      <sheetName val="01-10-06"/>
      <sheetName val="01-11-06"/>
      <sheetName val="01-12-06"/>
      <sheetName val="01-01-07"/>
      <sheetName val="01-02-07 "/>
    </sheetNames>
    <sheetDataSet>
      <sheetData sheetId="0" refreshError="1">
        <row r="1">
          <cell r="B1" t="str">
            <v>Астрахань</v>
          </cell>
        </row>
        <row r="2">
          <cell r="B2" t="str">
            <v>Волгоград</v>
          </cell>
        </row>
        <row r="3">
          <cell r="B3" t="str">
            <v>Екатеринбург</v>
          </cell>
        </row>
        <row r="4">
          <cell r="B4" t="str">
            <v>Иркутск</v>
          </cell>
        </row>
        <row r="5">
          <cell r="B5" t="str">
            <v>Калининград</v>
          </cell>
        </row>
        <row r="6">
          <cell r="B6" t="str">
            <v>Красноярск</v>
          </cell>
        </row>
        <row r="7">
          <cell r="B7" t="str">
            <v>Курган</v>
          </cell>
        </row>
        <row r="8">
          <cell r="B8" t="str">
            <v>Нижний Новгород</v>
          </cell>
        </row>
        <row r="9">
          <cell r="B9" t="str">
            <v>Новокузнецк</v>
          </cell>
        </row>
        <row r="10">
          <cell r="B10" t="str">
            <v>Новосибирск</v>
          </cell>
        </row>
        <row r="11">
          <cell r="B11" t="str">
            <v>Омск</v>
          </cell>
        </row>
        <row r="12">
          <cell r="B12" t="str">
            <v>Оренбург</v>
          </cell>
        </row>
        <row r="13">
          <cell r="B13" t="str">
            <v>Пенза</v>
          </cell>
        </row>
        <row r="14">
          <cell r="B14" t="str">
            <v>Пермь</v>
          </cell>
        </row>
        <row r="15">
          <cell r="B15" t="str">
            <v>Самара</v>
          </cell>
        </row>
        <row r="16">
          <cell r="B16" t="str">
            <v>Саратов</v>
          </cell>
        </row>
        <row r="17">
          <cell r="B17" t="str">
            <v>Тверь</v>
          </cell>
        </row>
        <row r="18">
          <cell r="B18" t="str">
            <v>Челябинск</v>
          </cell>
        </row>
        <row r="19">
          <cell r="B19" t="str">
            <v>Ю-Сахалинск</v>
          </cell>
        </row>
        <row r="20">
          <cell r="B20" t="str">
            <v>Ярославль</v>
          </cell>
        </row>
        <row r="21">
          <cell r="B21" t="str">
            <v>Все филиалы</v>
          </cell>
        </row>
      </sheetData>
      <sheetData sheetId="1">
        <row r="1">
          <cell r="B1" t="str">
            <v>Астрахань</v>
          </cell>
        </row>
      </sheetData>
      <sheetData sheetId="2">
        <row r="1">
          <cell r="B1" t="str">
            <v>Астрахань</v>
          </cell>
        </row>
      </sheetData>
      <sheetData sheetId="3">
        <row r="1">
          <cell r="B1" t="str">
            <v>Астрахань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эфф"/>
      <sheetName val="Развитие"/>
      <sheetName val="Пленки"/>
      <sheetName val="Пластины"/>
      <sheetName val="Пакеты_подложки"/>
      <sheetName val="Лента_листы_колпачки"/>
      <sheetName val="Банки_крышки"/>
      <sheetName val="Бартер"/>
      <sheetName val="Энергия_сторон"/>
      <sheetName val="Налоги"/>
      <sheetName val="Труд"/>
      <sheetName val="Коммерч"/>
      <sheetName val="Проч"/>
      <sheetName val="фин_план_дек"/>
      <sheetName val="фин_план_день"/>
      <sheetName val="фин_отчет_день"/>
      <sheetName val="фин_отчет_день накопительный"/>
      <sheetName val="График"/>
      <sheetName val="фин_план_дек_usd"/>
      <sheetName val="Бюджеты_мат-лы"/>
      <sheetName val="Ф-лы"/>
      <sheetName val="постоянныезатраты"/>
      <sheetName val="постоянные затраты"/>
      <sheetName val="сырье"/>
      <sheetName val="июнь9"/>
      <sheetName val="Лист1"/>
      <sheetName val="Cash"/>
      <sheetName val="Данные плана-счетов"/>
      <sheetName val="++8210.20"/>
      <sheetName val="Ф2.1 Бюджет доходов и расходов"/>
      <sheetName val="Ф2_1 Бюджет доходов и расходов"/>
      <sheetName val="manag_balance"/>
      <sheetName val="2.2"/>
      <sheetName val="Списки"/>
      <sheetName val="P&amp;L"/>
      <sheetName val="LineList"/>
      <sheetName val="БПиР"/>
      <sheetName val="предприятия"/>
      <sheetName val="ПДДС_окт2"/>
      <sheetName val="Юр.вопросы"/>
      <sheetName val="ФРП"/>
      <sheetName val="Сводная табл."/>
      <sheetName val="Цеховые"/>
      <sheetName val="база"/>
      <sheetName val="Бал. тов. пр.-1"/>
      <sheetName val="Период"/>
      <sheetName val="ИД"/>
      <sheetName val="УСЛУГИ"/>
      <sheetName val="Данные"/>
      <sheetName val="2002(v2)"/>
      <sheetName val="Списки для ВО ДДС"/>
      <sheetName val="Списки для ВО БДР"/>
      <sheetName val="статьи"/>
      <sheetName val="Калькуляции"/>
      <sheetName val="Служебная информация"/>
      <sheetName val="for ПрИЗ"/>
      <sheetName val="реестр отгрузка"/>
      <sheetName val="Ремни"/>
      <sheetName val="2"/>
      <sheetName val="3"/>
      <sheetName val="Содерж_перс (без надбавок)"/>
      <sheetName val="4а"/>
      <sheetName val="4б"/>
      <sheetName val="4в"/>
      <sheetName val="Сод_оф"/>
      <sheetName val="Марк_PR"/>
      <sheetName val="Опл_тр"/>
      <sheetName val="Содерж_перс"/>
      <sheetName val="Штат"/>
      <sheetName val="Премии_2010"/>
      <sheetName val="Фин_деят"/>
      <sheetName val="СВОД_ДДС"/>
      <sheetName val="ДР"/>
      <sheetName val="Прил_1"/>
      <sheetName val="Прил_3"/>
      <sheetName val="Прил_2 Выставки"/>
      <sheetName val="Амор_Имущ"/>
      <sheetName val="Займ_%"/>
      <sheetName val="ДДС проекты"/>
      <sheetName val="пок-ли"/>
      <sheetName val="Займ_%_"/>
      <sheetName val="Ком"/>
      <sheetName val="СС Al КРАЗ_03.2009"/>
      <sheetName val="Список"/>
    </sheetNames>
    <sheetDataSet>
      <sheetData sheetId="0" refreshError="1">
        <row r="2">
          <cell r="B2">
            <v>25.5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еречень"/>
      <sheetName val="Шифры"/>
      <sheetName val="Позиция"/>
      <sheetName val="ПереКодник"/>
      <sheetName val="Основная"/>
      <sheetName val="Модули"/>
      <sheetName val="коэфф"/>
      <sheetName val="???????"/>
      <sheetName val="Январь"/>
      <sheetName val="цены"/>
      <sheetName val="Справочник"/>
      <sheetName val="предоплата"/>
      <sheetName val="Калькуляции"/>
      <sheetName val="июнь9"/>
      <sheetName val="Расх.коэфф, полная себ-ть"/>
      <sheetName val="балансAL"/>
      <sheetName val="2002(v2)"/>
      <sheetName val="sverxtip"/>
      <sheetName val="Personnel"/>
      <sheetName val="SMetstrait"/>
      <sheetName val="Предположения"/>
      <sheetName val="база"/>
      <sheetName val="Корректирующие Таблицы"/>
      <sheetName val="60-2"/>
      <sheetName val="60"/>
      <sheetName val="76"/>
      <sheetName val="Форма1"/>
      <sheetName val="сырье"/>
      <sheetName val="_______"/>
      <sheetName val="постоянные затраты"/>
      <sheetName val="CHP on PES"/>
      <sheetName val="АЧ"/>
      <sheetName val="Консолидированный"/>
      <sheetName val="БДР"/>
      <sheetName val="Июль"/>
      <sheetName val="2004"/>
      <sheetName val="??????"/>
      <sheetName val="План"/>
      <sheetName val="Ввод"/>
      <sheetName val="Неделя"/>
      <sheetName val="Справочники"/>
      <sheetName val="Приложение 15"/>
      <sheetName val="ШР -в расчет"/>
      <sheetName val="Списки1"/>
      <sheetName val="Кл предприятий"/>
      <sheetName val="БП Ф"/>
      <sheetName val="Период"/>
      <sheetName val="base"/>
    </sheetNames>
    <sheetDataSet>
      <sheetData sheetId="0"/>
      <sheetData sheetId="1"/>
      <sheetData sheetId="2" refreshError="1">
        <row r="5">
          <cell r="B5" t="str">
            <v>ДОХОДЫ И ФИНАНСЫ</v>
          </cell>
        </row>
        <row r="7">
          <cell r="B7">
            <v>1000001</v>
          </cell>
          <cell r="C7">
            <v>1</v>
          </cell>
          <cell r="D7">
            <v>1</v>
          </cell>
          <cell r="E7" t="str">
            <v>А. ДОХОДНАЯ ЧАСТЬ</v>
          </cell>
        </row>
        <row r="8">
          <cell r="B8">
            <v>1000011</v>
          </cell>
          <cell r="C8">
            <v>1</v>
          </cell>
          <cell r="D8">
            <v>11</v>
          </cell>
          <cell r="E8" t="str">
            <v>Всего за алюминий</v>
          </cell>
        </row>
        <row r="9">
          <cell r="B9">
            <v>1000111</v>
          </cell>
          <cell r="C9">
            <v>1</v>
          </cell>
          <cell r="D9">
            <v>111</v>
          </cell>
          <cell r="E9" t="str">
            <v>Толлинг</v>
          </cell>
        </row>
        <row r="10">
          <cell r="B10">
            <v>1011101</v>
          </cell>
          <cell r="C10">
            <v>1</v>
          </cell>
          <cell r="D10">
            <v>11101</v>
          </cell>
          <cell r="E10" t="str">
            <v xml:space="preserve"> - Возмещение расходов по грузоперевозкам</v>
          </cell>
        </row>
        <row r="11">
          <cell r="B11">
            <v>1011102</v>
          </cell>
          <cell r="C11">
            <v>1</v>
          </cell>
          <cell r="D11">
            <v>11102</v>
          </cell>
          <cell r="E11" t="str">
            <v xml:space="preserve"> - KRAZPA Metals</v>
          </cell>
        </row>
        <row r="12">
          <cell r="B12">
            <v>1011103</v>
          </cell>
          <cell r="C12">
            <v>1</v>
          </cell>
          <cell r="D12">
            <v>11103</v>
          </cell>
          <cell r="E12" t="str">
            <v xml:space="preserve"> - FORWARD</v>
          </cell>
        </row>
        <row r="13">
          <cell r="B13">
            <v>1011104</v>
          </cell>
          <cell r="C13">
            <v>1</v>
          </cell>
          <cell r="D13">
            <v>11104</v>
          </cell>
          <cell r="E13" t="str">
            <v xml:space="preserve"> - Танмет</v>
          </cell>
        </row>
        <row r="14">
          <cell r="B14">
            <v>1011105</v>
          </cell>
          <cell r="C14">
            <v>1</v>
          </cell>
          <cell r="D14">
            <v>11105</v>
          </cell>
          <cell r="E14" t="str">
            <v xml:space="preserve"> - COALCO 303-98</v>
          </cell>
        </row>
        <row r="15">
          <cell r="B15">
            <v>1011106</v>
          </cell>
          <cell r="C15">
            <v>1</v>
          </cell>
          <cell r="D15">
            <v>11106</v>
          </cell>
          <cell r="E15" t="str">
            <v xml:space="preserve"> - COALKO 304-98</v>
          </cell>
        </row>
        <row r="16">
          <cell r="B16">
            <v>1011107</v>
          </cell>
          <cell r="C16">
            <v>1</v>
          </cell>
          <cell r="D16">
            <v>11107</v>
          </cell>
          <cell r="E16" t="str">
            <v xml:space="preserve"> - ALDECO 301-98</v>
          </cell>
        </row>
        <row r="17">
          <cell r="B17">
            <v>1011108</v>
          </cell>
          <cell r="C17">
            <v>1</v>
          </cell>
          <cell r="D17">
            <v>11108</v>
          </cell>
          <cell r="E17" t="str">
            <v xml:space="preserve"> - ALDECO 305-98</v>
          </cell>
        </row>
        <row r="18">
          <cell r="B18">
            <v>1011109</v>
          </cell>
          <cell r="C18">
            <v>1</v>
          </cell>
          <cell r="D18">
            <v>11109</v>
          </cell>
          <cell r="E18" t="str">
            <v xml:space="preserve"> - PEAField 302-98</v>
          </cell>
        </row>
        <row r="19">
          <cell r="B19">
            <v>1011110</v>
          </cell>
          <cell r="C19">
            <v>1</v>
          </cell>
          <cell r="D19">
            <v>11110</v>
          </cell>
          <cell r="E19" t="str">
            <v xml:space="preserve"> - PEAField 307</v>
          </cell>
        </row>
        <row r="20">
          <cell r="B20">
            <v>1011112</v>
          </cell>
          <cell r="C20">
            <v>1</v>
          </cell>
          <cell r="D20">
            <v>11112</v>
          </cell>
          <cell r="E20" t="str">
            <v xml:space="preserve"> - Возмещение расходов по таможне</v>
          </cell>
        </row>
        <row r="21">
          <cell r="B21">
            <v>1011113</v>
          </cell>
          <cell r="C21">
            <v>1</v>
          </cell>
          <cell r="D21">
            <v>11113</v>
          </cell>
          <cell r="E21" t="str">
            <v xml:space="preserve"> - ALDECO 308</v>
          </cell>
        </row>
        <row r="22">
          <cell r="B22">
            <v>1011114</v>
          </cell>
          <cell r="C22">
            <v>1</v>
          </cell>
          <cell r="D22">
            <v>11114</v>
          </cell>
          <cell r="E22" t="str">
            <v xml:space="preserve"> - COALCO 309</v>
          </cell>
        </row>
        <row r="23">
          <cell r="B23">
            <v>1011199</v>
          </cell>
          <cell r="C23">
            <v>1</v>
          </cell>
          <cell r="D23">
            <v>11199</v>
          </cell>
          <cell r="E23" t="str">
            <v xml:space="preserve"> - прочие</v>
          </cell>
        </row>
        <row r="24">
          <cell r="B24">
            <v>1000112</v>
          </cell>
          <cell r="C24">
            <v>1</v>
          </cell>
          <cell r="D24">
            <v>112</v>
          </cell>
          <cell r="E24" t="str">
            <v>Экспорт (всего)</v>
          </cell>
        </row>
        <row r="25">
          <cell r="B25">
            <v>1011201</v>
          </cell>
          <cell r="C25">
            <v>1</v>
          </cell>
          <cell r="D25">
            <v>11201</v>
          </cell>
          <cell r="E25" t="str">
            <v xml:space="preserve"> - КРАЗПА 72</v>
          </cell>
        </row>
        <row r="26">
          <cell r="B26">
            <v>1011202</v>
          </cell>
          <cell r="C26">
            <v>1</v>
          </cell>
          <cell r="D26">
            <v>11202</v>
          </cell>
          <cell r="E26" t="str">
            <v xml:space="preserve"> - КРАЗПА 722</v>
          </cell>
        </row>
        <row r="27">
          <cell r="B27">
            <v>1011203</v>
          </cell>
          <cell r="C27">
            <v>1</v>
          </cell>
          <cell r="D27">
            <v>11203</v>
          </cell>
          <cell r="E27" t="str">
            <v xml:space="preserve"> - ДЖЕВЕНЕТ 729</v>
          </cell>
        </row>
        <row r="28">
          <cell r="B28">
            <v>1011204</v>
          </cell>
          <cell r="C28">
            <v>1</v>
          </cell>
          <cell r="D28">
            <v>11204</v>
          </cell>
          <cell r="E28" t="str">
            <v xml:space="preserve"> - ДЖЕВЕНЕТ 728</v>
          </cell>
        </row>
        <row r="29">
          <cell r="B29">
            <v>1011205</v>
          </cell>
          <cell r="C29">
            <v>1</v>
          </cell>
          <cell r="D29">
            <v>11205</v>
          </cell>
          <cell r="E29" t="str">
            <v xml:space="preserve"> - Металлгезельшафт 714</v>
          </cell>
        </row>
        <row r="30">
          <cell r="B30">
            <v>1011206</v>
          </cell>
          <cell r="C30">
            <v>1</v>
          </cell>
          <cell r="D30">
            <v>11206</v>
          </cell>
          <cell r="E30" t="str">
            <v xml:space="preserve"> - Тойота 730</v>
          </cell>
        </row>
        <row r="31">
          <cell r="B31">
            <v>1011207</v>
          </cell>
          <cell r="C31">
            <v>1</v>
          </cell>
          <cell r="D31">
            <v>11207</v>
          </cell>
          <cell r="E31" t="str">
            <v xml:space="preserve"> - JBR Trading 766</v>
          </cell>
        </row>
        <row r="32">
          <cell r="B32">
            <v>1011208</v>
          </cell>
          <cell r="C32">
            <v>1</v>
          </cell>
          <cell r="D32">
            <v>11208</v>
          </cell>
          <cell r="E32" t="str">
            <v xml:space="preserve"> - COALKO 733</v>
          </cell>
        </row>
        <row r="33">
          <cell r="B33">
            <v>1011209</v>
          </cell>
          <cell r="C33">
            <v>1</v>
          </cell>
          <cell r="D33">
            <v>11209</v>
          </cell>
          <cell r="E33" t="str">
            <v xml:space="preserve"> - ALDECO 803</v>
          </cell>
        </row>
        <row r="34">
          <cell r="B34">
            <v>1011210</v>
          </cell>
          <cell r="C34">
            <v>1</v>
          </cell>
          <cell r="D34">
            <v>11210</v>
          </cell>
          <cell r="E34" t="str">
            <v xml:space="preserve"> - Алюминий Казахстана 804</v>
          </cell>
        </row>
        <row r="35">
          <cell r="B35">
            <v>1011211</v>
          </cell>
          <cell r="C35">
            <v>1</v>
          </cell>
          <cell r="D35">
            <v>11211</v>
          </cell>
          <cell r="E35" t="str">
            <v xml:space="preserve"> - COALKO 734</v>
          </cell>
        </row>
        <row r="36">
          <cell r="B36">
            <v>1011212</v>
          </cell>
          <cell r="C36">
            <v>1</v>
          </cell>
          <cell r="D36">
            <v>11212</v>
          </cell>
          <cell r="E36" t="str">
            <v xml:space="preserve"> - ALDECO 810</v>
          </cell>
        </row>
        <row r="37">
          <cell r="B37">
            <v>1011213</v>
          </cell>
          <cell r="C37">
            <v>1</v>
          </cell>
          <cell r="D37">
            <v>11213</v>
          </cell>
          <cell r="E37" t="str">
            <v xml:space="preserve"> - PEAFIELD 811</v>
          </cell>
        </row>
        <row r="38">
          <cell r="B38">
            <v>1011214</v>
          </cell>
          <cell r="C38">
            <v>1</v>
          </cell>
          <cell r="D38">
            <v>11214</v>
          </cell>
          <cell r="E38" t="str">
            <v xml:space="preserve"> - COALKO 812</v>
          </cell>
        </row>
        <row r="39">
          <cell r="B39">
            <v>1011215</v>
          </cell>
          <cell r="C39">
            <v>1</v>
          </cell>
          <cell r="D39">
            <v>11215</v>
          </cell>
          <cell r="E39" t="str">
            <v xml:space="preserve"> - КРАМЗ 253/22/98</v>
          </cell>
        </row>
        <row r="40">
          <cell r="B40">
            <v>1011216</v>
          </cell>
          <cell r="C40">
            <v>1</v>
          </cell>
          <cell r="D40">
            <v>11216</v>
          </cell>
          <cell r="E40" t="str">
            <v xml:space="preserve"> - ALDECO 813</v>
          </cell>
        </row>
        <row r="41">
          <cell r="B41">
            <v>1011299</v>
          </cell>
          <cell r="C41">
            <v>1</v>
          </cell>
          <cell r="D41">
            <v>11299</v>
          </cell>
          <cell r="E41" t="str">
            <v xml:space="preserve"> - прочие</v>
          </cell>
        </row>
        <row r="42">
          <cell r="B42">
            <v>1000113</v>
          </cell>
          <cell r="C42">
            <v>1</v>
          </cell>
          <cell r="D42">
            <v>113</v>
          </cell>
          <cell r="E42" t="str">
            <v>Бартер</v>
          </cell>
        </row>
        <row r="43">
          <cell r="B43">
            <v>1011301</v>
          </cell>
          <cell r="C43">
            <v>1</v>
          </cell>
          <cell r="D43">
            <v>11301</v>
          </cell>
          <cell r="E43" t="str">
            <v xml:space="preserve"> - КРАЗПА 10</v>
          </cell>
        </row>
        <row r="44">
          <cell r="B44">
            <v>1011302</v>
          </cell>
          <cell r="C44">
            <v>1</v>
          </cell>
          <cell r="D44">
            <v>11302</v>
          </cell>
          <cell r="E44" t="str">
            <v xml:space="preserve"> - Кли 75</v>
          </cell>
        </row>
        <row r="45">
          <cell r="B45">
            <v>1011399</v>
          </cell>
          <cell r="C45">
            <v>1</v>
          </cell>
          <cell r="D45">
            <v>11399</v>
          </cell>
          <cell r="E45" t="str">
            <v xml:space="preserve"> - прочие</v>
          </cell>
        </row>
        <row r="46">
          <cell r="B46">
            <v>1000114</v>
          </cell>
          <cell r="C46">
            <v>1</v>
          </cell>
          <cell r="D46">
            <v>114</v>
          </cell>
          <cell r="E46" t="str">
            <v>Внутренний рынок</v>
          </cell>
        </row>
        <row r="47">
          <cell r="B47">
            <v>1011401</v>
          </cell>
          <cell r="C47">
            <v>1</v>
          </cell>
          <cell r="D47">
            <v>11401</v>
          </cell>
          <cell r="E47" t="str">
            <v xml:space="preserve"> - ОАО КРАМЗ</v>
          </cell>
        </row>
        <row r="48">
          <cell r="B48">
            <v>1011402</v>
          </cell>
          <cell r="C48">
            <v>1</v>
          </cell>
          <cell r="D48">
            <v>11402</v>
          </cell>
          <cell r="E48" t="str">
            <v xml:space="preserve"> - Инкомметалл</v>
          </cell>
        </row>
        <row r="49">
          <cell r="B49">
            <v>1011403</v>
          </cell>
          <cell r="C49">
            <v>1</v>
          </cell>
          <cell r="D49">
            <v>11403</v>
          </cell>
          <cell r="E49" t="str">
            <v xml:space="preserve"> - Танмет</v>
          </cell>
        </row>
        <row r="50">
          <cell r="B50">
            <v>1011404</v>
          </cell>
          <cell r="C50">
            <v>1</v>
          </cell>
          <cell r="D50">
            <v>11404</v>
          </cell>
          <cell r="E50" t="str">
            <v xml:space="preserve"> - Ювис</v>
          </cell>
        </row>
        <row r="51">
          <cell r="B51">
            <v>1011405</v>
          </cell>
          <cell r="C51">
            <v>1</v>
          </cell>
          <cell r="D51">
            <v>11405</v>
          </cell>
          <cell r="E51" t="str">
            <v xml:space="preserve"> - ЗАО ТК КРАМЗ</v>
          </cell>
        </row>
        <row r="52">
          <cell r="B52">
            <v>1011406</v>
          </cell>
          <cell r="C52">
            <v>1</v>
          </cell>
          <cell r="D52">
            <v>11406</v>
          </cell>
          <cell r="E52" t="str">
            <v xml:space="preserve"> - Солинг</v>
          </cell>
        </row>
        <row r="53">
          <cell r="B53">
            <v>1011407</v>
          </cell>
          <cell r="C53">
            <v>1</v>
          </cell>
          <cell r="D53">
            <v>11407</v>
          </cell>
          <cell r="E53" t="str">
            <v xml:space="preserve"> - Алюмина</v>
          </cell>
        </row>
        <row r="54">
          <cell r="B54">
            <v>1011499</v>
          </cell>
          <cell r="C54">
            <v>1</v>
          </cell>
          <cell r="D54">
            <v>11499</v>
          </cell>
          <cell r="E54" t="str">
            <v xml:space="preserve"> - прочие</v>
          </cell>
        </row>
        <row r="55">
          <cell r="B55">
            <v>1000012</v>
          </cell>
          <cell r="C55">
            <v>1</v>
          </cell>
          <cell r="D55">
            <v>12</v>
          </cell>
          <cell r="E55" t="str">
            <v>Всего других поступлений</v>
          </cell>
        </row>
        <row r="56">
          <cell r="B56">
            <v>1000121</v>
          </cell>
          <cell r="C56">
            <v>1</v>
          </cell>
          <cell r="D56">
            <v>121</v>
          </cell>
          <cell r="E56" t="str">
            <v>Прочая продукция и услуги</v>
          </cell>
        </row>
        <row r="57">
          <cell r="B57">
            <v>1001211</v>
          </cell>
          <cell r="C57">
            <v>1</v>
          </cell>
          <cell r="D57">
            <v>1211</v>
          </cell>
          <cell r="E57" t="str">
            <v xml:space="preserve"> - кирпич</v>
          </cell>
        </row>
        <row r="58">
          <cell r="B58">
            <v>1001212</v>
          </cell>
          <cell r="C58">
            <v>1</v>
          </cell>
          <cell r="D58">
            <v>1212</v>
          </cell>
          <cell r="E58" t="str">
            <v xml:space="preserve"> - ТНП</v>
          </cell>
        </row>
        <row r="59">
          <cell r="B59">
            <v>1001213</v>
          </cell>
          <cell r="C59">
            <v>1</v>
          </cell>
          <cell r="D59">
            <v>1213</v>
          </cell>
          <cell r="E59" t="str">
            <v xml:space="preserve"> - услуги на сторону</v>
          </cell>
        </row>
        <row r="60">
          <cell r="B60">
            <v>1001219</v>
          </cell>
          <cell r="C60">
            <v>1</v>
          </cell>
          <cell r="D60">
            <v>1219</v>
          </cell>
          <cell r="E60" t="str">
            <v xml:space="preserve"> - прочая продукция</v>
          </cell>
        </row>
        <row r="61">
          <cell r="B61">
            <v>1000122</v>
          </cell>
          <cell r="C61">
            <v>1</v>
          </cell>
          <cell r="D61">
            <v>122</v>
          </cell>
          <cell r="E61" t="str">
            <v>Целевое финансирование</v>
          </cell>
        </row>
        <row r="62">
          <cell r="B62">
            <v>1001221</v>
          </cell>
          <cell r="C62">
            <v>1</v>
          </cell>
          <cell r="D62">
            <v>1221</v>
          </cell>
          <cell r="E62" t="str">
            <v xml:space="preserve"> - НИОКР и экология</v>
          </cell>
        </row>
        <row r="63">
          <cell r="B63">
            <v>1001229</v>
          </cell>
          <cell r="C63">
            <v>1</v>
          </cell>
          <cell r="D63">
            <v>1229</v>
          </cell>
          <cell r="E63" t="str">
            <v xml:space="preserve"> - прочие (ЦЖИ)</v>
          </cell>
        </row>
        <row r="64">
          <cell r="B64">
            <v>1000123</v>
          </cell>
          <cell r="C64">
            <v>1</v>
          </cell>
          <cell r="D64">
            <v>123</v>
          </cell>
          <cell r="E64" t="str">
            <v>Продажа имущества и ТМЦ</v>
          </cell>
        </row>
        <row r="65">
          <cell r="B65">
            <v>1000124</v>
          </cell>
          <cell r="C65">
            <v>1</v>
          </cell>
          <cell r="D65">
            <v>124</v>
          </cell>
          <cell r="E65" t="str">
            <v xml:space="preserve">Возмещение НДС </v>
          </cell>
        </row>
        <row r="66">
          <cell r="B66">
            <v>1000125</v>
          </cell>
          <cell r="C66">
            <v>1</v>
          </cell>
          <cell r="D66">
            <v>125</v>
          </cell>
          <cell r="E66" t="str">
            <v>Другие поступления</v>
          </cell>
        </row>
        <row r="67">
          <cell r="B67">
            <v>1000126</v>
          </cell>
          <cell r="C67">
            <v>1</v>
          </cell>
          <cell r="D67">
            <v>126</v>
          </cell>
          <cell r="E67" t="str">
            <v>Дивиденды полученные</v>
          </cell>
        </row>
        <row r="68">
          <cell r="B68">
            <v>1000127</v>
          </cell>
          <cell r="C68">
            <v>1</v>
          </cell>
          <cell r="D68">
            <v>127</v>
          </cell>
          <cell r="E68" t="str">
            <v>Оплата услуг по оформлению металла</v>
          </cell>
        </row>
        <row r="69">
          <cell r="B69">
            <v>1000128</v>
          </cell>
          <cell r="C69">
            <v>1</v>
          </cell>
          <cell r="D69">
            <v>128</v>
          </cell>
          <cell r="E69" t="str">
            <v>Возврат платежей за экологию</v>
          </cell>
        </row>
        <row r="70">
          <cell r="B70">
            <v>1000129</v>
          </cell>
          <cell r="C70">
            <v>1</v>
          </cell>
          <cell r="D70">
            <v>129</v>
          </cell>
          <cell r="E70" t="str">
            <v>Возмещение затрат служебного транспорта</v>
          </cell>
        </row>
        <row r="71">
          <cell r="B71">
            <v>1000130</v>
          </cell>
          <cell r="C71">
            <v>1</v>
          </cell>
          <cell r="D71">
            <v>130</v>
          </cell>
          <cell r="E71" t="str">
            <v>Доходы от закрытия финансовых вложений</v>
          </cell>
        </row>
        <row r="72">
          <cell r="B72">
            <v>1000002</v>
          </cell>
          <cell r="C72">
            <v>1</v>
          </cell>
          <cell r="D72">
            <v>2</v>
          </cell>
          <cell r="E72" t="str">
            <v>Привлечение ресурсов :</v>
          </cell>
        </row>
        <row r="73">
          <cell r="B73">
            <v>1000021</v>
          </cell>
          <cell r="C73">
            <v>1</v>
          </cell>
          <cell r="D73">
            <v>21</v>
          </cell>
          <cell r="E73" t="str">
            <v>Получение кредитов банка, всего</v>
          </cell>
        </row>
        <row r="74">
          <cell r="B74">
            <v>1002101</v>
          </cell>
          <cell r="C74">
            <v>1</v>
          </cell>
          <cell r="D74">
            <v>2101</v>
          </cell>
          <cell r="E74" t="str">
            <v xml:space="preserve"> - КБ МЕТАЛЭКС</v>
          </cell>
        </row>
        <row r="75">
          <cell r="B75">
            <v>1002102</v>
          </cell>
          <cell r="C75">
            <v>1</v>
          </cell>
          <cell r="D75">
            <v>2102</v>
          </cell>
          <cell r="E75" t="str">
            <v xml:space="preserve"> - КрасСберБанк</v>
          </cell>
        </row>
        <row r="76">
          <cell r="B76">
            <v>1002103</v>
          </cell>
          <cell r="C76">
            <v>1</v>
          </cell>
          <cell r="D76">
            <v>2103</v>
          </cell>
          <cell r="E76" t="str">
            <v xml:space="preserve"> - АЛЬФА Банк</v>
          </cell>
        </row>
        <row r="77">
          <cell r="B77">
            <v>1002104</v>
          </cell>
          <cell r="C77">
            <v>1</v>
          </cell>
          <cell r="D77">
            <v>2104</v>
          </cell>
          <cell r="E77" t="str">
            <v xml:space="preserve"> - ИНКОМ Банк</v>
          </cell>
        </row>
        <row r="78">
          <cell r="B78">
            <v>1002105</v>
          </cell>
          <cell r="C78">
            <v>1</v>
          </cell>
          <cell r="D78">
            <v>2105</v>
          </cell>
          <cell r="E78" t="str">
            <v xml:space="preserve"> - МосБизнес Банк</v>
          </cell>
        </row>
        <row r="79">
          <cell r="B79">
            <v>1002106</v>
          </cell>
          <cell r="C79">
            <v>1</v>
          </cell>
          <cell r="D79">
            <v>2106</v>
          </cell>
          <cell r="E79" t="str">
            <v xml:space="preserve"> - Российский Кредит</v>
          </cell>
        </row>
        <row r="80">
          <cell r="B80">
            <v>1002107</v>
          </cell>
          <cell r="C80">
            <v>1</v>
          </cell>
          <cell r="D80">
            <v>2107</v>
          </cell>
          <cell r="E80" t="str">
            <v xml:space="preserve"> - Залогбанк №89/97</v>
          </cell>
        </row>
        <row r="81">
          <cell r="B81">
            <v>1002108</v>
          </cell>
          <cell r="C81">
            <v>1</v>
          </cell>
          <cell r="D81">
            <v>2108</v>
          </cell>
          <cell r="E81" t="str">
            <v xml:space="preserve"> - Залогбанк №2</v>
          </cell>
        </row>
        <row r="82">
          <cell r="B82">
            <v>1002109</v>
          </cell>
          <cell r="C82">
            <v>1</v>
          </cell>
          <cell r="D82">
            <v>2109</v>
          </cell>
          <cell r="E82" t="str">
            <v xml:space="preserve"> - Залогбанк №3</v>
          </cell>
        </row>
        <row r="83">
          <cell r="B83">
            <v>1002110</v>
          </cell>
          <cell r="C83">
            <v>1</v>
          </cell>
          <cell r="D83">
            <v>2110</v>
          </cell>
          <cell r="E83" t="str">
            <v xml:space="preserve"> - Залогбанк №5</v>
          </cell>
        </row>
        <row r="84">
          <cell r="B84">
            <v>1002111</v>
          </cell>
          <cell r="C84">
            <v>1</v>
          </cell>
          <cell r="D84">
            <v>2111</v>
          </cell>
          <cell r="E84" t="str">
            <v xml:space="preserve"> - Залогбанк №4</v>
          </cell>
        </row>
        <row r="85">
          <cell r="B85">
            <v>1002112</v>
          </cell>
          <cell r="C85">
            <v>1</v>
          </cell>
          <cell r="D85">
            <v>2112</v>
          </cell>
          <cell r="E85" t="str">
            <v xml:space="preserve"> - Залогбанк №6</v>
          </cell>
        </row>
        <row r="86">
          <cell r="B86">
            <v>1002113</v>
          </cell>
          <cell r="C86">
            <v>1</v>
          </cell>
          <cell r="D86">
            <v>2113</v>
          </cell>
          <cell r="E86" t="str">
            <v xml:space="preserve"> - АКБ Енисей</v>
          </cell>
        </row>
        <row r="87">
          <cell r="B87">
            <v>1002114</v>
          </cell>
          <cell r="C87">
            <v>1</v>
          </cell>
          <cell r="D87">
            <v>2114</v>
          </cell>
          <cell r="E87" t="str">
            <v xml:space="preserve"> - Unaited European Bank</v>
          </cell>
        </row>
        <row r="88">
          <cell r="B88">
            <v>1002115</v>
          </cell>
          <cell r="C88">
            <v>1</v>
          </cell>
          <cell r="D88">
            <v>2115</v>
          </cell>
          <cell r="E88" t="str">
            <v xml:space="preserve"> - TFB</v>
          </cell>
        </row>
        <row r="89">
          <cell r="B89">
            <v>1002116</v>
          </cell>
          <cell r="C89">
            <v>1</v>
          </cell>
          <cell r="D89">
            <v>2116</v>
          </cell>
          <cell r="E89" t="str">
            <v xml:space="preserve"> - СВИБ</v>
          </cell>
        </row>
        <row r="90">
          <cell r="B90">
            <v>1002199</v>
          </cell>
          <cell r="C90">
            <v>1</v>
          </cell>
          <cell r="D90">
            <v>2199</v>
          </cell>
          <cell r="E90" t="str">
            <v xml:space="preserve"> - прочие</v>
          </cell>
        </row>
        <row r="91">
          <cell r="B91">
            <v>1000022</v>
          </cell>
          <cell r="C91">
            <v>1</v>
          </cell>
          <cell r="D91">
            <v>22</v>
          </cell>
          <cell r="E91" t="str">
            <v>Привлечение займов</v>
          </cell>
        </row>
        <row r="92">
          <cell r="B92">
            <v>1000023</v>
          </cell>
          <cell r="C92">
            <v>1</v>
          </cell>
          <cell r="D92">
            <v>23</v>
          </cell>
          <cell r="E92" t="str">
            <v>Выпуск векселей ОАО КРАЗ</v>
          </cell>
        </row>
        <row r="93">
          <cell r="B93">
            <v>1000024</v>
          </cell>
          <cell r="C93">
            <v>1</v>
          </cell>
          <cell r="D93">
            <v>24</v>
          </cell>
          <cell r="E93" t="str">
            <v>Гарантии ОАО КРАЗ (выдача)</v>
          </cell>
        </row>
        <row r="94">
          <cell r="B94">
            <v>1000025</v>
          </cell>
          <cell r="C94">
            <v>1</v>
          </cell>
          <cell r="D94">
            <v>25</v>
          </cell>
          <cell r="E94" t="str">
            <v>Векселя Красэнерго</v>
          </cell>
        </row>
        <row r="95">
          <cell r="B95">
            <v>1000026</v>
          </cell>
          <cell r="C95">
            <v>1</v>
          </cell>
          <cell r="D95">
            <v>26</v>
          </cell>
          <cell r="E95" t="str">
            <v>Векселя ВЦ МЭ</v>
          </cell>
        </row>
        <row r="96">
          <cell r="B96">
            <v>1000027</v>
          </cell>
          <cell r="C96">
            <v>1</v>
          </cell>
          <cell r="D96">
            <v>27</v>
          </cell>
          <cell r="E96" t="str">
            <v>Векселя др.организаций</v>
          </cell>
        </row>
        <row r="97">
          <cell r="B97">
            <v>1000003</v>
          </cell>
          <cell r="C97">
            <v>1</v>
          </cell>
          <cell r="D97">
            <v>3</v>
          </cell>
          <cell r="E97" t="str">
            <v>Возврат ресурсов :</v>
          </cell>
        </row>
        <row r="98">
          <cell r="B98">
            <v>1000031</v>
          </cell>
          <cell r="C98">
            <v>1</v>
          </cell>
          <cell r="D98">
            <v>31</v>
          </cell>
          <cell r="E98" t="str">
            <v>Погашение кредитов банка, всего</v>
          </cell>
        </row>
        <row r="99">
          <cell r="B99">
            <v>1003101</v>
          </cell>
          <cell r="C99">
            <v>1</v>
          </cell>
          <cell r="D99">
            <v>3101</v>
          </cell>
          <cell r="E99" t="str">
            <v xml:space="preserve"> - КБ МЕТАЛЭКС</v>
          </cell>
        </row>
        <row r="100">
          <cell r="B100">
            <v>1003102</v>
          </cell>
          <cell r="C100">
            <v>1</v>
          </cell>
          <cell r="D100">
            <v>3102</v>
          </cell>
          <cell r="E100" t="str">
            <v xml:space="preserve"> - КрасСберБанк</v>
          </cell>
        </row>
        <row r="101">
          <cell r="B101">
            <v>1003103</v>
          </cell>
          <cell r="C101">
            <v>1</v>
          </cell>
          <cell r="D101">
            <v>3103</v>
          </cell>
          <cell r="E101" t="str">
            <v xml:space="preserve"> - АЛЬФА Банк</v>
          </cell>
        </row>
        <row r="102">
          <cell r="B102">
            <v>1003104</v>
          </cell>
          <cell r="C102">
            <v>1</v>
          </cell>
          <cell r="D102">
            <v>3104</v>
          </cell>
          <cell r="E102" t="str">
            <v xml:space="preserve"> - ИНКОМ Банк</v>
          </cell>
        </row>
        <row r="103">
          <cell r="B103">
            <v>1003105</v>
          </cell>
          <cell r="C103">
            <v>1</v>
          </cell>
          <cell r="D103">
            <v>3105</v>
          </cell>
          <cell r="E103" t="str">
            <v xml:space="preserve"> - МосБизнес Банк</v>
          </cell>
        </row>
        <row r="104">
          <cell r="B104">
            <v>1003106</v>
          </cell>
          <cell r="C104">
            <v>1</v>
          </cell>
          <cell r="D104">
            <v>3106</v>
          </cell>
          <cell r="E104" t="str">
            <v xml:space="preserve"> - Российский Кредит</v>
          </cell>
        </row>
        <row r="105">
          <cell r="B105">
            <v>1003107</v>
          </cell>
          <cell r="C105">
            <v>1</v>
          </cell>
          <cell r="D105">
            <v>3107</v>
          </cell>
          <cell r="E105" t="str">
            <v xml:space="preserve"> - Залогбанк №89/97</v>
          </cell>
        </row>
        <row r="106">
          <cell r="B106">
            <v>1003108</v>
          </cell>
          <cell r="C106">
            <v>1</v>
          </cell>
          <cell r="D106">
            <v>3108</v>
          </cell>
          <cell r="E106" t="str">
            <v xml:space="preserve"> - Залогбанк №2</v>
          </cell>
        </row>
        <row r="107">
          <cell r="B107">
            <v>1003109</v>
          </cell>
          <cell r="C107">
            <v>1</v>
          </cell>
          <cell r="D107">
            <v>3109</v>
          </cell>
          <cell r="E107" t="str">
            <v xml:space="preserve"> - Залогбанк №3</v>
          </cell>
        </row>
        <row r="108">
          <cell r="B108">
            <v>1003110</v>
          </cell>
          <cell r="C108">
            <v>1</v>
          </cell>
          <cell r="D108">
            <v>3110</v>
          </cell>
          <cell r="E108" t="str">
            <v xml:space="preserve"> - Залогбанк №5</v>
          </cell>
        </row>
        <row r="109">
          <cell r="B109">
            <v>1003111</v>
          </cell>
          <cell r="C109">
            <v>1</v>
          </cell>
          <cell r="D109">
            <v>3111</v>
          </cell>
          <cell r="E109" t="str">
            <v xml:space="preserve"> - Залогбанк №4</v>
          </cell>
        </row>
        <row r="110">
          <cell r="B110">
            <v>1003112</v>
          </cell>
          <cell r="C110">
            <v>1</v>
          </cell>
          <cell r="D110">
            <v>3112</v>
          </cell>
          <cell r="E110" t="str">
            <v xml:space="preserve"> - Залогбанк №6</v>
          </cell>
        </row>
        <row r="111">
          <cell r="B111">
            <v>1003113</v>
          </cell>
          <cell r="C111">
            <v>1</v>
          </cell>
          <cell r="D111">
            <v>3113</v>
          </cell>
          <cell r="E111" t="str">
            <v xml:space="preserve"> - АКБ Енисей</v>
          </cell>
        </row>
        <row r="112">
          <cell r="B112">
            <v>1003114</v>
          </cell>
          <cell r="C112">
            <v>1</v>
          </cell>
          <cell r="D112">
            <v>3114</v>
          </cell>
          <cell r="E112" t="str">
            <v xml:space="preserve"> - Unaited European Bank</v>
          </cell>
        </row>
        <row r="113">
          <cell r="B113">
            <v>1003115</v>
          </cell>
          <cell r="C113">
            <v>1</v>
          </cell>
          <cell r="D113">
            <v>3115</v>
          </cell>
          <cell r="E113" t="str">
            <v xml:space="preserve"> - TFB</v>
          </cell>
        </row>
        <row r="114">
          <cell r="B114">
            <v>1003116</v>
          </cell>
          <cell r="C114">
            <v>1</v>
          </cell>
          <cell r="D114">
            <v>3116</v>
          </cell>
          <cell r="E114" t="str">
            <v xml:space="preserve"> - СВИБ</v>
          </cell>
        </row>
        <row r="115">
          <cell r="B115">
            <v>1003199</v>
          </cell>
          <cell r="C115">
            <v>1</v>
          </cell>
          <cell r="D115">
            <v>3199</v>
          </cell>
          <cell r="E115" t="str">
            <v xml:space="preserve"> - прочие</v>
          </cell>
        </row>
        <row r="116">
          <cell r="B116">
            <v>1000032</v>
          </cell>
          <cell r="C116">
            <v>1</v>
          </cell>
          <cell r="D116">
            <v>32</v>
          </cell>
          <cell r="E116" t="str">
            <v>Погашение займов</v>
          </cell>
        </row>
        <row r="117">
          <cell r="B117">
            <v>1000033</v>
          </cell>
          <cell r="C117">
            <v>1</v>
          </cell>
          <cell r="D117">
            <v>33</v>
          </cell>
          <cell r="E117" t="str">
            <v>Погашение векселей ОАО КРАЗ</v>
          </cell>
        </row>
        <row r="118">
          <cell r="B118">
            <v>1000034</v>
          </cell>
          <cell r="C118">
            <v>1</v>
          </cell>
          <cell r="D118">
            <v>34</v>
          </cell>
          <cell r="E118" t="str">
            <v>Гарантии и прочие погашения</v>
          </cell>
        </row>
        <row r="119">
          <cell r="B119">
            <v>1000035</v>
          </cell>
          <cell r="C119">
            <v>1</v>
          </cell>
          <cell r="D119">
            <v>35</v>
          </cell>
          <cell r="E119" t="str">
            <v>Погашение займов КЭ</v>
          </cell>
        </row>
        <row r="120">
          <cell r="B120">
            <v>1000036</v>
          </cell>
          <cell r="C120">
            <v>1</v>
          </cell>
          <cell r="D120">
            <v>36</v>
          </cell>
          <cell r="E120" t="str">
            <v>Погашение векселей ВЦ МЭ</v>
          </cell>
        </row>
        <row r="121">
          <cell r="B121">
            <v>1000000</v>
          </cell>
          <cell r="C121">
            <v>1</v>
          </cell>
          <cell r="D121">
            <v>0</v>
          </cell>
          <cell r="E121">
            <v>0</v>
          </cell>
        </row>
        <row r="122">
          <cell r="B122">
            <v>3000004</v>
          </cell>
          <cell r="C122">
            <v>3</v>
          </cell>
          <cell r="D122">
            <v>4</v>
          </cell>
          <cell r="E122" t="str">
            <v>Движение финансовых средств</v>
          </cell>
        </row>
        <row r="123">
          <cell r="B123">
            <v>3000042</v>
          </cell>
          <cell r="C123">
            <v>3</v>
          </cell>
          <cell r="D123">
            <v>42</v>
          </cell>
          <cell r="E123" t="str">
            <v>Конвертация валюты</v>
          </cell>
        </row>
        <row r="124">
          <cell r="B124">
            <v>3000420</v>
          </cell>
          <cell r="C124">
            <v>3</v>
          </cell>
          <cell r="D124">
            <v>420</v>
          </cell>
          <cell r="E124" t="str">
            <v>Поступление рублевых средств</v>
          </cell>
        </row>
        <row r="125">
          <cell r="B125">
            <v>3000421</v>
          </cell>
          <cell r="C125">
            <v>3</v>
          </cell>
          <cell r="D125">
            <v>421</v>
          </cell>
          <cell r="E125" t="str">
            <v>Обязательная продажа валюты</v>
          </cell>
        </row>
        <row r="126">
          <cell r="B126">
            <v>3000422</v>
          </cell>
          <cell r="C126">
            <v>3</v>
          </cell>
          <cell r="D126">
            <v>422</v>
          </cell>
          <cell r="E126" t="str">
            <v>Свободная продажа валюты</v>
          </cell>
        </row>
        <row r="127">
          <cell r="B127">
            <v>3000423</v>
          </cell>
          <cell r="C127">
            <v>3</v>
          </cell>
          <cell r="D127">
            <v>423</v>
          </cell>
          <cell r="E127" t="str">
            <v>Покупка валюты</v>
          </cell>
        </row>
        <row r="128">
          <cell r="B128">
            <v>3000424</v>
          </cell>
          <cell r="C128">
            <v>3</v>
          </cell>
          <cell r="D128">
            <v>424</v>
          </cell>
          <cell r="E128" t="str">
            <v>Курсовая разница</v>
          </cell>
        </row>
        <row r="129">
          <cell r="B129">
            <v>3000043</v>
          </cell>
          <cell r="C129">
            <v>3</v>
          </cell>
          <cell r="D129">
            <v>43</v>
          </cell>
          <cell r="E129" t="str">
            <v>Движение по расчетному счету</v>
          </cell>
        </row>
        <row r="130">
          <cell r="B130">
            <v>3000431</v>
          </cell>
          <cell r="C130">
            <v>3</v>
          </cell>
          <cell r="D130">
            <v>431</v>
          </cell>
          <cell r="E130" t="str">
            <v>Перевод денежных средств</v>
          </cell>
        </row>
        <row r="131">
          <cell r="B131">
            <v>3000432</v>
          </cell>
          <cell r="C131">
            <v>3</v>
          </cell>
          <cell r="D131">
            <v>432</v>
          </cell>
          <cell r="E131" t="str">
            <v>Сдача наличности в банк</v>
          </cell>
        </row>
        <row r="132">
          <cell r="B132">
            <v>3000433</v>
          </cell>
          <cell r="C132">
            <v>3</v>
          </cell>
          <cell r="D132">
            <v>433</v>
          </cell>
          <cell r="E132" t="str">
            <v>Обналичивание средств со счета</v>
          </cell>
        </row>
        <row r="133">
          <cell r="B133">
            <v>3000434</v>
          </cell>
          <cell r="C133">
            <v>3</v>
          </cell>
          <cell r="D133">
            <v>434</v>
          </cell>
          <cell r="E133" t="str">
            <v>Перевод средств с транзитного счета</v>
          </cell>
        </row>
        <row r="134">
          <cell r="B134">
            <v>3000044</v>
          </cell>
          <cell r="C134">
            <v>3</v>
          </cell>
          <cell r="D134">
            <v>44</v>
          </cell>
          <cell r="E134" t="str">
            <v>Вексельное обращение</v>
          </cell>
        </row>
        <row r="135">
          <cell r="B135">
            <v>3000441</v>
          </cell>
          <cell r="C135">
            <v>3</v>
          </cell>
          <cell r="D135">
            <v>441</v>
          </cell>
          <cell r="E135" t="str">
            <v>Покупка/продажа Ц.Б. (векселя)</v>
          </cell>
        </row>
        <row r="136">
          <cell r="B136">
            <v>3000442</v>
          </cell>
          <cell r="C136">
            <v>3</v>
          </cell>
          <cell r="D136">
            <v>442</v>
          </cell>
          <cell r="E136" t="str">
            <v>Покупка векселей КРАСЭНЕРГО</v>
          </cell>
        </row>
        <row r="137">
          <cell r="B137">
            <v>3000443</v>
          </cell>
          <cell r="C137">
            <v>3</v>
          </cell>
          <cell r="D137">
            <v>443</v>
          </cell>
          <cell r="E137" t="str">
            <v>Продажа/покупка Ц.Б. (векселя)</v>
          </cell>
        </row>
        <row r="138">
          <cell r="B138">
            <v>3000444</v>
          </cell>
          <cell r="C138">
            <v>3</v>
          </cell>
          <cell r="D138">
            <v>444</v>
          </cell>
          <cell r="E138" t="str">
            <v>Вексель в залог/ответхранение</v>
          </cell>
        </row>
        <row r="139">
          <cell r="B139">
            <v>3000045</v>
          </cell>
          <cell r="C139">
            <v>3</v>
          </cell>
          <cell r="D139">
            <v>45</v>
          </cell>
          <cell r="E139" t="str">
            <v>Другие операции</v>
          </cell>
        </row>
        <row r="140">
          <cell r="B140">
            <v>3000451</v>
          </cell>
          <cell r="C140">
            <v>3</v>
          </cell>
          <cell r="D140">
            <v>451</v>
          </cell>
          <cell r="E140" t="str">
            <v>Финансовые операции</v>
          </cell>
        </row>
        <row r="141">
          <cell r="B141">
            <v>3000452</v>
          </cell>
          <cell r="C141">
            <v>3</v>
          </cell>
          <cell r="D141">
            <v>452</v>
          </cell>
          <cell r="E141" t="str">
            <v>Переуступка права требования</v>
          </cell>
        </row>
        <row r="142">
          <cell r="B142">
            <v>3000453</v>
          </cell>
          <cell r="C142">
            <v>3</v>
          </cell>
          <cell r="D142">
            <v>453</v>
          </cell>
          <cell r="E142" t="str">
            <v>~</v>
          </cell>
        </row>
        <row r="143">
          <cell r="B143">
            <v>3000454</v>
          </cell>
          <cell r="C143">
            <v>3</v>
          </cell>
          <cell r="D143">
            <v>454</v>
          </cell>
          <cell r="E143" t="str">
            <v>Привлечение ресурсов КБ МЭ</v>
          </cell>
        </row>
        <row r="144">
          <cell r="B144">
            <v>3000455</v>
          </cell>
          <cell r="C144">
            <v>3</v>
          </cell>
          <cell r="D144">
            <v>455</v>
          </cell>
          <cell r="E144" t="str">
            <v>Возврат ресурсов КБ МЭ</v>
          </cell>
        </row>
        <row r="145">
          <cell r="B145">
            <v>3000040</v>
          </cell>
          <cell r="C145">
            <v>3</v>
          </cell>
          <cell r="D145">
            <v>40</v>
          </cell>
          <cell r="E145" t="str">
            <v>ОСТАТОК финансовых средств</v>
          </cell>
        </row>
        <row r="146">
          <cell r="B146">
            <v>3004001</v>
          </cell>
          <cell r="C146">
            <v>3</v>
          </cell>
          <cell r="D146">
            <v>4001</v>
          </cell>
          <cell r="E146" t="str">
            <v xml:space="preserve"> - КБ МЕТАЛЭКС</v>
          </cell>
        </row>
        <row r="147">
          <cell r="B147">
            <v>3004002</v>
          </cell>
          <cell r="C147">
            <v>3</v>
          </cell>
          <cell r="D147">
            <v>4002</v>
          </cell>
          <cell r="E147" t="str">
            <v xml:space="preserve"> - КрасСберБанк</v>
          </cell>
        </row>
        <row r="148">
          <cell r="B148">
            <v>3004003</v>
          </cell>
          <cell r="C148">
            <v>3</v>
          </cell>
          <cell r="D148">
            <v>4003</v>
          </cell>
          <cell r="E148" t="str">
            <v xml:space="preserve"> - АЛЬФА Банк</v>
          </cell>
        </row>
        <row r="149">
          <cell r="B149">
            <v>3004004</v>
          </cell>
          <cell r="C149">
            <v>3</v>
          </cell>
          <cell r="D149">
            <v>4004</v>
          </cell>
          <cell r="E149" t="str">
            <v xml:space="preserve"> - ИНКОМ Банк</v>
          </cell>
        </row>
        <row r="150">
          <cell r="B150">
            <v>3004005</v>
          </cell>
          <cell r="C150">
            <v>3</v>
          </cell>
          <cell r="D150">
            <v>4005</v>
          </cell>
          <cell r="E150" t="str">
            <v xml:space="preserve"> - Российский Кредит</v>
          </cell>
        </row>
        <row r="151">
          <cell r="B151">
            <v>3004006</v>
          </cell>
          <cell r="C151">
            <v>3</v>
          </cell>
          <cell r="D151">
            <v>4006</v>
          </cell>
          <cell r="E151" t="str">
            <v xml:space="preserve"> - Залогбанк </v>
          </cell>
        </row>
        <row r="152">
          <cell r="B152">
            <v>3004007</v>
          </cell>
          <cell r="C152">
            <v>3</v>
          </cell>
          <cell r="D152">
            <v>4007</v>
          </cell>
          <cell r="E152" t="str">
            <v xml:space="preserve"> - Векселя ОАО"КрАЗ"</v>
          </cell>
        </row>
        <row r="153">
          <cell r="B153">
            <v>3004099</v>
          </cell>
          <cell r="C153">
            <v>3</v>
          </cell>
          <cell r="D153">
            <v>4099</v>
          </cell>
          <cell r="E153" t="str">
            <v xml:space="preserve"> - прочие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</row>
        <row r="156">
          <cell r="B156" t="str">
            <v>РАСХОДЫ</v>
          </cell>
          <cell r="C156">
            <v>0</v>
          </cell>
          <cell r="D156">
            <v>0</v>
          </cell>
          <cell r="E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</row>
        <row r="159">
          <cell r="B159">
            <v>2000005</v>
          </cell>
          <cell r="C159">
            <v>2</v>
          </cell>
          <cell r="D159">
            <v>5</v>
          </cell>
          <cell r="E159" t="str">
            <v>Б. РАСХОДНАЯ ЧАСТЬ</v>
          </cell>
        </row>
        <row r="160">
          <cell r="B160">
            <v>2000006</v>
          </cell>
          <cell r="C160">
            <v>2</v>
          </cell>
          <cell r="D160">
            <v>6</v>
          </cell>
          <cell r="E160" t="str">
            <v>ЗАЩИЩЕННЫЕ СТАТЬИ</v>
          </cell>
        </row>
        <row r="161">
          <cell r="B161">
            <v>2000061</v>
          </cell>
          <cell r="C161">
            <v>2</v>
          </cell>
          <cell r="D161">
            <v>61</v>
          </cell>
          <cell r="E161" t="str">
            <v>РАСХОДЫ ЗА СЧЕТ СЕБЕСТОИМОСТИ</v>
          </cell>
        </row>
        <row r="162">
          <cell r="B162">
            <v>2000611</v>
          </cell>
          <cell r="C162">
            <v>2</v>
          </cell>
          <cell r="D162">
            <v>611</v>
          </cell>
          <cell r="E162" t="str">
            <v xml:space="preserve">С ы р ь е </v>
          </cell>
        </row>
        <row r="163">
          <cell r="B163">
            <v>2061101</v>
          </cell>
          <cell r="C163">
            <v>2</v>
          </cell>
          <cell r="D163">
            <v>61101</v>
          </cell>
          <cell r="E163" t="str">
            <v>Глинозем</v>
          </cell>
        </row>
        <row r="164">
          <cell r="B164">
            <v>2611011</v>
          </cell>
          <cell r="C164">
            <v>2</v>
          </cell>
          <cell r="D164">
            <v>611011</v>
          </cell>
          <cell r="E164" t="str">
            <v xml:space="preserve"> - глинозем покупной </v>
          </cell>
        </row>
        <row r="165">
          <cell r="B165">
            <v>2611012</v>
          </cell>
          <cell r="C165">
            <v>2</v>
          </cell>
          <cell r="D165">
            <v>611012</v>
          </cell>
          <cell r="E165" t="str">
            <v xml:space="preserve"> - глинозем по толлингу</v>
          </cell>
        </row>
        <row r="166">
          <cell r="B166">
            <v>2000000</v>
          </cell>
          <cell r="C166">
            <v>2</v>
          </cell>
          <cell r="D166">
            <v>0</v>
          </cell>
          <cell r="E166">
            <v>0</v>
          </cell>
        </row>
        <row r="167">
          <cell r="B167">
            <v>2061103</v>
          </cell>
          <cell r="C167">
            <v>2</v>
          </cell>
          <cell r="D167">
            <v>61103</v>
          </cell>
          <cell r="E167" t="str">
            <v>Криолит</v>
          </cell>
        </row>
        <row r="168">
          <cell r="B168">
            <v>2061104</v>
          </cell>
          <cell r="C168">
            <v>2</v>
          </cell>
          <cell r="D168">
            <v>61104</v>
          </cell>
          <cell r="E168" t="str">
            <v>Алюминий фтористый (ALF3)</v>
          </cell>
        </row>
        <row r="169">
          <cell r="B169">
            <v>2611041</v>
          </cell>
          <cell r="C169">
            <v>2</v>
          </cell>
          <cell r="D169">
            <v>611041</v>
          </cell>
          <cell r="E169" t="str">
            <v xml:space="preserve"> -  ALF3 покупной</v>
          </cell>
        </row>
        <row r="170">
          <cell r="B170">
            <v>2611042</v>
          </cell>
          <cell r="C170">
            <v>2</v>
          </cell>
          <cell r="D170">
            <v>611042</v>
          </cell>
          <cell r="E170" t="str">
            <v xml:space="preserve"> - ALF3 от ЗФА</v>
          </cell>
        </row>
        <row r="171">
          <cell r="B171">
            <v>2611043</v>
          </cell>
          <cell r="C171">
            <v>2</v>
          </cell>
          <cell r="D171">
            <v>611043</v>
          </cell>
          <cell r="E171" t="str">
            <v xml:space="preserve"> - ALF3 по толлингу</v>
          </cell>
        </row>
        <row r="172">
          <cell r="B172">
            <v>2061105</v>
          </cell>
          <cell r="C172">
            <v>2</v>
          </cell>
          <cell r="D172">
            <v>61105</v>
          </cell>
          <cell r="E172" t="str">
            <v>Фтористый кальций</v>
          </cell>
        </row>
        <row r="173">
          <cell r="B173">
            <v>2061106</v>
          </cell>
          <cell r="C173">
            <v>2</v>
          </cell>
          <cell r="D173">
            <v>61106</v>
          </cell>
          <cell r="E173" t="str">
            <v>Анодные блоки</v>
          </cell>
        </row>
        <row r="174">
          <cell r="B174">
            <v>2061107</v>
          </cell>
          <cell r="C174">
            <v>2</v>
          </cell>
          <cell r="D174">
            <v>61107</v>
          </cell>
          <cell r="E174" t="str">
            <v>Хлористый натрий</v>
          </cell>
        </row>
        <row r="175">
          <cell r="B175">
            <v>2061108</v>
          </cell>
          <cell r="C175">
            <v>2</v>
          </cell>
          <cell r="D175">
            <v>61108</v>
          </cell>
          <cell r="E175" t="str">
            <v>Сода кальцинированная</v>
          </cell>
        </row>
        <row r="176">
          <cell r="B176">
            <v>2061109</v>
          </cell>
          <cell r="C176">
            <v>2</v>
          </cell>
          <cell r="D176">
            <v>61109</v>
          </cell>
          <cell r="E176" t="str">
            <v>Сода каустическая</v>
          </cell>
        </row>
        <row r="177">
          <cell r="B177">
            <v>2061110</v>
          </cell>
          <cell r="C177">
            <v>2</v>
          </cell>
          <cell r="D177">
            <v>61110</v>
          </cell>
          <cell r="E177" t="str">
            <v>Барий хлористый</v>
          </cell>
        </row>
        <row r="178">
          <cell r="B178">
            <v>2061111</v>
          </cell>
          <cell r="C178">
            <v>2</v>
          </cell>
          <cell r="D178">
            <v>61111</v>
          </cell>
          <cell r="E178" t="str">
            <v>Гидроокись</v>
          </cell>
        </row>
        <row r="179">
          <cell r="B179">
            <v>2061112</v>
          </cell>
          <cell r="C179">
            <v>2</v>
          </cell>
          <cell r="D179">
            <v>61112</v>
          </cell>
          <cell r="E179" t="str">
            <v xml:space="preserve">Медь </v>
          </cell>
        </row>
        <row r="180">
          <cell r="B180">
            <v>2061113</v>
          </cell>
          <cell r="C180">
            <v>2</v>
          </cell>
          <cell r="D180">
            <v>61113</v>
          </cell>
          <cell r="E180" t="str">
            <v>Графит</v>
          </cell>
        </row>
        <row r="181">
          <cell r="B181">
            <v>2061114</v>
          </cell>
          <cell r="C181">
            <v>2</v>
          </cell>
          <cell r="D181">
            <v>61114</v>
          </cell>
          <cell r="E181" t="str">
            <v>Титановая губка</v>
          </cell>
        </row>
        <row r="182">
          <cell r="B182">
            <v>2061115</v>
          </cell>
          <cell r="C182">
            <v>2</v>
          </cell>
          <cell r="D182">
            <v>61115</v>
          </cell>
          <cell r="E182" t="str">
            <v>Кокс сырой</v>
          </cell>
        </row>
        <row r="183">
          <cell r="B183">
            <v>2611151</v>
          </cell>
          <cell r="C183">
            <v>2</v>
          </cell>
          <cell r="D183">
            <v>611151</v>
          </cell>
          <cell r="E183" t="str">
            <v xml:space="preserve"> - кокс сырой покупной </v>
          </cell>
        </row>
        <row r="184">
          <cell r="B184">
            <v>2611152</v>
          </cell>
          <cell r="C184">
            <v>2</v>
          </cell>
          <cell r="D184">
            <v>611152</v>
          </cell>
          <cell r="E184" t="str">
            <v xml:space="preserve"> - кокс сырой по толлингу</v>
          </cell>
        </row>
        <row r="185">
          <cell r="B185">
            <v>2061116</v>
          </cell>
          <cell r="C185">
            <v>2</v>
          </cell>
          <cell r="D185">
            <v>61116</v>
          </cell>
          <cell r="E185" t="str">
            <v>Кокс прокаленный</v>
          </cell>
        </row>
        <row r="186">
          <cell r="B186">
            <v>2611161</v>
          </cell>
          <cell r="C186">
            <v>2</v>
          </cell>
          <cell r="D186">
            <v>611161</v>
          </cell>
          <cell r="E186" t="str">
            <v xml:space="preserve"> - кокс прокаленный покупной</v>
          </cell>
        </row>
        <row r="187">
          <cell r="B187">
            <v>2611162</v>
          </cell>
          <cell r="C187">
            <v>2</v>
          </cell>
          <cell r="D187">
            <v>611162</v>
          </cell>
          <cell r="E187" t="str">
            <v xml:space="preserve"> - кокс прокаленный по толлингу</v>
          </cell>
        </row>
        <row r="188">
          <cell r="B188">
            <v>2061117</v>
          </cell>
          <cell r="C188">
            <v>2</v>
          </cell>
          <cell r="D188">
            <v>61117</v>
          </cell>
          <cell r="E188" t="str">
            <v>Пек каменноугольный</v>
          </cell>
        </row>
        <row r="189">
          <cell r="B189">
            <v>2611171</v>
          </cell>
          <cell r="C189">
            <v>2</v>
          </cell>
          <cell r="D189">
            <v>611171</v>
          </cell>
          <cell r="E189" t="str">
            <v xml:space="preserve"> - пек покупной</v>
          </cell>
        </row>
        <row r="190">
          <cell r="B190">
            <v>2611172</v>
          </cell>
          <cell r="C190">
            <v>2</v>
          </cell>
          <cell r="D190">
            <v>611172</v>
          </cell>
          <cell r="E190" t="str">
            <v xml:space="preserve"> - пек по толлингу</v>
          </cell>
        </row>
        <row r="191">
          <cell r="B191">
            <v>2061118</v>
          </cell>
          <cell r="C191">
            <v>2</v>
          </cell>
          <cell r="D191">
            <v>61118</v>
          </cell>
          <cell r="E191" t="str">
            <v>Глиноземная шихта</v>
          </cell>
        </row>
        <row r="192">
          <cell r="B192">
            <v>2061119</v>
          </cell>
          <cell r="C192">
            <v>2</v>
          </cell>
          <cell r="D192">
            <v>61119</v>
          </cell>
          <cell r="E192" t="str">
            <v>Пена угольная</v>
          </cell>
        </row>
        <row r="193">
          <cell r="B193">
            <v>2061120</v>
          </cell>
          <cell r="C193">
            <v>2</v>
          </cell>
          <cell r="D193">
            <v>61120</v>
          </cell>
          <cell r="E193" t="str">
            <v>Огарки</v>
          </cell>
        </row>
        <row r="194">
          <cell r="B194">
            <v>2061122</v>
          </cell>
          <cell r="C194">
            <v>2</v>
          </cell>
          <cell r="D194">
            <v>61122</v>
          </cell>
          <cell r="E194" t="str">
            <v>Подовые коржи</v>
          </cell>
        </row>
        <row r="195">
          <cell r="B195">
            <v>2061123</v>
          </cell>
          <cell r="C195">
            <v>2</v>
          </cell>
          <cell r="D195">
            <v>61123</v>
          </cell>
          <cell r="E195" t="str">
            <v>Сколы анодов</v>
          </cell>
        </row>
        <row r="196">
          <cell r="B196">
            <v>2061121</v>
          </cell>
          <cell r="C196">
            <v>2</v>
          </cell>
          <cell r="D196">
            <v>61121</v>
          </cell>
          <cell r="E196" t="str">
            <v>Угольная футеровка</v>
          </cell>
        </row>
        <row r="197">
          <cell r="B197">
            <v>2061124</v>
          </cell>
          <cell r="C197">
            <v>2</v>
          </cell>
          <cell r="D197">
            <v>61124</v>
          </cell>
          <cell r="E197" t="str">
            <v>"Пушенка"</v>
          </cell>
        </row>
        <row r="198">
          <cell r="B198">
            <v>2061125</v>
          </cell>
          <cell r="C198">
            <v>2</v>
          </cell>
          <cell r="D198">
            <v>61125</v>
          </cell>
          <cell r="E198" t="str">
            <v xml:space="preserve">Электролитная корочка </v>
          </cell>
        </row>
        <row r="199">
          <cell r="B199">
            <v>2061130</v>
          </cell>
          <cell r="C199">
            <v>2</v>
          </cell>
          <cell r="D199">
            <v>61130</v>
          </cell>
          <cell r="E199" t="str">
            <v>Завод Фтористого Алюминия</v>
          </cell>
        </row>
        <row r="200">
          <cell r="B200">
            <v>2611301</v>
          </cell>
          <cell r="C200">
            <v>2</v>
          </cell>
          <cell r="D200">
            <v>611301</v>
          </cell>
          <cell r="E200" t="str">
            <v xml:space="preserve"> - гидроокись</v>
          </cell>
        </row>
        <row r="201">
          <cell r="B201">
            <v>2611302</v>
          </cell>
          <cell r="C201">
            <v>2</v>
          </cell>
          <cell r="D201">
            <v>611302</v>
          </cell>
          <cell r="E201" t="str">
            <v xml:space="preserve"> - кислота серная</v>
          </cell>
        </row>
        <row r="202">
          <cell r="B202">
            <v>2611303</v>
          </cell>
          <cell r="C202">
            <v>2</v>
          </cell>
          <cell r="D202">
            <v>611303</v>
          </cell>
          <cell r="E202" t="str">
            <v xml:space="preserve"> - олеум</v>
          </cell>
        </row>
        <row r="203">
          <cell r="B203">
            <v>2611304</v>
          </cell>
          <cell r="C203">
            <v>2</v>
          </cell>
          <cell r="D203">
            <v>611304</v>
          </cell>
          <cell r="E203" t="str">
            <v xml:space="preserve"> - фтористый кальций </v>
          </cell>
        </row>
        <row r="204">
          <cell r="B204">
            <v>2611305</v>
          </cell>
          <cell r="C204">
            <v>2</v>
          </cell>
          <cell r="D204">
            <v>611305</v>
          </cell>
          <cell r="E204" t="str">
            <v xml:space="preserve"> - пыль белитоизвестняковая</v>
          </cell>
        </row>
        <row r="205">
          <cell r="B205">
            <v>2611306</v>
          </cell>
          <cell r="C205">
            <v>2</v>
          </cell>
          <cell r="D205">
            <v>611306</v>
          </cell>
          <cell r="E205" t="str">
            <v xml:space="preserve"> - молоко известковое</v>
          </cell>
        </row>
        <row r="206">
          <cell r="B206">
            <v>2006112</v>
          </cell>
          <cell r="C206">
            <v>2</v>
          </cell>
          <cell r="D206">
            <v>6112</v>
          </cell>
          <cell r="E206" t="str">
            <v xml:space="preserve">Таможенные платежи </v>
          </cell>
        </row>
        <row r="207">
          <cell r="B207">
            <v>2611201</v>
          </cell>
          <cell r="C207">
            <v>2</v>
          </cell>
          <cell r="D207">
            <v>611201</v>
          </cell>
          <cell r="E207" t="str">
            <v xml:space="preserve"> - за сырье</v>
          </cell>
        </row>
        <row r="208">
          <cell r="B208">
            <v>2611202</v>
          </cell>
          <cell r="C208">
            <v>2</v>
          </cell>
          <cell r="D208">
            <v>611202</v>
          </cell>
          <cell r="E208" t="str">
            <v xml:space="preserve"> - за металл</v>
          </cell>
        </row>
        <row r="209">
          <cell r="B209">
            <v>2611203</v>
          </cell>
          <cell r="C209">
            <v>2</v>
          </cell>
          <cell r="D209">
            <v>611203</v>
          </cell>
          <cell r="E209" t="str">
            <v xml:space="preserve"> - прочие</v>
          </cell>
        </row>
        <row r="210">
          <cell r="B210">
            <v>2006113</v>
          </cell>
          <cell r="C210">
            <v>2</v>
          </cell>
          <cell r="D210">
            <v>6113</v>
          </cell>
          <cell r="E210" t="str">
            <v xml:space="preserve">Транспортные  расходы </v>
          </cell>
        </row>
        <row r="211">
          <cell r="B211" t="e">
            <v>#VALUE!</v>
          </cell>
          <cell r="C211">
            <v>2</v>
          </cell>
          <cell r="D211" t="str">
            <v>611(??)</v>
          </cell>
          <cell r="E211" t="str">
            <v>ИТОГО (??)</v>
          </cell>
        </row>
        <row r="212">
          <cell r="B212">
            <v>2000000</v>
          </cell>
          <cell r="C212">
            <v>2</v>
          </cell>
          <cell r="D212">
            <v>0</v>
          </cell>
          <cell r="E212">
            <v>0</v>
          </cell>
        </row>
        <row r="213">
          <cell r="B213" t="e">
            <v>#VALUE!</v>
          </cell>
          <cell r="C213">
            <v>2</v>
          </cell>
          <cell r="D213" t="str">
            <v>6112(??)</v>
          </cell>
          <cell r="E213" t="str">
            <v>Таможенные платежи по сырью</v>
          </cell>
        </row>
        <row r="214">
          <cell r="B214" t="e">
            <v>#VALUE!</v>
          </cell>
          <cell r="C214">
            <v>2</v>
          </cell>
          <cell r="D214" t="str">
            <v>6113(??)</v>
          </cell>
          <cell r="E214" t="str">
            <v>Ж/д тариф по перевозке сырья</v>
          </cell>
        </row>
        <row r="215">
          <cell r="B215">
            <v>2000000</v>
          </cell>
          <cell r="C215">
            <v>2</v>
          </cell>
          <cell r="D215">
            <v>0</v>
          </cell>
          <cell r="E215">
            <v>0</v>
          </cell>
        </row>
        <row r="216">
          <cell r="B216">
            <v>2006121</v>
          </cell>
          <cell r="C216">
            <v>2</v>
          </cell>
          <cell r="D216">
            <v>6121</v>
          </cell>
          <cell r="E216" t="str">
            <v xml:space="preserve">Топливо </v>
          </cell>
        </row>
        <row r="217">
          <cell r="B217">
            <v>2061211</v>
          </cell>
          <cell r="C217">
            <v>2</v>
          </cell>
          <cell r="D217">
            <v>61211</v>
          </cell>
          <cell r="E217" t="str">
            <v xml:space="preserve"> - мазут</v>
          </cell>
        </row>
        <row r="218">
          <cell r="B218">
            <v>2061212</v>
          </cell>
          <cell r="C218">
            <v>2</v>
          </cell>
          <cell r="D218">
            <v>61212</v>
          </cell>
          <cell r="E218" t="str">
            <v xml:space="preserve"> - газ</v>
          </cell>
        </row>
        <row r="219">
          <cell r="B219">
            <v>2061213</v>
          </cell>
          <cell r="C219">
            <v>2</v>
          </cell>
          <cell r="D219">
            <v>61213</v>
          </cell>
          <cell r="E219" t="str">
            <v xml:space="preserve"> - дизтопливо</v>
          </cell>
        </row>
        <row r="220">
          <cell r="B220">
            <v>2061214</v>
          </cell>
          <cell r="C220">
            <v>2</v>
          </cell>
          <cell r="D220">
            <v>61214</v>
          </cell>
          <cell r="E220" t="str">
            <v xml:space="preserve"> - бензин</v>
          </cell>
        </row>
        <row r="221">
          <cell r="B221">
            <v>2061215</v>
          </cell>
          <cell r="C221">
            <v>2</v>
          </cell>
          <cell r="D221">
            <v>61215</v>
          </cell>
          <cell r="E221" t="str">
            <v xml:space="preserve"> - ГСМ</v>
          </cell>
        </row>
        <row r="222">
          <cell r="B222">
            <v>2061219</v>
          </cell>
          <cell r="C222">
            <v>2</v>
          </cell>
          <cell r="D222">
            <v>61219</v>
          </cell>
          <cell r="E222" t="str">
            <v xml:space="preserve"> - топливо прочее</v>
          </cell>
        </row>
        <row r="223">
          <cell r="B223">
            <v>2000000</v>
          </cell>
          <cell r="C223">
            <v>2</v>
          </cell>
          <cell r="D223">
            <v>0</v>
          </cell>
          <cell r="E223">
            <v>0</v>
          </cell>
        </row>
        <row r="224">
          <cell r="B224">
            <v>2006122</v>
          </cell>
          <cell r="C224">
            <v>2</v>
          </cell>
          <cell r="D224">
            <v>6122</v>
          </cell>
          <cell r="E224" t="str">
            <v>Материалы на ремонт электролизеров</v>
          </cell>
        </row>
        <row r="225">
          <cell r="B225">
            <v>2061221</v>
          </cell>
          <cell r="C225">
            <v>2</v>
          </cell>
          <cell r="D225">
            <v>61221</v>
          </cell>
          <cell r="E225" t="str">
            <v xml:space="preserve"> - гасильный шест</v>
          </cell>
        </row>
        <row r="226">
          <cell r="B226">
            <v>2061222</v>
          </cell>
          <cell r="C226">
            <v>2</v>
          </cell>
          <cell r="D226">
            <v>61222</v>
          </cell>
          <cell r="E226" t="str">
            <v xml:space="preserve"> - блоки угольные</v>
          </cell>
        </row>
        <row r="227">
          <cell r="B227">
            <v>2061223</v>
          </cell>
          <cell r="C227">
            <v>2</v>
          </cell>
          <cell r="D227">
            <v>61223</v>
          </cell>
          <cell r="E227" t="str">
            <v xml:space="preserve"> - масса подовая</v>
          </cell>
        </row>
        <row r="228">
          <cell r="B228">
            <v>2061224</v>
          </cell>
          <cell r="C228">
            <v>2</v>
          </cell>
          <cell r="D228">
            <v>61224</v>
          </cell>
          <cell r="E228" t="str">
            <v xml:space="preserve"> - кирпич шамотный</v>
          </cell>
        </row>
        <row r="229">
          <cell r="B229">
            <v>2061225</v>
          </cell>
          <cell r="C229">
            <v>2</v>
          </cell>
          <cell r="D229">
            <v>61225</v>
          </cell>
          <cell r="E229" t="str">
            <v xml:space="preserve"> - блюмсы</v>
          </cell>
        </row>
        <row r="230">
          <cell r="B230">
            <v>2061226</v>
          </cell>
          <cell r="C230">
            <v>2</v>
          </cell>
          <cell r="D230">
            <v>61226</v>
          </cell>
          <cell r="E230" t="str">
            <v xml:space="preserve"> - гипс</v>
          </cell>
        </row>
        <row r="231">
          <cell r="B231">
            <v>2061227</v>
          </cell>
          <cell r="C231">
            <v>2</v>
          </cell>
          <cell r="D231">
            <v>61227</v>
          </cell>
          <cell r="E231" t="str">
            <v xml:space="preserve"> - сетка</v>
          </cell>
        </row>
        <row r="232">
          <cell r="B232">
            <v>2061229</v>
          </cell>
          <cell r="C232">
            <v>2</v>
          </cell>
          <cell r="D232">
            <v>61229</v>
          </cell>
          <cell r="E232" t="str">
            <v xml:space="preserve"> - прочие материалы (коммерция)</v>
          </cell>
        </row>
        <row r="233">
          <cell r="B233">
            <v>2006123</v>
          </cell>
          <cell r="C233">
            <v>2</v>
          </cell>
          <cell r="D233">
            <v>6123</v>
          </cell>
          <cell r="E233" t="str">
            <v xml:space="preserve"> - спецодежда</v>
          </cell>
        </row>
        <row r="234">
          <cell r="B234">
            <v>2000612</v>
          </cell>
          <cell r="C234">
            <v>2</v>
          </cell>
          <cell r="D234">
            <v>612</v>
          </cell>
          <cell r="E234" t="str">
            <v>Итого (стр6121 + стр6122 + стр6123)</v>
          </cell>
        </row>
        <row r="235">
          <cell r="B235">
            <v>2000613</v>
          </cell>
          <cell r="C235">
            <v>2</v>
          </cell>
          <cell r="D235">
            <v>613</v>
          </cell>
          <cell r="E235" t="str">
            <v xml:space="preserve"> - на металл</v>
          </cell>
        </row>
        <row r="236">
          <cell r="B236">
            <v>2000614</v>
          </cell>
          <cell r="C236">
            <v>2</v>
          </cell>
          <cell r="D236">
            <v>614</v>
          </cell>
          <cell r="E236" t="str">
            <v>Портовые расходы (экспорт алюминия)</v>
          </cell>
        </row>
        <row r="237">
          <cell r="B237">
            <v>2000615</v>
          </cell>
          <cell r="C237">
            <v>2</v>
          </cell>
          <cell r="D237">
            <v>615</v>
          </cell>
          <cell r="E237" t="str">
            <v xml:space="preserve"> - на сырье</v>
          </cell>
        </row>
        <row r="238">
          <cell r="B238">
            <v>2000616</v>
          </cell>
          <cell r="C238">
            <v>2</v>
          </cell>
          <cell r="D238">
            <v>616</v>
          </cell>
          <cell r="E238" t="str">
            <v xml:space="preserve"> - прочие</v>
          </cell>
        </row>
        <row r="239">
          <cell r="B239">
            <v>2000619</v>
          </cell>
          <cell r="C239">
            <v>2</v>
          </cell>
          <cell r="D239">
            <v>619</v>
          </cell>
          <cell r="E239" t="str">
            <v>Прочие денежные расходы</v>
          </cell>
        </row>
        <row r="240">
          <cell r="B240">
            <v>2006191</v>
          </cell>
          <cell r="C240">
            <v>2</v>
          </cell>
          <cell r="D240">
            <v>6191</v>
          </cell>
          <cell r="E240" t="str">
            <v>Услуги КрАМЗа по пер-ке Т-образки</v>
          </cell>
        </row>
        <row r="241">
          <cell r="B241">
            <v>2006192</v>
          </cell>
          <cell r="C241">
            <v>2</v>
          </cell>
          <cell r="D241">
            <v>6192</v>
          </cell>
          <cell r="E241" t="str">
            <v>Оплата Компановской глины</v>
          </cell>
        </row>
        <row r="242">
          <cell r="B242" t="e">
            <v>#VALUE!</v>
          </cell>
          <cell r="C242">
            <v>2</v>
          </cell>
          <cell r="D242" t="str">
            <v>61 (??)</v>
          </cell>
          <cell r="E242" t="str">
            <v>ВСЕГО расходов за счет себестоимости</v>
          </cell>
        </row>
        <row r="243">
          <cell r="B243">
            <v>2000062</v>
          </cell>
          <cell r="C243">
            <v>2</v>
          </cell>
          <cell r="D243">
            <v>62</v>
          </cell>
          <cell r="E243" t="str">
            <v>РАСХОДЫ ЗА СЧЕТ ПРИБЫЛИ</v>
          </cell>
        </row>
        <row r="244">
          <cell r="B244">
            <v>2000621</v>
          </cell>
          <cell r="C244">
            <v>2</v>
          </cell>
          <cell r="D244">
            <v>621</v>
          </cell>
          <cell r="E244" t="str">
            <v>Производственное развитие, реконструкция, техперевооружение и приобретение оборудования</v>
          </cell>
        </row>
        <row r="245">
          <cell r="B245" t="e">
            <v>#VALUE!</v>
          </cell>
          <cell r="C245">
            <v>2</v>
          </cell>
          <cell r="D245" t="str">
            <v>6(??)</v>
          </cell>
          <cell r="E245" t="str">
            <v>ВСЕГО расходов</v>
          </cell>
        </row>
        <row r="246">
          <cell r="B246">
            <v>2000007</v>
          </cell>
          <cell r="C246">
            <v>2</v>
          </cell>
          <cell r="D246">
            <v>7</v>
          </cell>
          <cell r="E246" t="str">
            <v>НЕЗАЩИЩЕННЫЕ СТАТЬИ</v>
          </cell>
        </row>
        <row r="247">
          <cell r="B247">
            <v>2000071</v>
          </cell>
          <cell r="C247">
            <v>2</v>
          </cell>
          <cell r="D247">
            <v>71</v>
          </cell>
          <cell r="E247" t="str">
            <v>РАСХОДЫ ЗА СЧЕТ СЕБЕСТОИМОСТИ</v>
          </cell>
        </row>
        <row r="248">
          <cell r="B248">
            <v>2000711</v>
          </cell>
          <cell r="C248">
            <v>2</v>
          </cell>
          <cell r="D248">
            <v>711</v>
          </cell>
          <cell r="E248" t="str">
            <v>Электроэнергия</v>
          </cell>
        </row>
        <row r="249">
          <cell r="B249">
            <v>2000712</v>
          </cell>
          <cell r="C249">
            <v>2</v>
          </cell>
          <cell r="D249">
            <v>712</v>
          </cell>
          <cell r="E249" t="str">
            <v>Сжатый воздух</v>
          </cell>
        </row>
        <row r="250">
          <cell r="B250">
            <v>2000713</v>
          </cell>
          <cell r="C250">
            <v>2</v>
          </cell>
          <cell r="D250">
            <v>713</v>
          </cell>
          <cell r="E250" t="str">
            <v>Вода</v>
          </cell>
        </row>
        <row r="251">
          <cell r="B251">
            <v>2000714</v>
          </cell>
          <cell r="C251">
            <v>2</v>
          </cell>
          <cell r="D251">
            <v>714</v>
          </cell>
          <cell r="E251" t="str">
            <v>Тепло</v>
          </cell>
        </row>
        <row r="252">
          <cell r="B252">
            <v>2000715</v>
          </cell>
          <cell r="C252">
            <v>2</v>
          </cell>
          <cell r="D252">
            <v>715</v>
          </cell>
          <cell r="E252" t="str">
            <v>Вспомогательные материалы</v>
          </cell>
        </row>
        <row r="253">
          <cell r="B253">
            <v>2000000</v>
          </cell>
          <cell r="C253">
            <v>2</v>
          </cell>
          <cell r="D253">
            <v>0</v>
          </cell>
          <cell r="E253">
            <v>0</v>
          </cell>
        </row>
        <row r="254">
          <cell r="B254">
            <v>2007151</v>
          </cell>
          <cell r="C254">
            <v>2</v>
          </cell>
          <cell r="D254">
            <v>7151</v>
          </cell>
          <cell r="E254" t="str">
            <v xml:space="preserve"> - кожух анодный</v>
          </cell>
        </row>
        <row r="255">
          <cell r="B255">
            <v>2007152</v>
          </cell>
          <cell r="C255">
            <v>2</v>
          </cell>
          <cell r="D255">
            <v>7152</v>
          </cell>
          <cell r="E255" t="str">
            <v xml:space="preserve"> - кожух катодный</v>
          </cell>
        </row>
        <row r="256">
          <cell r="B256">
            <v>2007153</v>
          </cell>
          <cell r="C256">
            <v>2</v>
          </cell>
          <cell r="D256">
            <v>7153</v>
          </cell>
          <cell r="E256" t="str">
            <v xml:space="preserve"> - штыри (шт.)</v>
          </cell>
        </row>
        <row r="257">
          <cell r="B257">
            <v>2007154</v>
          </cell>
          <cell r="C257">
            <v>2</v>
          </cell>
          <cell r="D257">
            <v>7154</v>
          </cell>
          <cell r="E257" t="str">
            <v xml:space="preserve"> - секции прямые</v>
          </cell>
        </row>
        <row r="258">
          <cell r="B258">
            <v>2007155</v>
          </cell>
          <cell r="C258">
            <v>2</v>
          </cell>
          <cell r="D258">
            <v>7155</v>
          </cell>
          <cell r="E258" t="str">
            <v xml:space="preserve"> - секции угловые</v>
          </cell>
        </row>
        <row r="259">
          <cell r="B259">
            <v>2007156</v>
          </cell>
          <cell r="C259">
            <v>2</v>
          </cell>
          <cell r="D259">
            <v>7156</v>
          </cell>
          <cell r="E259" t="str">
            <v xml:space="preserve"> - труба прямая</v>
          </cell>
        </row>
        <row r="260">
          <cell r="B260">
            <v>2007157</v>
          </cell>
          <cell r="C260">
            <v>2</v>
          </cell>
          <cell r="D260">
            <v>7157</v>
          </cell>
          <cell r="E260" t="str">
            <v xml:space="preserve"> - труба шаровая</v>
          </cell>
        </row>
        <row r="261">
          <cell r="B261">
            <v>2007159</v>
          </cell>
          <cell r="C261">
            <v>2</v>
          </cell>
          <cell r="D261">
            <v>7159</v>
          </cell>
          <cell r="E261" t="str">
            <v xml:space="preserve"> - прочие материалы (произ-во)</v>
          </cell>
        </row>
        <row r="262">
          <cell r="B262">
            <v>2000716</v>
          </cell>
          <cell r="C262">
            <v>2</v>
          </cell>
          <cell r="D262">
            <v>716</v>
          </cell>
          <cell r="E262" t="str">
            <v>Расходы на ремонты подрядным организациям</v>
          </cell>
        </row>
        <row r="263">
          <cell r="B263">
            <v>2007161</v>
          </cell>
          <cell r="C263">
            <v>2</v>
          </cell>
          <cell r="D263">
            <v>7161</v>
          </cell>
          <cell r="E263" t="str">
            <v xml:space="preserve"> - для основных цехов </v>
          </cell>
        </row>
        <row r="264">
          <cell r="B264">
            <v>2007162</v>
          </cell>
          <cell r="C264">
            <v>2</v>
          </cell>
          <cell r="D264">
            <v>7162</v>
          </cell>
          <cell r="E264" t="str">
            <v xml:space="preserve"> - для других нужд </v>
          </cell>
        </row>
        <row r="265">
          <cell r="B265">
            <v>2000717</v>
          </cell>
          <cell r="C265">
            <v>2</v>
          </cell>
          <cell r="D265">
            <v>717</v>
          </cell>
          <cell r="E265" t="str">
            <v>Плата за нормативные выбросы</v>
          </cell>
        </row>
        <row r="266">
          <cell r="B266">
            <v>2000719</v>
          </cell>
          <cell r="C266">
            <v>2</v>
          </cell>
          <cell r="D266">
            <v>719</v>
          </cell>
          <cell r="E266" t="str">
            <v>Прочие материалы</v>
          </cell>
        </row>
        <row r="267">
          <cell r="B267">
            <v>2007191</v>
          </cell>
          <cell r="C267">
            <v>2</v>
          </cell>
          <cell r="D267">
            <v>7191</v>
          </cell>
          <cell r="E267" t="str">
            <v>Расходы по охране труда</v>
          </cell>
        </row>
        <row r="268">
          <cell r="B268">
            <v>2007192</v>
          </cell>
          <cell r="C268">
            <v>2</v>
          </cell>
          <cell r="D268">
            <v>7192</v>
          </cell>
          <cell r="E268" t="str">
            <v>Проверка приборов</v>
          </cell>
        </row>
        <row r="269">
          <cell r="B269">
            <v>2007193</v>
          </cell>
          <cell r="C269">
            <v>2</v>
          </cell>
          <cell r="D269">
            <v>7193</v>
          </cell>
          <cell r="E269" t="str">
            <v>Информационные услуги</v>
          </cell>
        </row>
        <row r="270">
          <cell r="B270">
            <v>2007194</v>
          </cell>
          <cell r="C270">
            <v>2</v>
          </cell>
          <cell r="D270">
            <v>7194</v>
          </cell>
          <cell r="E270" t="str">
            <v>Очистка сточных вод</v>
          </cell>
        </row>
        <row r="271">
          <cell r="B271">
            <v>2007196</v>
          </cell>
          <cell r="C271">
            <v>2</v>
          </cell>
          <cell r="D271">
            <v>7196</v>
          </cell>
          <cell r="E271" t="str">
            <v>Услуги дератизации и прочие</v>
          </cell>
        </row>
        <row r="272">
          <cell r="B272" t="e">
            <v>#VALUE!</v>
          </cell>
          <cell r="C272">
            <v>2</v>
          </cell>
          <cell r="D272" t="str">
            <v>71(??)</v>
          </cell>
          <cell r="E272" t="str">
            <v>Всего расходов за счет себестоимости</v>
          </cell>
        </row>
        <row r="273">
          <cell r="B273">
            <v>2000072</v>
          </cell>
          <cell r="C273">
            <v>2</v>
          </cell>
          <cell r="D273">
            <v>72</v>
          </cell>
          <cell r="E273" t="str">
            <v>РАСХОДЫ ЗА СЧЕТ ПРИБЫЛИ</v>
          </cell>
        </row>
        <row r="274">
          <cell r="B274">
            <v>2000721</v>
          </cell>
          <cell r="C274">
            <v>2</v>
          </cell>
          <cell r="D274">
            <v>721</v>
          </cell>
          <cell r="E274" t="str">
            <v>Капитальные вложения, в т.ч. :</v>
          </cell>
        </row>
        <row r="275">
          <cell r="B275">
            <v>2007211</v>
          </cell>
          <cell r="C275">
            <v>2</v>
          </cell>
          <cell r="D275">
            <v>7211</v>
          </cell>
          <cell r="E275" t="str">
            <v xml:space="preserve"> - СМР</v>
          </cell>
        </row>
        <row r="276">
          <cell r="B276">
            <v>2007212</v>
          </cell>
          <cell r="C276">
            <v>2</v>
          </cell>
          <cell r="D276">
            <v>7212</v>
          </cell>
          <cell r="E276" t="str">
            <v xml:space="preserve"> - оборудование</v>
          </cell>
        </row>
        <row r="277">
          <cell r="B277">
            <v>2007213</v>
          </cell>
          <cell r="C277">
            <v>2</v>
          </cell>
          <cell r="D277">
            <v>7213</v>
          </cell>
          <cell r="E277" t="str">
            <v>Отчисления на НИОКР</v>
          </cell>
        </row>
        <row r="278">
          <cell r="B278">
            <v>2000722</v>
          </cell>
          <cell r="C278">
            <v>2</v>
          </cell>
          <cell r="D278">
            <v>722</v>
          </cell>
          <cell r="E278" t="str">
            <v>Плата за сверхнормативные выбросы</v>
          </cell>
        </row>
        <row r="279">
          <cell r="B279" t="e">
            <v>#VALUE!</v>
          </cell>
          <cell r="C279">
            <v>2</v>
          </cell>
          <cell r="D279" t="str">
            <v>72(??)</v>
          </cell>
          <cell r="E279" t="str">
            <v>Всего расходов за счет прибыли</v>
          </cell>
        </row>
        <row r="280">
          <cell r="B280" t="e">
            <v>#VALUE!</v>
          </cell>
          <cell r="C280">
            <v>2</v>
          </cell>
          <cell r="D280" t="str">
            <v>7(??)</v>
          </cell>
          <cell r="E280" t="str">
            <v>ВСЕГО расходов</v>
          </cell>
        </row>
        <row r="281">
          <cell r="B281">
            <v>2000000</v>
          </cell>
          <cell r="C281">
            <v>2</v>
          </cell>
          <cell r="D281">
            <v>0</v>
          </cell>
          <cell r="E281">
            <v>0</v>
          </cell>
        </row>
        <row r="282">
          <cell r="B282">
            <v>2000008</v>
          </cell>
          <cell r="C282">
            <v>2</v>
          </cell>
          <cell r="D282">
            <v>8</v>
          </cell>
          <cell r="E282" t="str">
            <v>ДИРЕКТОР ПО ФИНАНСАМ</v>
          </cell>
        </row>
        <row r="283">
          <cell r="B283">
            <v>2000081</v>
          </cell>
          <cell r="C283">
            <v>2</v>
          </cell>
          <cell r="D283">
            <v>81</v>
          </cell>
          <cell r="E283" t="str">
            <v>РАСХОДЫ ЗА СЧЕТ СЕБЕСТОИМОСТИ</v>
          </cell>
        </row>
        <row r="284">
          <cell r="B284">
            <v>2000811</v>
          </cell>
          <cell r="C284">
            <v>2</v>
          </cell>
          <cell r="D284">
            <v>811</v>
          </cell>
          <cell r="E284" t="str">
            <v>Заработная плата</v>
          </cell>
        </row>
        <row r="285">
          <cell r="B285">
            <v>2000812</v>
          </cell>
          <cell r="C285">
            <v>2</v>
          </cell>
          <cell r="D285">
            <v>812</v>
          </cell>
          <cell r="E285" t="str">
            <v xml:space="preserve">Отчисления в социальные фонды </v>
          </cell>
        </row>
        <row r="286">
          <cell r="B286">
            <v>2008121</v>
          </cell>
          <cell r="C286">
            <v>2</v>
          </cell>
          <cell r="D286">
            <v>8121</v>
          </cell>
          <cell r="E286" t="str">
            <v xml:space="preserve"> - Пенсионный фонд</v>
          </cell>
        </row>
        <row r="287">
          <cell r="B287">
            <v>2008122</v>
          </cell>
          <cell r="C287">
            <v>2</v>
          </cell>
          <cell r="D287">
            <v>8122</v>
          </cell>
          <cell r="E287" t="str">
            <v xml:space="preserve"> - ФОМС</v>
          </cell>
        </row>
        <row r="288">
          <cell r="B288">
            <v>2008123</v>
          </cell>
          <cell r="C288">
            <v>2</v>
          </cell>
          <cell r="D288">
            <v>8123</v>
          </cell>
          <cell r="E288" t="str">
            <v xml:space="preserve"> - ФСС</v>
          </cell>
        </row>
        <row r="289">
          <cell r="B289">
            <v>2008124</v>
          </cell>
          <cell r="C289">
            <v>2</v>
          </cell>
          <cell r="D289">
            <v>8124</v>
          </cell>
          <cell r="E289" t="str">
            <v xml:space="preserve"> - Фонд занятости</v>
          </cell>
        </row>
        <row r="290">
          <cell r="B290">
            <v>2008125</v>
          </cell>
          <cell r="C290">
            <v>2</v>
          </cell>
          <cell r="D290">
            <v>8125</v>
          </cell>
          <cell r="E290" t="str">
            <v xml:space="preserve"> - Профком</v>
          </cell>
        </row>
        <row r="291">
          <cell r="B291">
            <v>2000000</v>
          </cell>
          <cell r="C291">
            <v>2</v>
          </cell>
          <cell r="D291">
            <v>0</v>
          </cell>
          <cell r="E291">
            <v>0</v>
          </cell>
        </row>
        <row r="292">
          <cell r="B292">
            <v>2000000</v>
          </cell>
          <cell r="C292">
            <v>2</v>
          </cell>
          <cell r="D292">
            <v>0</v>
          </cell>
          <cell r="E292">
            <v>0</v>
          </cell>
        </row>
        <row r="293">
          <cell r="B293">
            <v>2000813</v>
          </cell>
          <cell r="C293">
            <v>2</v>
          </cell>
          <cell r="D293">
            <v>813</v>
          </cell>
          <cell r="E293" t="str">
            <v>Налоги</v>
          </cell>
        </row>
        <row r="294">
          <cell r="B294">
            <v>2000000</v>
          </cell>
          <cell r="C294">
            <v>2</v>
          </cell>
          <cell r="D294">
            <v>0</v>
          </cell>
          <cell r="E294">
            <v>0</v>
          </cell>
        </row>
        <row r="295">
          <cell r="B295">
            <v>2081301</v>
          </cell>
          <cell r="C295">
            <v>2</v>
          </cell>
          <cell r="D295">
            <v>81301</v>
          </cell>
          <cell r="E295" t="str">
            <v xml:space="preserve"> - на пользователей автомобильных дорог</v>
          </cell>
        </row>
        <row r="296">
          <cell r="B296">
            <v>2081302</v>
          </cell>
          <cell r="C296">
            <v>2</v>
          </cell>
          <cell r="D296">
            <v>81302</v>
          </cell>
          <cell r="E296" t="str">
            <v xml:space="preserve"> - транспортный</v>
          </cell>
        </row>
        <row r="297">
          <cell r="B297">
            <v>2081303</v>
          </cell>
          <cell r="C297">
            <v>2</v>
          </cell>
          <cell r="D297">
            <v>81303</v>
          </cell>
          <cell r="E297" t="str">
            <v xml:space="preserve"> - за пользование недрами</v>
          </cell>
        </row>
        <row r="298">
          <cell r="B298">
            <v>2081304</v>
          </cell>
          <cell r="C298">
            <v>2</v>
          </cell>
          <cell r="D298">
            <v>81304</v>
          </cell>
          <cell r="E298" t="str">
            <v xml:space="preserve"> - на воспроизводство минерально-сырьевой базы</v>
          </cell>
        </row>
        <row r="299">
          <cell r="B299">
            <v>2081305</v>
          </cell>
          <cell r="C299">
            <v>2</v>
          </cell>
          <cell r="D299">
            <v>81305</v>
          </cell>
          <cell r="E299" t="str">
            <v xml:space="preserve"> - на землю</v>
          </cell>
        </row>
        <row r="300">
          <cell r="B300">
            <v>2081306</v>
          </cell>
          <cell r="C300">
            <v>2</v>
          </cell>
          <cell r="D300">
            <v>81306</v>
          </cell>
          <cell r="E300" t="str">
            <v>Плата за аренду земли</v>
          </cell>
        </row>
        <row r="301">
          <cell r="B301">
            <v>2081307</v>
          </cell>
          <cell r="C301">
            <v>2</v>
          </cell>
          <cell r="D301">
            <v>81307</v>
          </cell>
          <cell r="E301" t="str">
            <v xml:space="preserve"> - за воду</v>
          </cell>
        </row>
        <row r="302">
          <cell r="B302">
            <v>2081308</v>
          </cell>
          <cell r="C302">
            <v>2</v>
          </cell>
          <cell r="D302">
            <v>81308</v>
          </cell>
          <cell r="E302" t="str">
            <v xml:space="preserve"> - с владельцев транспортных средств</v>
          </cell>
        </row>
        <row r="303">
          <cell r="B303">
            <v>2081309</v>
          </cell>
          <cell r="C303">
            <v>2</v>
          </cell>
          <cell r="D303">
            <v>81309</v>
          </cell>
          <cell r="E303" t="str">
            <v xml:space="preserve"> - налог на приобретение а/тр, средств</v>
          </cell>
        </row>
        <row r="304">
          <cell r="B304">
            <v>2081310</v>
          </cell>
          <cell r="C304">
            <v>2</v>
          </cell>
          <cell r="D304">
            <v>81310</v>
          </cell>
          <cell r="E304" t="str">
            <v xml:space="preserve"> - налог на реализацию ГСМ</v>
          </cell>
        </row>
        <row r="305">
          <cell r="B305">
            <v>2081311</v>
          </cell>
          <cell r="C305">
            <v>2</v>
          </cell>
          <cell r="D305">
            <v>81311</v>
          </cell>
          <cell r="E305" t="str">
            <v xml:space="preserve"> - налог на добавленную стоимость</v>
          </cell>
        </row>
        <row r="306">
          <cell r="B306">
            <v>2081312</v>
          </cell>
          <cell r="C306">
            <v>2</v>
          </cell>
          <cell r="D306">
            <v>81312</v>
          </cell>
          <cell r="E306" t="str">
            <v xml:space="preserve"> - налог на доходы по дивидендам</v>
          </cell>
        </row>
        <row r="307">
          <cell r="B307">
            <v>2081313</v>
          </cell>
          <cell r="C307">
            <v>2</v>
          </cell>
          <cell r="D307">
            <v>81313</v>
          </cell>
          <cell r="E307" t="str">
            <v xml:space="preserve"> - налог на перепродажу</v>
          </cell>
        </row>
        <row r="308">
          <cell r="B308">
            <v>2000000</v>
          </cell>
          <cell r="C308">
            <v>2</v>
          </cell>
          <cell r="D308">
            <v>0</v>
          </cell>
          <cell r="E308" t="str">
            <v xml:space="preserve">   ИТОГО  (???)</v>
          </cell>
        </row>
        <row r="309">
          <cell r="B309">
            <v>2000814</v>
          </cell>
          <cell r="C309">
            <v>2</v>
          </cell>
          <cell r="D309">
            <v>814</v>
          </cell>
          <cell r="E309" t="str">
            <v>Банковские проценты</v>
          </cell>
        </row>
        <row r="310">
          <cell r="B310">
            <v>2000817</v>
          </cell>
          <cell r="C310">
            <v>2</v>
          </cell>
          <cell r="D310">
            <v>817</v>
          </cell>
          <cell r="E310">
            <v>0</v>
          </cell>
        </row>
        <row r="311">
          <cell r="B311">
            <v>2000818</v>
          </cell>
          <cell r="C311">
            <v>2</v>
          </cell>
          <cell r="D311">
            <v>818</v>
          </cell>
          <cell r="E311" t="str">
            <v>Представительские расходы</v>
          </cell>
        </row>
        <row r="312">
          <cell r="B312">
            <v>2000819</v>
          </cell>
          <cell r="C312">
            <v>2</v>
          </cell>
          <cell r="D312">
            <v>819</v>
          </cell>
          <cell r="E312" t="str">
            <v>Прочие расходы с\с (финансы)</v>
          </cell>
        </row>
        <row r="313">
          <cell r="B313">
            <v>2008191</v>
          </cell>
          <cell r="C313">
            <v>2</v>
          </cell>
          <cell r="D313">
            <v>8191</v>
          </cell>
          <cell r="E313" t="str">
            <v>Конторские, почтово-телеграфные расходы</v>
          </cell>
        </row>
        <row r="314">
          <cell r="B314">
            <v>2008192</v>
          </cell>
          <cell r="C314">
            <v>2</v>
          </cell>
          <cell r="D314">
            <v>8192</v>
          </cell>
          <cell r="E314" t="str">
            <v>Расходы по командировкам</v>
          </cell>
        </row>
        <row r="315">
          <cell r="B315">
            <v>2008194</v>
          </cell>
          <cell r="C315">
            <v>2</v>
          </cell>
          <cell r="D315">
            <v>8194</v>
          </cell>
          <cell r="E315" t="str">
            <v>Затраты по изобретательству и рационализации</v>
          </cell>
        </row>
        <row r="316">
          <cell r="B316">
            <v>2008193</v>
          </cell>
          <cell r="C316">
            <v>2</v>
          </cell>
          <cell r="D316">
            <v>8193</v>
          </cell>
          <cell r="E316" t="str">
            <v>Оплата услуг банка</v>
          </cell>
        </row>
        <row r="317">
          <cell r="B317">
            <v>2008195</v>
          </cell>
          <cell r="C317">
            <v>2</v>
          </cell>
          <cell r="D317">
            <v>8195</v>
          </cell>
          <cell r="E317" t="str">
            <v>Ведение реестра, аудиторские услуги</v>
          </cell>
        </row>
        <row r="318">
          <cell r="B318">
            <v>2008196</v>
          </cell>
          <cell r="C318">
            <v>2</v>
          </cell>
          <cell r="D318">
            <v>8196</v>
          </cell>
          <cell r="E318" t="str">
            <v>Выписка газет и журналов</v>
          </cell>
        </row>
        <row r="319">
          <cell r="B319">
            <v>2081304</v>
          </cell>
          <cell r="C319">
            <v>2</v>
          </cell>
          <cell r="D319">
            <v>81304</v>
          </cell>
          <cell r="E319" t="str">
            <v xml:space="preserve"> - на воспроизводство минерально-сырьевой базы</v>
          </cell>
        </row>
        <row r="320">
          <cell r="B320">
            <v>2081305</v>
          </cell>
          <cell r="C320">
            <v>2</v>
          </cell>
          <cell r="D320">
            <v>81305</v>
          </cell>
          <cell r="E320" t="str">
            <v xml:space="preserve"> - на землю</v>
          </cell>
        </row>
        <row r="321">
          <cell r="B321">
            <v>2081306</v>
          </cell>
          <cell r="C321">
            <v>2</v>
          </cell>
          <cell r="D321">
            <v>81306</v>
          </cell>
          <cell r="E321" t="str">
            <v>Плата за аренду земли</v>
          </cell>
        </row>
        <row r="322">
          <cell r="B322">
            <v>2081307</v>
          </cell>
          <cell r="C322">
            <v>2</v>
          </cell>
          <cell r="D322">
            <v>81307</v>
          </cell>
          <cell r="E322" t="str">
            <v xml:space="preserve"> - за воду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B1:J319"/>
  <sheetViews>
    <sheetView tabSelected="1" zoomScaleNormal="100" zoomScaleSheetLayoutView="85" workbookViewId="0">
      <selection activeCell="C3" sqref="C3:I3"/>
    </sheetView>
  </sheetViews>
  <sheetFormatPr defaultColWidth="8.85546875" defaultRowHeight="12.75" x14ac:dyDescent="0.2"/>
  <cols>
    <col min="1" max="1" width="5" style="3" customWidth="1"/>
    <col min="2" max="2" width="76.7109375" style="1" customWidth="1"/>
    <col min="3" max="3" width="8.85546875" style="2" customWidth="1"/>
    <col min="4" max="4" width="20.7109375" style="2" customWidth="1"/>
    <col min="5" max="6" width="17.5703125" style="2" customWidth="1"/>
    <col min="7" max="7" width="20.7109375" style="2" customWidth="1"/>
    <col min="8" max="9" width="17.5703125" style="2" customWidth="1"/>
    <col min="10" max="10" width="21" style="3" customWidth="1"/>
    <col min="11" max="16384" width="8.85546875" style="3"/>
  </cols>
  <sheetData>
    <row r="1" spans="2:10" ht="12.75" customHeight="1" x14ac:dyDescent="0.2"/>
    <row r="2" spans="2:10" ht="69.95" customHeight="1" x14ac:dyDescent="0.2">
      <c r="F2" s="58" t="s">
        <v>0</v>
      </c>
      <c r="G2" s="58"/>
      <c r="H2" s="58"/>
      <c r="I2" s="58"/>
    </row>
    <row r="3" spans="2:10" ht="36.950000000000003" customHeight="1" x14ac:dyDescent="0.2">
      <c r="B3" s="4" t="s">
        <v>1</v>
      </c>
      <c r="C3" s="59"/>
      <c r="D3" s="59"/>
      <c r="E3" s="59"/>
      <c r="F3" s="59"/>
      <c r="G3" s="59"/>
      <c r="H3" s="59"/>
      <c r="I3" s="59"/>
    </row>
    <row r="4" spans="2:10" ht="36.950000000000003" customHeight="1" x14ac:dyDescent="0.2">
      <c r="B4" s="4" t="s">
        <v>2</v>
      </c>
      <c r="C4" s="60"/>
      <c r="D4" s="60"/>
      <c r="E4" s="60"/>
      <c r="F4" s="60"/>
      <c r="G4" s="60"/>
      <c r="H4" s="60"/>
      <c r="I4" s="60"/>
      <c r="J4" s="5" t="s">
        <v>3</v>
      </c>
    </row>
    <row r="5" spans="2:10" ht="24.95" customHeight="1" x14ac:dyDescent="0.2">
      <c r="I5" s="6" t="s">
        <v>4</v>
      </c>
    </row>
    <row r="6" spans="2:10" ht="33" customHeight="1" x14ac:dyDescent="0.2">
      <c r="B6" s="61" t="s">
        <v>5</v>
      </c>
      <c r="C6" s="63" t="s">
        <v>6</v>
      </c>
      <c r="D6" s="65" t="s">
        <v>7</v>
      </c>
      <c r="E6" s="66"/>
      <c r="F6" s="67"/>
      <c r="G6" s="65" t="s">
        <v>8</v>
      </c>
      <c r="H6" s="66"/>
      <c r="I6" s="67"/>
    </row>
    <row r="7" spans="2:10" ht="47.1" customHeight="1" x14ac:dyDescent="0.2">
      <c r="B7" s="62"/>
      <c r="C7" s="64"/>
      <c r="D7" s="53" t="s">
        <v>9</v>
      </c>
      <c r="E7" s="53" t="s">
        <v>216</v>
      </c>
      <c r="F7" s="53" t="s">
        <v>217</v>
      </c>
      <c r="G7" s="54" t="s">
        <v>9</v>
      </c>
      <c r="H7" s="53" t="s">
        <v>216</v>
      </c>
      <c r="I7" s="53" t="s">
        <v>217</v>
      </c>
    </row>
    <row r="8" spans="2:10" s="9" customFormat="1" ht="21" customHeight="1" x14ac:dyDescent="0.2">
      <c r="B8" s="7">
        <v>1</v>
      </c>
      <c r="C8" s="8">
        <v>2</v>
      </c>
      <c r="D8" s="8" t="s">
        <v>10</v>
      </c>
      <c r="E8" s="8">
        <v>4</v>
      </c>
      <c r="F8" s="8">
        <v>5</v>
      </c>
      <c r="G8" s="8" t="s">
        <v>11</v>
      </c>
      <c r="H8" s="8">
        <v>7</v>
      </c>
      <c r="I8" s="8">
        <v>8</v>
      </c>
    </row>
    <row r="9" spans="2:10" ht="25.35" customHeight="1" x14ac:dyDescent="0.2">
      <c r="B9" s="7" t="s">
        <v>12</v>
      </c>
      <c r="C9" s="8"/>
      <c r="D9" s="8"/>
      <c r="E9" s="8"/>
      <c r="F9" s="8"/>
      <c r="G9" s="8"/>
      <c r="H9" s="8"/>
      <c r="I9" s="8"/>
    </row>
    <row r="10" spans="2:10" ht="34.35" customHeight="1" x14ac:dyDescent="0.2">
      <c r="B10" s="10" t="s">
        <v>13</v>
      </c>
      <c r="C10" s="11"/>
      <c r="D10" s="11"/>
      <c r="E10" s="11"/>
      <c r="F10" s="12"/>
      <c r="G10" s="12"/>
      <c r="H10" s="12"/>
      <c r="I10" s="12"/>
    </row>
    <row r="11" spans="2:10" ht="25.5" x14ac:dyDescent="0.2">
      <c r="B11" s="13" t="s">
        <v>14</v>
      </c>
      <c r="C11" s="11"/>
      <c r="D11" s="11"/>
      <c r="E11" s="11"/>
      <c r="F11" s="12"/>
      <c r="G11" s="12"/>
      <c r="H11" s="12"/>
      <c r="I11" s="12"/>
    </row>
    <row r="12" spans="2:10" ht="25.5" x14ac:dyDescent="0.2">
      <c r="B12" s="14" t="s">
        <v>15</v>
      </c>
      <c r="C12" s="11" t="s">
        <v>16</v>
      </c>
      <c r="D12" s="43">
        <f>+E12+F12</f>
        <v>0</v>
      </c>
      <c r="E12" s="44"/>
      <c r="F12" s="44"/>
      <c r="G12" s="43">
        <f>+H12+I12</f>
        <v>0</v>
      </c>
      <c r="H12" s="44"/>
      <c r="I12" s="44"/>
    </row>
    <row r="13" spans="2:10" ht="25.5" x14ac:dyDescent="0.2">
      <c r="B13" s="14" t="s">
        <v>17</v>
      </c>
      <c r="C13" s="11" t="s">
        <v>18</v>
      </c>
      <c r="D13" s="43">
        <f>+E13+F13</f>
        <v>0</v>
      </c>
      <c r="E13" s="44"/>
      <c r="F13" s="44"/>
      <c r="G13" s="43">
        <f>+H13+I13</f>
        <v>0</v>
      </c>
      <c r="H13" s="44"/>
      <c r="I13" s="44"/>
    </row>
    <row r="14" spans="2:10" ht="25.5" x14ac:dyDescent="0.2">
      <c r="B14" s="14" t="s">
        <v>19</v>
      </c>
      <c r="C14" s="11" t="s">
        <v>20</v>
      </c>
      <c r="D14" s="45">
        <f>+D12-D13</f>
        <v>0</v>
      </c>
      <c r="E14" s="46">
        <f t="shared" ref="E14:I14" si="0">+E12-E13</f>
        <v>0</v>
      </c>
      <c r="F14" s="46">
        <f t="shared" si="0"/>
        <v>0</v>
      </c>
      <c r="G14" s="46">
        <f>+G12-G13</f>
        <v>0</v>
      </c>
      <c r="H14" s="46">
        <f t="shared" si="0"/>
        <v>0</v>
      </c>
      <c r="I14" s="46">
        <f t="shared" si="0"/>
        <v>0</v>
      </c>
    </row>
    <row r="15" spans="2:10" ht="25.5" x14ac:dyDescent="0.2">
      <c r="B15" s="15" t="s">
        <v>21</v>
      </c>
      <c r="C15" s="11"/>
      <c r="D15" s="43"/>
      <c r="E15" s="43"/>
      <c r="F15" s="43"/>
      <c r="G15" s="43"/>
      <c r="H15" s="43"/>
      <c r="I15" s="43"/>
    </row>
    <row r="16" spans="2:10" ht="25.5" x14ac:dyDescent="0.2">
      <c r="B16" s="14" t="s">
        <v>22</v>
      </c>
      <c r="C16" s="11" t="s">
        <v>23</v>
      </c>
      <c r="D16" s="43">
        <f>+E16+F16</f>
        <v>0</v>
      </c>
      <c r="E16" s="44"/>
      <c r="F16" s="44"/>
      <c r="G16" s="43">
        <f>+H16+I16</f>
        <v>0</v>
      </c>
      <c r="H16" s="44"/>
      <c r="I16" s="44"/>
    </row>
    <row r="17" spans="2:9" ht="25.5" x14ac:dyDescent="0.2">
      <c r="B17" s="14" t="s">
        <v>24</v>
      </c>
      <c r="C17" s="11" t="s">
        <v>25</v>
      </c>
      <c r="D17" s="43">
        <f t="shared" ref="D17" si="1">+E17+F17</f>
        <v>0</v>
      </c>
      <c r="E17" s="44"/>
      <c r="F17" s="44"/>
      <c r="G17" s="43">
        <f>+H17+I17</f>
        <v>0</v>
      </c>
      <c r="H17" s="44"/>
      <c r="I17" s="44"/>
    </row>
    <row r="18" spans="2:9" ht="25.5" x14ac:dyDescent="0.2">
      <c r="B18" s="14" t="s">
        <v>26</v>
      </c>
      <c r="C18" s="11" t="s">
        <v>27</v>
      </c>
      <c r="D18" s="47">
        <f>+D16-D17</f>
        <v>0</v>
      </c>
      <c r="E18" s="47">
        <f t="shared" ref="E18:I18" si="2">+E16-E17</f>
        <v>0</v>
      </c>
      <c r="F18" s="47">
        <f t="shared" si="2"/>
        <v>0</v>
      </c>
      <c r="G18" s="47">
        <f>+G16-G17</f>
        <v>0</v>
      </c>
      <c r="H18" s="47">
        <f t="shared" si="2"/>
        <v>0</v>
      </c>
      <c r="I18" s="47">
        <f t="shared" si="2"/>
        <v>0</v>
      </c>
    </row>
    <row r="19" spans="2:9" ht="25.5" x14ac:dyDescent="0.2">
      <c r="B19" s="15" t="s">
        <v>28</v>
      </c>
      <c r="C19" s="16" t="s">
        <v>29</v>
      </c>
      <c r="D19" s="45">
        <f t="shared" ref="D19:I19" si="3">+D20+D30+D36+D42+D49</f>
        <v>0</v>
      </c>
      <c r="E19" s="46">
        <f t="shared" si="3"/>
        <v>0</v>
      </c>
      <c r="F19" s="46">
        <f t="shared" si="3"/>
        <v>0</v>
      </c>
      <c r="G19" s="45">
        <f>+G20+G30+G36+G42+G49</f>
        <v>0</v>
      </c>
      <c r="H19" s="46">
        <f t="shared" si="3"/>
        <v>0</v>
      </c>
      <c r="I19" s="46">
        <f t="shared" si="3"/>
        <v>0</v>
      </c>
    </row>
    <row r="20" spans="2:9" ht="25.5" x14ac:dyDescent="0.2">
      <c r="B20" s="14" t="s">
        <v>30</v>
      </c>
      <c r="C20" s="11" t="s">
        <v>31</v>
      </c>
      <c r="D20" s="43">
        <f>SUM(D22:D29)</f>
        <v>0</v>
      </c>
      <c r="E20" s="47">
        <f>SUM(E22:E29)</f>
        <v>0</v>
      </c>
      <c r="F20" s="47">
        <f>SUM(F22:F29)</f>
        <v>0</v>
      </c>
      <c r="G20" s="43">
        <f>SUM(G22:G29)</f>
        <v>0</v>
      </c>
      <c r="H20" s="47">
        <f>SUM(H22:H29)</f>
        <v>0</v>
      </c>
      <c r="I20" s="47">
        <f>SUM(I22:I29)</f>
        <v>0</v>
      </c>
    </row>
    <row r="21" spans="2:9" ht="25.5" x14ac:dyDescent="0.2">
      <c r="B21" s="14" t="s">
        <v>32</v>
      </c>
      <c r="C21" s="11"/>
      <c r="D21" s="43"/>
      <c r="E21" s="47"/>
      <c r="F21" s="47"/>
      <c r="G21" s="47"/>
      <c r="H21" s="47"/>
      <c r="I21" s="47"/>
    </row>
    <row r="22" spans="2:9" ht="38.25" x14ac:dyDescent="0.2">
      <c r="B22" s="69" t="s">
        <v>48</v>
      </c>
      <c r="C22" s="11"/>
      <c r="D22" s="43">
        <f t="shared" ref="D22:D29" si="4">+E22+F22</f>
        <v>0</v>
      </c>
      <c r="E22" s="44"/>
      <c r="F22" s="44"/>
      <c r="G22" s="47">
        <f>+H22+I22</f>
        <v>0</v>
      </c>
      <c r="H22" s="44"/>
      <c r="I22" s="44"/>
    </row>
    <row r="23" spans="2:9" ht="63.75" x14ac:dyDescent="0.2">
      <c r="B23" s="69" t="s">
        <v>49</v>
      </c>
      <c r="C23" s="11"/>
      <c r="D23" s="43">
        <f t="shared" si="4"/>
        <v>0</v>
      </c>
      <c r="E23" s="44"/>
      <c r="F23" s="44"/>
      <c r="G23" s="47">
        <f>+H23+I23</f>
        <v>0</v>
      </c>
      <c r="H23" s="44"/>
      <c r="I23" s="44"/>
    </row>
    <row r="24" spans="2:9" ht="25.5" x14ac:dyDescent="0.2">
      <c r="B24" s="69" t="s">
        <v>50</v>
      </c>
      <c r="C24" s="11"/>
      <c r="D24" s="43">
        <f t="shared" si="4"/>
        <v>0</v>
      </c>
      <c r="E24" s="44"/>
      <c r="F24" s="44"/>
      <c r="G24" s="47">
        <f>+H24+I24</f>
        <v>0</v>
      </c>
      <c r="H24" s="44"/>
      <c r="I24" s="44"/>
    </row>
    <row r="25" spans="2:9" ht="25.5" x14ac:dyDescent="0.2">
      <c r="B25" s="17" t="s">
        <v>33</v>
      </c>
      <c r="C25" s="11"/>
      <c r="D25" s="43">
        <f t="shared" si="4"/>
        <v>0</v>
      </c>
      <c r="E25" s="44"/>
      <c r="F25" s="44"/>
      <c r="G25" s="43">
        <f>+H25+I25</f>
        <v>0</v>
      </c>
      <c r="H25" s="44"/>
      <c r="I25" s="44"/>
    </row>
    <row r="26" spans="2:9" ht="25.5" x14ac:dyDescent="0.2">
      <c r="B26" s="17" t="s">
        <v>34</v>
      </c>
      <c r="C26" s="11"/>
      <c r="D26" s="43">
        <f t="shared" si="4"/>
        <v>0</v>
      </c>
      <c r="E26" s="44"/>
      <c r="F26" s="44"/>
      <c r="G26" s="43">
        <f>+H26+I26</f>
        <v>0</v>
      </c>
      <c r="H26" s="44"/>
      <c r="I26" s="44"/>
    </row>
    <row r="27" spans="2:9" ht="25.5" x14ac:dyDescent="0.2">
      <c r="B27" s="17" t="s">
        <v>35</v>
      </c>
      <c r="C27" s="11"/>
      <c r="D27" s="43">
        <f t="shared" si="4"/>
        <v>0</v>
      </c>
      <c r="E27" s="44"/>
      <c r="F27" s="44"/>
      <c r="G27" s="43">
        <f>+H27+I27</f>
        <v>0</v>
      </c>
      <c r="H27" s="44"/>
      <c r="I27" s="44"/>
    </row>
    <row r="28" spans="2:9" ht="25.5" x14ac:dyDescent="0.2">
      <c r="B28" s="17" t="s">
        <v>36</v>
      </c>
      <c r="C28" s="11"/>
      <c r="D28" s="43">
        <f t="shared" si="4"/>
        <v>0</v>
      </c>
      <c r="E28" s="44"/>
      <c r="F28" s="44"/>
      <c r="G28" s="43">
        <f>+H28+I28</f>
        <v>0</v>
      </c>
      <c r="H28" s="44"/>
      <c r="I28" s="44"/>
    </row>
    <row r="29" spans="2:9" ht="25.5" x14ac:dyDescent="0.2">
      <c r="B29" s="17" t="s">
        <v>37</v>
      </c>
      <c r="C29" s="11"/>
      <c r="D29" s="43">
        <f t="shared" si="4"/>
        <v>0</v>
      </c>
      <c r="E29" s="44"/>
      <c r="F29" s="44"/>
      <c r="G29" s="43">
        <f t="shared" ref="G29" si="5">+H29+I29</f>
        <v>0</v>
      </c>
      <c r="H29" s="44"/>
      <c r="I29" s="44"/>
    </row>
    <row r="30" spans="2:9" ht="25.5" x14ac:dyDescent="0.2">
      <c r="B30" s="14" t="s">
        <v>38</v>
      </c>
      <c r="C30" s="11" t="s">
        <v>39</v>
      </c>
      <c r="D30" s="43">
        <f>SUM(D32:D35)</f>
        <v>0</v>
      </c>
      <c r="E30" s="47">
        <f t="shared" ref="E30:I30" si="6">SUM(E32:E35)</f>
        <v>0</v>
      </c>
      <c r="F30" s="47">
        <f t="shared" si="6"/>
        <v>0</v>
      </c>
      <c r="G30" s="43">
        <f t="shared" si="6"/>
        <v>0</v>
      </c>
      <c r="H30" s="47">
        <f t="shared" si="6"/>
        <v>0</v>
      </c>
      <c r="I30" s="47">
        <f t="shared" si="6"/>
        <v>0</v>
      </c>
    </row>
    <row r="31" spans="2:9" ht="25.5" x14ac:dyDescent="0.2">
      <c r="B31" s="14" t="s">
        <v>32</v>
      </c>
      <c r="C31" s="11"/>
      <c r="D31" s="43"/>
      <c r="E31" s="47"/>
      <c r="F31" s="47"/>
      <c r="G31" s="47"/>
      <c r="H31" s="47"/>
      <c r="I31" s="47"/>
    </row>
    <row r="32" spans="2:9" ht="25.5" x14ac:dyDescent="0.2">
      <c r="B32" s="17" t="s">
        <v>34</v>
      </c>
      <c r="C32" s="11"/>
      <c r="D32" s="43">
        <f t="shared" ref="D32:D35" si="7">+E32+F32</f>
        <v>0</v>
      </c>
      <c r="E32" s="44"/>
      <c r="F32" s="44"/>
      <c r="G32" s="43">
        <f t="shared" ref="G32:G35" si="8">+H32+I32</f>
        <v>0</v>
      </c>
      <c r="H32" s="44"/>
      <c r="I32" s="44"/>
    </row>
    <row r="33" spans="2:9" ht="25.5" x14ac:dyDescent="0.2">
      <c r="B33" s="17" t="s">
        <v>35</v>
      </c>
      <c r="C33" s="11"/>
      <c r="D33" s="43">
        <f t="shared" si="7"/>
        <v>0</v>
      </c>
      <c r="E33" s="44"/>
      <c r="F33" s="44"/>
      <c r="G33" s="43">
        <f t="shared" si="8"/>
        <v>0</v>
      </c>
      <c r="H33" s="44"/>
      <c r="I33" s="44"/>
    </row>
    <row r="34" spans="2:9" ht="25.5" x14ac:dyDescent="0.2">
      <c r="B34" s="17" t="s">
        <v>36</v>
      </c>
      <c r="C34" s="11"/>
      <c r="D34" s="43">
        <f t="shared" si="7"/>
        <v>0</v>
      </c>
      <c r="E34" s="44"/>
      <c r="F34" s="44"/>
      <c r="G34" s="43">
        <f t="shared" si="8"/>
        <v>0</v>
      </c>
      <c r="H34" s="44"/>
      <c r="I34" s="44"/>
    </row>
    <row r="35" spans="2:9" ht="25.5" x14ac:dyDescent="0.2">
      <c r="B35" s="17" t="s">
        <v>37</v>
      </c>
      <c r="C35" s="11"/>
      <c r="D35" s="43">
        <f t="shared" si="7"/>
        <v>0</v>
      </c>
      <c r="E35" s="44"/>
      <c r="F35" s="44"/>
      <c r="G35" s="43">
        <f t="shared" si="8"/>
        <v>0</v>
      </c>
      <c r="H35" s="44"/>
      <c r="I35" s="44"/>
    </row>
    <row r="36" spans="2:9" ht="25.5" x14ac:dyDescent="0.2">
      <c r="B36" s="14" t="s">
        <v>40</v>
      </c>
      <c r="C36" s="11" t="s">
        <v>41</v>
      </c>
      <c r="D36" s="43">
        <f>SUM(D38:D41)</f>
        <v>0</v>
      </c>
      <c r="E36" s="43">
        <f t="shared" ref="E36:I36" si="9">SUM(E38:E41)</f>
        <v>0</v>
      </c>
      <c r="F36" s="43">
        <f t="shared" si="9"/>
        <v>0</v>
      </c>
      <c r="G36" s="43">
        <f t="shared" si="9"/>
        <v>0</v>
      </c>
      <c r="H36" s="43">
        <f t="shared" si="9"/>
        <v>0</v>
      </c>
      <c r="I36" s="43">
        <f t="shared" si="9"/>
        <v>0</v>
      </c>
    </row>
    <row r="37" spans="2:9" ht="25.5" x14ac:dyDescent="0.2">
      <c r="B37" s="14" t="s">
        <v>32</v>
      </c>
      <c r="C37" s="11"/>
      <c r="D37" s="43"/>
      <c r="E37" s="43"/>
      <c r="F37" s="43"/>
      <c r="G37" s="43"/>
      <c r="H37" s="43"/>
      <c r="I37" s="43"/>
    </row>
    <row r="38" spans="2:9" ht="25.5" x14ac:dyDescent="0.2">
      <c r="B38" s="17" t="s">
        <v>34</v>
      </c>
      <c r="C38" s="11"/>
      <c r="D38" s="43">
        <f>+E38+F38</f>
        <v>0</v>
      </c>
      <c r="E38" s="44"/>
      <c r="F38" s="44"/>
      <c r="G38" s="43">
        <f t="shared" ref="G38:G41" si="10">+H38+I38</f>
        <v>0</v>
      </c>
      <c r="H38" s="44"/>
      <c r="I38" s="44"/>
    </row>
    <row r="39" spans="2:9" ht="25.5" x14ac:dyDescent="0.2">
      <c r="B39" s="17" t="s">
        <v>35</v>
      </c>
      <c r="C39" s="11"/>
      <c r="D39" s="43">
        <f t="shared" ref="D39:D41" si="11">+E39+F39</f>
        <v>0</v>
      </c>
      <c r="E39" s="44"/>
      <c r="F39" s="44"/>
      <c r="G39" s="43">
        <f t="shared" si="10"/>
        <v>0</v>
      </c>
      <c r="H39" s="44"/>
      <c r="I39" s="44"/>
    </row>
    <row r="40" spans="2:9" ht="25.5" x14ac:dyDescent="0.2">
      <c r="B40" s="17" t="s">
        <v>36</v>
      </c>
      <c r="C40" s="11"/>
      <c r="D40" s="43">
        <f t="shared" si="11"/>
        <v>0</v>
      </c>
      <c r="E40" s="44"/>
      <c r="F40" s="44"/>
      <c r="G40" s="43">
        <f t="shared" si="10"/>
        <v>0</v>
      </c>
      <c r="H40" s="44"/>
      <c r="I40" s="44"/>
    </row>
    <row r="41" spans="2:9" ht="25.5" x14ac:dyDescent="0.2">
      <c r="B41" s="17" t="s">
        <v>37</v>
      </c>
      <c r="C41" s="11"/>
      <c r="D41" s="43">
        <f t="shared" si="11"/>
        <v>0</v>
      </c>
      <c r="E41" s="44"/>
      <c r="F41" s="44"/>
      <c r="G41" s="43">
        <f t="shared" si="10"/>
        <v>0</v>
      </c>
      <c r="H41" s="44"/>
      <c r="I41" s="44"/>
    </row>
    <row r="42" spans="2:9" ht="25.5" x14ac:dyDescent="0.2">
      <c r="B42" s="14" t="s">
        <v>42</v>
      </c>
      <c r="C42" s="11" t="s">
        <v>43</v>
      </c>
      <c r="D42" s="43">
        <f>SUM(D44:D48)</f>
        <v>0</v>
      </c>
      <c r="E42" s="43">
        <f t="shared" ref="E42:I42" si="12">SUM(E44:E48)</f>
        <v>0</v>
      </c>
      <c r="F42" s="43">
        <f t="shared" si="12"/>
        <v>0</v>
      </c>
      <c r="G42" s="43">
        <f t="shared" si="12"/>
        <v>0</v>
      </c>
      <c r="H42" s="43">
        <f t="shared" si="12"/>
        <v>0</v>
      </c>
      <c r="I42" s="43">
        <f t="shared" si="12"/>
        <v>0</v>
      </c>
    </row>
    <row r="43" spans="2:9" ht="25.5" x14ac:dyDescent="0.2">
      <c r="B43" s="14" t="s">
        <v>32</v>
      </c>
      <c r="C43" s="11"/>
      <c r="D43" s="43"/>
      <c r="E43" s="43"/>
      <c r="F43" s="43"/>
      <c r="G43" s="43"/>
      <c r="H43" s="43"/>
      <c r="I43" s="43"/>
    </row>
    <row r="44" spans="2:9" ht="25.5" x14ac:dyDescent="0.2">
      <c r="B44" s="17" t="s">
        <v>33</v>
      </c>
      <c r="C44" s="11"/>
      <c r="D44" s="43">
        <f t="shared" ref="D44:D48" si="13">+E44+F44</f>
        <v>0</v>
      </c>
      <c r="E44" s="44"/>
      <c r="F44" s="44"/>
      <c r="G44" s="43">
        <f t="shared" ref="G44:G48" si="14">+H44+I44</f>
        <v>0</v>
      </c>
      <c r="H44" s="44"/>
      <c r="I44" s="44"/>
    </row>
    <row r="45" spans="2:9" ht="25.5" x14ac:dyDescent="0.2">
      <c r="B45" s="17" t="s">
        <v>34</v>
      </c>
      <c r="C45" s="11"/>
      <c r="D45" s="43">
        <f t="shared" si="13"/>
        <v>0</v>
      </c>
      <c r="E45" s="44"/>
      <c r="F45" s="44"/>
      <c r="G45" s="43">
        <f t="shared" si="14"/>
        <v>0</v>
      </c>
      <c r="H45" s="44"/>
      <c r="I45" s="44"/>
    </row>
    <row r="46" spans="2:9" ht="25.5" x14ac:dyDescent="0.2">
      <c r="B46" s="17" t="s">
        <v>35</v>
      </c>
      <c r="C46" s="11"/>
      <c r="D46" s="43">
        <f t="shared" si="13"/>
        <v>0</v>
      </c>
      <c r="E46" s="44"/>
      <c r="F46" s="44"/>
      <c r="G46" s="43">
        <f t="shared" si="14"/>
        <v>0</v>
      </c>
      <c r="H46" s="44"/>
      <c r="I46" s="44"/>
    </row>
    <row r="47" spans="2:9" ht="25.5" x14ac:dyDescent="0.2">
      <c r="B47" s="17" t="s">
        <v>36</v>
      </c>
      <c r="C47" s="11"/>
      <c r="D47" s="43">
        <f t="shared" si="13"/>
        <v>0</v>
      </c>
      <c r="E47" s="44"/>
      <c r="F47" s="44"/>
      <c r="G47" s="43">
        <f t="shared" si="14"/>
        <v>0</v>
      </c>
      <c r="H47" s="44"/>
      <c r="I47" s="44"/>
    </row>
    <row r="48" spans="2:9" ht="25.5" x14ac:dyDescent="0.2">
      <c r="B48" s="17" t="s">
        <v>37</v>
      </c>
      <c r="C48" s="11"/>
      <c r="D48" s="43">
        <f t="shared" si="13"/>
        <v>0</v>
      </c>
      <c r="E48" s="44"/>
      <c r="F48" s="44"/>
      <c r="G48" s="43">
        <f t="shared" si="14"/>
        <v>0</v>
      </c>
      <c r="H48" s="44"/>
      <c r="I48" s="44"/>
    </row>
    <row r="49" spans="2:9" ht="25.5" x14ac:dyDescent="0.2">
      <c r="B49" s="14" t="s">
        <v>44</v>
      </c>
      <c r="C49" s="11" t="s">
        <v>45</v>
      </c>
      <c r="D49" s="43">
        <f>+D51+D54+D63</f>
        <v>0</v>
      </c>
      <c r="E49" s="43">
        <f>+E51+E54+E63</f>
        <v>0</v>
      </c>
      <c r="F49" s="43">
        <f>+F51+F54+F63</f>
        <v>0</v>
      </c>
      <c r="G49" s="43">
        <f>+G51+G54+G63</f>
        <v>0</v>
      </c>
      <c r="H49" s="43">
        <f>+H51+H54+H63</f>
        <v>0</v>
      </c>
      <c r="I49" s="43">
        <f>+I51+I54+I63</f>
        <v>0</v>
      </c>
    </row>
    <row r="50" spans="2:9" ht="25.5" x14ac:dyDescent="0.2">
      <c r="B50" s="14" t="s">
        <v>32</v>
      </c>
      <c r="C50" s="11"/>
      <c r="D50" s="43"/>
      <c r="E50" s="43"/>
      <c r="F50" s="43"/>
      <c r="G50" s="43"/>
      <c r="H50" s="43"/>
      <c r="I50" s="43"/>
    </row>
    <row r="51" spans="2:9" ht="25.5" x14ac:dyDescent="0.2">
      <c r="B51" s="18" t="s">
        <v>46</v>
      </c>
      <c r="C51" s="11"/>
      <c r="D51" s="43">
        <f>+D52+D53</f>
        <v>0</v>
      </c>
      <c r="E51" s="43">
        <f t="shared" ref="E51:I51" si="15">+E52+E53</f>
        <v>0</v>
      </c>
      <c r="F51" s="43">
        <f t="shared" si="15"/>
        <v>0</v>
      </c>
      <c r="G51" s="43">
        <f t="shared" si="15"/>
        <v>0</v>
      </c>
      <c r="H51" s="43">
        <f t="shared" si="15"/>
        <v>0</v>
      </c>
      <c r="I51" s="43">
        <f t="shared" si="15"/>
        <v>0</v>
      </c>
    </row>
    <row r="52" spans="2:9" ht="25.5" x14ac:dyDescent="0.2">
      <c r="B52" s="19" t="s">
        <v>33</v>
      </c>
      <c r="C52" s="11"/>
      <c r="D52" s="43">
        <f t="shared" ref="D52:D71" si="16">+E52+F52</f>
        <v>0</v>
      </c>
      <c r="E52" s="44"/>
      <c r="F52" s="44"/>
      <c r="G52" s="43">
        <f t="shared" ref="G52:G53" si="17">+H52+I52</f>
        <v>0</v>
      </c>
      <c r="H52" s="44"/>
      <c r="I52" s="44"/>
    </row>
    <row r="53" spans="2:9" ht="25.5" x14ac:dyDescent="0.2">
      <c r="B53" s="19" t="s">
        <v>37</v>
      </c>
      <c r="C53" s="11"/>
      <c r="D53" s="43">
        <f t="shared" si="16"/>
        <v>0</v>
      </c>
      <c r="E53" s="44"/>
      <c r="F53" s="44"/>
      <c r="G53" s="43">
        <f t="shared" si="17"/>
        <v>0</v>
      </c>
      <c r="H53" s="44"/>
      <c r="I53" s="44"/>
    </row>
    <row r="54" spans="2:9" s="22" customFormat="1" ht="25.5" x14ac:dyDescent="0.2">
      <c r="B54" s="20" t="s">
        <v>47</v>
      </c>
      <c r="C54" s="21"/>
      <c r="D54" s="43">
        <f>SUM(D55:D62)</f>
        <v>0</v>
      </c>
      <c r="E54" s="43">
        <f t="shared" ref="E54:I54" si="18">SUM(E55:E62)</f>
        <v>0</v>
      </c>
      <c r="F54" s="43">
        <f t="shared" si="18"/>
        <v>0</v>
      </c>
      <c r="G54" s="43">
        <f t="shared" si="18"/>
        <v>0</v>
      </c>
      <c r="H54" s="43">
        <f t="shared" si="18"/>
        <v>0</v>
      </c>
      <c r="I54" s="43">
        <f t="shared" si="18"/>
        <v>0</v>
      </c>
    </row>
    <row r="55" spans="2:9" s="22" customFormat="1" ht="51" x14ac:dyDescent="0.2">
      <c r="B55" s="23" t="s">
        <v>48</v>
      </c>
      <c r="C55" s="21"/>
      <c r="D55" s="48">
        <f t="shared" si="16"/>
        <v>0</v>
      </c>
      <c r="E55" s="49"/>
      <c r="F55" s="49"/>
      <c r="G55" s="50">
        <f t="shared" ref="G55:G62" si="19">+H55+I55</f>
        <v>0</v>
      </c>
      <c r="H55" s="49"/>
      <c r="I55" s="49"/>
    </row>
    <row r="56" spans="2:9" s="22" customFormat="1" ht="63.75" x14ac:dyDescent="0.2">
      <c r="B56" s="23" t="s">
        <v>49</v>
      </c>
      <c r="C56" s="21"/>
      <c r="D56" s="48">
        <f t="shared" si="16"/>
        <v>0</v>
      </c>
      <c r="E56" s="49"/>
      <c r="F56" s="49"/>
      <c r="G56" s="50">
        <f t="shared" si="19"/>
        <v>0</v>
      </c>
      <c r="H56" s="49"/>
      <c r="I56" s="49"/>
    </row>
    <row r="57" spans="2:9" s="22" customFormat="1" ht="25.5" x14ac:dyDescent="0.2">
      <c r="B57" s="23" t="s">
        <v>50</v>
      </c>
      <c r="C57" s="21"/>
      <c r="D57" s="48">
        <f t="shared" si="16"/>
        <v>0</v>
      </c>
      <c r="E57" s="49"/>
      <c r="F57" s="49"/>
      <c r="G57" s="50">
        <f t="shared" si="19"/>
        <v>0</v>
      </c>
      <c r="H57" s="49"/>
      <c r="I57" s="49"/>
    </row>
    <row r="58" spans="2:9" s="22" customFormat="1" ht="25.5" x14ac:dyDescent="0.2">
      <c r="B58" s="23" t="s">
        <v>33</v>
      </c>
      <c r="C58" s="21"/>
      <c r="D58" s="48">
        <f t="shared" si="16"/>
        <v>0</v>
      </c>
      <c r="E58" s="49"/>
      <c r="F58" s="49"/>
      <c r="G58" s="50">
        <f t="shared" si="19"/>
        <v>0</v>
      </c>
      <c r="H58" s="49"/>
      <c r="I58" s="49"/>
    </row>
    <row r="59" spans="2:9" s="22" customFormat="1" ht="25.5" x14ac:dyDescent="0.2">
      <c r="B59" s="23" t="s">
        <v>34</v>
      </c>
      <c r="C59" s="21"/>
      <c r="D59" s="48">
        <f t="shared" si="16"/>
        <v>0</v>
      </c>
      <c r="E59" s="49"/>
      <c r="F59" s="49"/>
      <c r="G59" s="50">
        <f t="shared" si="19"/>
        <v>0</v>
      </c>
      <c r="H59" s="49"/>
      <c r="I59" s="49"/>
    </row>
    <row r="60" spans="2:9" s="22" customFormat="1" ht="25.5" x14ac:dyDescent="0.2">
      <c r="B60" s="23" t="s">
        <v>35</v>
      </c>
      <c r="C60" s="21"/>
      <c r="D60" s="48">
        <f t="shared" si="16"/>
        <v>0</v>
      </c>
      <c r="E60" s="49"/>
      <c r="F60" s="49"/>
      <c r="G60" s="50">
        <f t="shared" si="19"/>
        <v>0</v>
      </c>
      <c r="H60" s="49"/>
      <c r="I60" s="49"/>
    </row>
    <row r="61" spans="2:9" s="22" customFormat="1" ht="25.5" x14ac:dyDescent="0.2">
      <c r="B61" s="23" t="s">
        <v>36</v>
      </c>
      <c r="C61" s="21"/>
      <c r="D61" s="48">
        <f t="shared" si="16"/>
        <v>0</v>
      </c>
      <c r="E61" s="49"/>
      <c r="F61" s="49"/>
      <c r="G61" s="50">
        <f t="shared" si="19"/>
        <v>0</v>
      </c>
      <c r="H61" s="49"/>
      <c r="I61" s="49"/>
    </row>
    <row r="62" spans="2:9" s="22" customFormat="1" ht="25.5" x14ac:dyDescent="0.2">
      <c r="B62" s="23" t="s">
        <v>37</v>
      </c>
      <c r="C62" s="21"/>
      <c r="D62" s="48">
        <f t="shared" si="16"/>
        <v>0</v>
      </c>
      <c r="E62" s="49"/>
      <c r="F62" s="49"/>
      <c r="G62" s="50">
        <f t="shared" si="19"/>
        <v>0</v>
      </c>
      <c r="H62" s="49"/>
      <c r="I62" s="49"/>
    </row>
    <row r="63" spans="2:9" ht="25.5" x14ac:dyDescent="0.2">
      <c r="B63" s="18" t="s">
        <v>51</v>
      </c>
      <c r="C63" s="11"/>
      <c r="D63" s="43">
        <f>SUM(D64:D71)</f>
        <v>0</v>
      </c>
      <c r="E63" s="43">
        <f t="shared" ref="E63:I63" si="20">SUM(E64:E71)</f>
        <v>0</v>
      </c>
      <c r="F63" s="43">
        <f t="shared" si="20"/>
        <v>0</v>
      </c>
      <c r="G63" s="43">
        <f t="shared" si="20"/>
        <v>0</v>
      </c>
      <c r="H63" s="43">
        <f t="shared" si="20"/>
        <v>0</v>
      </c>
      <c r="I63" s="43">
        <f t="shared" si="20"/>
        <v>0</v>
      </c>
    </row>
    <row r="64" spans="2:9" ht="51" x14ac:dyDescent="0.2">
      <c r="B64" s="19" t="s">
        <v>48</v>
      </c>
      <c r="C64" s="11"/>
      <c r="D64" s="43">
        <f t="shared" si="16"/>
        <v>0</v>
      </c>
      <c r="E64" s="44"/>
      <c r="F64" s="44"/>
      <c r="G64" s="43">
        <f t="shared" ref="G64:G73" si="21">+H64+I64</f>
        <v>0</v>
      </c>
      <c r="H64" s="44"/>
      <c r="I64" s="44"/>
    </row>
    <row r="65" spans="2:9" ht="63.75" x14ac:dyDescent="0.2">
      <c r="B65" s="19" t="s">
        <v>49</v>
      </c>
      <c r="C65" s="11"/>
      <c r="D65" s="43">
        <f t="shared" si="16"/>
        <v>0</v>
      </c>
      <c r="E65" s="44"/>
      <c r="F65" s="44"/>
      <c r="G65" s="43">
        <f t="shared" si="21"/>
        <v>0</v>
      </c>
      <c r="H65" s="44"/>
      <c r="I65" s="44"/>
    </row>
    <row r="66" spans="2:9" ht="25.5" x14ac:dyDescent="0.2">
      <c r="B66" s="19" t="s">
        <v>50</v>
      </c>
      <c r="C66" s="11"/>
      <c r="D66" s="43">
        <f t="shared" si="16"/>
        <v>0</v>
      </c>
      <c r="E66" s="44"/>
      <c r="F66" s="44"/>
      <c r="G66" s="43">
        <f t="shared" si="21"/>
        <v>0</v>
      </c>
      <c r="H66" s="44"/>
      <c r="I66" s="44"/>
    </row>
    <row r="67" spans="2:9" ht="25.5" x14ac:dyDescent="0.2">
      <c r="B67" s="19" t="s">
        <v>33</v>
      </c>
      <c r="C67" s="11"/>
      <c r="D67" s="43">
        <f t="shared" si="16"/>
        <v>0</v>
      </c>
      <c r="E67" s="44"/>
      <c r="F67" s="44"/>
      <c r="G67" s="43">
        <f t="shared" si="21"/>
        <v>0</v>
      </c>
      <c r="H67" s="44"/>
      <c r="I67" s="44"/>
    </row>
    <row r="68" spans="2:9" ht="25.5" x14ac:dyDescent="0.2">
      <c r="B68" s="19" t="s">
        <v>34</v>
      </c>
      <c r="C68" s="11"/>
      <c r="D68" s="43">
        <f t="shared" si="16"/>
        <v>0</v>
      </c>
      <c r="E68" s="44"/>
      <c r="F68" s="44"/>
      <c r="G68" s="43">
        <f t="shared" si="21"/>
        <v>0</v>
      </c>
      <c r="H68" s="44"/>
      <c r="I68" s="44"/>
    </row>
    <row r="69" spans="2:9" ht="25.5" x14ac:dyDescent="0.2">
      <c r="B69" s="19" t="s">
        <v>35</v>
      </c>
      <c r="C69" s="11"/>
      <c r="D69" s="43">
        <f t="shared" si="16"/>
        <v>0</v>
      </c>
      <c r="E69" s="44"/>
      <c r="F69" s="44"/>
      <c r="G69" s="43">
        <f t="shared" si="21"/>
        <v>0</v>
      </c>
      <c r="H69" s="44"/>
      <c r="I69" s="44"/>
    </row>
    <row r="70" spans="2:9" ht="25.5" x14ac:dyDescent="0.2">
      <c r="B70" s="19" t="s">
        <v>36</v>
      </c>
      <c r="C70" s="11"/>
      <c r="D70" s="43">
        <f t="shared" si="16"/>
        <v>0</v>
      </c>
      <c r="E70" s="44"/>
      <c r="F70" s="44"/>
      <c r="G70" s="43">
        <f t="shared" si="21"/>
        <v>0</v>
      </c>
      <c r="H70" s="44"/>
      <c r="I70" s="44"/>
    </row>
    <row r="71" spans="2:9" ht="25.5" x14ac:dyDescent="0.2">
      <c r="B71" s="19" t="s">
        <v>37</v>
      </c>
      <c r="C71" s="11"/>
      <c r="D71" s="43">
        <f t="shared" si="16"/>
        <v>0</v>
      </c>
      <c r="E71" s="44"/>
      <c r="F71" s="44"/>
      <c r="G71" s="43">
        <f t="shared" si="21"/>
        <v>0</v>
      </c>
      <c r="H71" s="44"/>
      <c r="I71" s="44"/>
    </row>
    <row r="72" spans="2:9" ht="25.5" x14ac:dyDescent="0.2">
      <c r="B72" s="14" t="s">
        <v>52</v>
      </c>
      <c r="C72" s="11" t="s">
        <v>53</v>
      </c>
      <c r="D72" s="43">
        <f>+E72+F72</f>
        <v>0</v>
      </c>
      <c r="E72" s="44"/>
      <c r="F72" s="44"/>
      <c r="G72" s="43">
        <f t="shared" si="21"/>
        <v>0</v>
      </c>
      <c r="H72" s="44"/>
      <c r="I72" s="44"/>
    </row>
    <row r="73" spans="2:9" ht="25.5" x14ac:dyDescent="0.2">
      <c r="B73" s="14" t="s">
        <v>54</v>
      </c>
      <c r="C73" s="11" t="s">
        <v>55</v>
      </c>
      <c r="D73" s="43">
        <f>+E73+F73</f>
        <v>0</v>
      </c>
      <c r="E73" s="44"/>
      <c r="F73" s="44"/>
      <c r="G73" s="43">
        <f t="shared" si="21"/>
        <v>0</v>
      </c>
      <c r="H73" s="44"/>
      <c r="I73" s="44"/>
    </row>
    <row r="74" spans="2:9" ht="25.5" x14ac:dyDescent="0.2">
      <c r="B74" s="14" t="s">
        <v>56</v>
      </c>
      <c r="C74" s="11" t="s">
        <v>57</v>
      </c>
      <c r="D74" s="43">
        <f>SUM(D76:D84)</f>
        <v>0</v>
      </c>
      <c r="E74" s="47">
        <f t="shared" ref="E74:I74" si="22">SUM(E76:E84)</f>
        <v>0</v>
      </c>
      <c r="F74" s="47">
        <f t="shared" si="22"/>
        <v>0</v>
      </c>
      <c r="G74" s="43">
        <f t="shared" si="22"/>
        <v>0</v>
      </c>
      <c r="H74" s="47">
        <f t="shared" si="22"/>
        <v>0</v>
      </c>
      <c r="I74" s="47">
        <f t="shared" si="22"/>
        <v>0</v>
      </c>
    </row>
    <row r="75" spans="2:9" ht="25.5" x14ac:dyDescent="0.2">
      <c r="B75" s="14" t="s">
        <v>32</v>
      </c>
      <c r="C75" s="11"/>
      <c r="D75" s="43"/>
      <c r="E75" s="43"/>
      <c r="F75" s="43"/>
      <c r="G75" s="43"/>
      <c r="H75" s="43"/>
      <c r="I75" s="43"/>
    </row>
    <row r="76" spans="2:9" ht="38.25" x14ac:dyDescent="0.2">
      <c r="B76" s="17" t="s">
        <v>48</v>
      </c>
      <c r="C76" s="11"/>
      <c r="D76" s="43">
        <f t="shared" ref="D76:D85" si="23">+E76+F76</f>
        <v>0</v>
      </c>
      <c r="E76" s="44"/>
      <c r="F76" s="44"/>
      <c r="G76" s="43">
        <f t="shared" ref="G76:G85" si="24">+H76+I76</f>
        <v>0</v>
      </c>
      <c r="H76" s="44"/>
      <c r="I76" s="44"/>
    </row>
    <row r="77" spans="2:9" ht="63.75" x14ac:dyDescent="0.2">
      <c r="B77" s="17" t="s">
        <v>49</v>
      </c>
      <c r="C77" s="11"/>
      <c r="D77" s="43">
        <f t="shared" si="23"/>
        <v>0</v>
      </c>
      <c r="E77" s="44"/>
      <c r="F77" s="44"/>
      <c r="G77" s="43">
        <f t="shared" si="24"/>
        <v>0</v>
      </c>
      <c r="H77" s="44"/>
      <c r="I77" s="44"/>
    </row>
    <row r="78" spans="2:9" ht="25.5" x14ac:dyDescent="0.2">
      <c r="B78" s="17" t="s">
        <v>50</v>
      </c>
      <c r="C78" s="11"/>
      <c r="D78" s="43">
        <f t="shared" si="23"/>
        <v>0</v>
      </c>
      <c r="E78" s="44"/>
      <c r="F78" s="44"/>
      <c r="G78" s="43">
        <f t="shared" si="24"/>
        <v>0</v>
      </c>
      <c r="H78" s="44"/>
      <c r="I78" s="44"/>
    </row>
    <row r="79" spans="2:9" ht="25.5" x14ac:dyDescent="0.2">
      <c r="B79" s="17" t="s">
        <v>33</v>
      </c>
      <c r="C79" s="11"/>
      <c r="D79" s="43">
        <f t="shared" si="23"/>
        <v>0</v>
      </c>
      <c r="E79" s="44"/>
      <c r="F79" s="44"/>
      <c r="G79" s="43">
        <f t="shared" si="24"/>
        <v>0</v>
      </c>
      <c r="H79" s="44"/>
      <c r="I79" s="44"/>
    </row>
    <row r="80" spans="2:9" ht="25.5" x14ac:dyDescent="0.2">
      <c r="B80" s="17" t="s">
        <v>34</v>
      </c>
      <c r="C80" s="11"/>
      <c r="D80" s="43">
        <f t="shared" si="23"/>
        <v>0</v>
      </c>
      <c r="E80" s="44"/>
      <c r="F80" s="44"/>
      <c r="G80" s="43">
        <f t="shared" si="24"/>
        <v>0</v>
      </c>
      <c r="H80" s="44"/>
      <c r="I80" s="44"/>
    </row>
    <row r="81" spans="2:9" ht="25.5" x14ac:dyDescent="0.2">
      <c r="B81" s="17" t="s">
        <v>35</v>
      </c>
      <c r="C81" s="11"/>
      <c r="D81" s="43">
        <f t="shared" si="23"/>
        <v>0</v>
      </c>
      <c r="E81" s="44"/>
      <c r="F81" s="44"/>
      <c r="G81" s="43">
        <f t="shared" si="24"/>
        <v>0</v>
      </c>
      <c r="H81" s="44"/>
      <c r="I81" s="44"/>
    </row>
    <row r="82" spans="2:9" ht="25.5" x14ac:dyDescent="0.2">
      <c r="B82" s="17" t="s">
        <v>36</v>
      </c>
      <c r="C82" s="11"/>
      <c r="D82" s="43">
        <f t="shared" si="23"/>
        <v>0</v>
      </c>
      <c r="E82" s="44"/>
      <c r="F82" s="44"/>
      <c r="G82" s="43">
        <f t="shared" si="24"/>
        <v>0</v>
      </c>
      <c r="H82" s="44"/>
      <c r="I82" s="44"/>
    </row>
    <row r="83" spans="2:9" ht="25.5" x14ac:dyDescent="0.2">
      <c r="B83" s="17" t="s">
        <v>58</v>
      </c>
      <c r="C83" s="11"/>
      <c r="D83" s="43">
        <f t="shared" si="23"/>
        <v>0</v>
      </c>
      <c r="E83" s="44"/>
      <c r="F83" s="44"/>
      <c r="G83" s="43">
        <f t="shared" si="24"/>
        <v>0</v>
      </c>
      <c r="H83" s="44"/>
      <c r="I83" s="44"/>
    </row>
    <row r="84" spans="2:9" ht="25.5" x14ac:dyDescent="0.2">
      <c r="B84" s="17" t="s">
        <v>37</v>
      </c>
      <c r="C84" s="11"/>
      <c r="D84" s="43">
        <f t="shared" si="23"/>
        <v>0</v>
      </c>
      <c r="E84" s="44"/>
      <c r="F84" s="44"/>
      <c r="G84" s="43">
        <f t="shared" si="24"/>
        <v>0</v>
      </c>
      <c r="H84" s="44"/>
      <c r="I84" s="44"/>
    </row>
    <row r="85" spans="2:9" ht="25.5" x14ac:dyDescent="0.2">
      <c r="B85" s="14" t="s">
        <v>59</v>
      </c>
      <c r="C85" s="11" t="s">
        <v>60</v>
      </c>
      <c r="D85" s="43">
        <f t="shared" si="23"/>
        <v>0</v>
      </c>
      <c r="E85" s="44"/>
      <c r="F85" s="44"/>
      <c r="G85" s="43">
        <f t="shared" si="24"/>
        <v>0</v>
      </c>
      <c r="H85" s="44"/>
      <c r="I85" s="44"/>
    </row>
    <row r="86" spans="2:9" ht="25.5" x14ac:dyDescent="0.2">
      <c r="B86" s="14" t="s">
        <v>61</v>
      </c>
      <c r="C86" s="11" t="s">
        <v>62</v>
      </c>
      <c r="D86" s="45">
        <f>+D14+D18+D19+D72+D73+D74+D85</f>
        <v>0</v>
      </c>
      <c r="E86" s="46">
        <f>+E14+E18+E19+E72+E73+E74+E85</f>
        <v>0</v>
      </c>
      <c r="F86" s="46">
        <f>+F14+F18+F19+F72+F73+F74+F85</f>
        <v>0</v>
      </c>
      <c r="G86" s="45">
        <f>+G14+G18+G19+G72+G73+G74+G85</f>
        <v>0</v>
      </c>
      <c r="H86" s="46">
        <f>+H14+H18+H19+H72+H73+H74+H85</f>
        <v>0</v>
      </c>
      <c r="I86" s="46">
        <f>+I14+I18+I19+I72+I73+I74+I85</f>
        <v>0</v>
      </c>
    </row>
    <row r="87" spans="2:9" ht="25.5" x14ac:dyDescent="0.2">
      <c r="B87" s="24" t="s">
        <v>63</v>
      </c>
      <c r="C87" s="11"/>
      <c r="D87" s="43"/>
      <c r="E87" s="43"/>
      <c r="F87" s="43"/>
      <c r="G87" s="43"/>
      <c r="H87" s="43"/>
      <c r="I87" s="43"/>
    </row>
    <row r="88" spans="2:9" ht="25.5" x14ac:dyDescent="0.2">
      <c r="B88" s="14" t="s">
        <v>64</v>
      </c>
      <c r="C88" s="11" t="s">
        <v>65</v>
      </c>
      <c r="D88" s="45">
        <f>+D89+D90+D91+D92</f>
        <v>0</v>
      </c>
      <c r="E88" s="45">
        <f t="shared" ref="E88:I88" si="25">+E89+E90+E91+E92</f>
        <v>0</v>
      </c>
      <c r="F88" s="45">
        <f t="shared" si="25"/>
        <v>0</v>
      </c>
      <c r="G88" s="45">
        <f t="shared" si="25"/>
        <v>0</v>
      </c>
      <c r="H88" s="45">
        <f t="shared" si="25"/>
        <v>0</v>
      </c>
      <c r="I88" s="45">
        <f t="shared" si="25"/>
        <v>0</v>
      </c>
    </row>
    <row r="89" spans="2:9" ht="25.5" x14ac:dyDescent="0.2">
      <c r="B89" s="14" t="s">
        <v>66</v>
      </c>
      <c r="C89" s="11" t="s">
        <v>67</v>
      </c>
      <c r="D89" s="43">
        <f t="shared" ref="D89:D94" si="26">+E89+F89</f>
        <v>0</v>
      </c>
      <c r="E89" s="44"/>
      <c r="F89" s="44"/>
      <c r="G89" s="43">
        <f t="shared" ref="G89:G94" si="27">+H89+I89</f>
        <v>0</v>
      </c>
      <c r="H89" s="44"/>
      <c r="I89" s="44"/>
    </row>
    <row r="90" spans="2:9" ht="25.5" x14ac:dyDescent="0.2">
      <c r="B90" s="14" t="s">
        <v>68</v>
      </c>
      <c r="C90" s="11" t="s">
        <v>69</v>
      </c>
      <c r="D90" s="43">
        <f t="shared" si="26"/>
        <v>0</v>
      </c>
      <c r="E90" s="44"/>
      <c r="F90" s="44"/>
      <c r="G90" s="43">
        <f t="shared" si="27"/>
        <v>0</v>
      </c>
      <c r="H90" s="44"/>
      <c r="I90" s="44"/>
    </row>
    <row r="91" spans="2:9" ht="25.5" x14ac:dyDescent="0.2">
      <c r="B91" s="14" t="s">
        <v>70</v>
      </c>
      <c r="C91" s="11" t="s">
        <v>71</v>
      </c>
      <c r="D91" s="43">
        <f t="shared" si="26"/>
        <v>0</v>
      </c>
      <c r="E91" s="44"/>
      <c r="F91" s="44"/>
      <c r="G91" s="43">
        <f t="shared" si="27"/>
        <v>0</v>
      </c>
      <c r="H91" s="44"/>
      <c r="I91" s="44"/>
    </row>
    <row r="92" spans="2:9" ht="25.5" x14ac:dyDescent="0.2">
      <c r="B92" s="14" t="s">
        <v>72</v>
      </c>
      <c r="C92" s="11" t="s">
        <v>73</v>
      </c>
      <c r="D92" s="43">
        <f t="shared" si="26"/>
        <v>0</v>
      </c>
      <c r="E92" s="44"/>
      <c r="F92" s="44"/>
      <c r="G92" s="43">
        <f t="shared" si="27"/>
        <v>0</v>
      </c>
      <c r="H92" s="44"/>
      <c r="I92" s="44"/>
    </row>
    <row r="93" spans="2:9" ht="25.5" x14ac:dyDescent="0.2">
      <c r="B93" s="14" t="s">
        <v>74</v>
      </c>
      <c r="C93" s="11" t="s">
        <v>75</v>
      </c>
      <c r="D93" s="43">
        <f t="shared" si="26"/>
        <v>0</v>
      </c>
      <c r="E93" s="44"/>
      <c r="F93" s="44"/>
      <c r="G93" s="43">
        <f t="shared" si="27"/>
        <v>0</v>
      </c>
      <c r="H93" s="44"/>
      <c r="I93" s="44"/>
    </row>
    <row r="94" spans="2:9" ht="25.5" x14ac:dyDescent="0.2">
      <c r="B94" s="14" t="s">
        <v>76</v>
      </c>
      <c r="C94" s="11" t="s">
        <v>77</v>
      </c>
      <c r="D94" s="43">
        <f t="shared" si="26"/>
        <v>0</v>
      </c>
      <c r="E94" s="44"/>
      <c r="F94" s="44"/>
      <c r="G94" s="43">
        <f t="shared" si="27"/>
        <v>0</v>
      </c>
      <c r="H94" s="44"/>
      <c r="I94" s="44"/>
    </row>
    <row r="95" spans="2:9" ht="25.5" x14ac:dyDescent="0.2">
      <c r="B95" s="14" t="s">
        <v>78</v>
      </c>
      <c r="C95" s="25" t="s">
        <v>79</v>
      </c>
      <c r="D95" s="46">
        <f>+D97+D109+D115+D116+D122+D123+D124+D134+D135</f>
        <v>0</v>
      </c>
      <c r="E95" s="46">
        <f t="shared" ref="E95:I95" si="28">+E97+E109+E115+E116+E122+E123+E124+E134+E135</f>
        <v>0</v>
      </c>
      <c r="F95" s="46">
        <f t="shared" si="28"/>
        <v>0</v>
      </c>
      <c r="G95" s="46">
        <f t="shared" si="28"/>
        <v>0</v>
      </c>
      <c r="H95" s="46">
        <f t="shared" si="28"/>
        <v>0</v>
      </c>
      <c r="I95" s="46">
        <f t="shared" si="28"/>
        <v>0</v>
      </c>
    </row>
    <row r="96" spans="2:9" ht="25.5" x14ac:dyDescent="0.2">
      <c r="B96" s="14" t="s">
        <v>80</v>
      </c>
      <c r="C96" s="11" t="s">
        <v>81</v>
      </c>
      <c r="D96" s="43"/>
      <c r="E96" s="44"/>
      <c r="F96" s="44"/>
      <c r="G96" s="43"/>
      <c r="H96" s="44"/>
      <c r="I96" s="44"/>
    </row>
    <row r="97" spans="2:9" ht="25.5" x14ac:dyDescent="0.2">
      <c r="B97" s="14" t="s">
        <v>82</v>
      </c>
      <c r="C97" s="11" t="s">
        <v>83</v>
      </c>
      <c r="D97" s="43">
        <f>SUM(D99:D107)</f>
        <v>0</v>
      </c>
      <c r="E97" s="43">
        <f t="shared" ref="E97:I97" si="29">SUM(E99:E107)</f>
        <v>0</v>
      </c>
      <c r="F97" s="43">
        <f t="shared" si="29"/>
        <v>0</v>
      </c>
      <c r="G97" s="43">
        <f t="shared" si="29"/>
        <v>0</v>
      </c>
      <c r="H97" s="43">
        <f t="shared" si="29"/>
        <v>0</v>
      </c>
      <c r="I97" s="43">
        <f t="shared" si="29"/>
        <v>0</v>
      </c>
    </row>
    <row r="98" spans="2:9" ht="25.5" x14ac:dyDescent="0.2">
      <c r="B98" s="14" t="s">
        <v>32</v>
      </c>
      <c r="C98" s="11"/>
      <c r="D98" s="43"/>
      <c r="E98" s="43"/>
      <c r="F98" s="43"/>
      <c r="G98" s="43"/>
      <c r="H98" s="43"/>
      <c r="I98" s="43"/>
    </row>
    <row r="99" spans="2:9" ht="38.25" x14ac:dyDescent="0.2">
      <c r="B99" s="17" t="s">
        <v>48</v>
      </c>
      <c r="C99" s="11"/>
      <c r="D99" s="43">
        <f t="shared" ref="D99:D107" si="30">+E99+F99</f>
        <v>0</v>
      </c>
      <c r="E99" s="44"/>
      <c r="F99" s="44"/>
      <c r="G99" s="43">
        <f t="shared" ref="G99:G107" si="31">+H99+I99</f>
        <v>0</v>
      </c>
      <c r="H99" s="44"/>
      <c r="I99" s="44"/>
    </row>
    <row r="100" spans="2:9" ht="63.75" x14ac:dyDescent="0.2">
      <c r="B100" s="17" t="s">
        <v>49</v>
      </c>
      <c r="C100" s="11"/>
      <c r="D100" s="43">
        <f t="shared" si="30"/>
        <v>0</v>
      </c>
      <c r="E100" s="44"/>
      <c r="F100" s="44"/>
      <c r="G100" s="43">
        <f t="shared" si="31"/>
        <v>0</v>
      </c>
      <c r="H100" s="44"/>
      <c r="I100" s="44"/>
    </row>
    <row r="101" spans="2:9" ht="25.5" x14ac:dyDescent="0.2">
      <c r="B101" s="17" t="s">
        <v>50</v>
      </c>
      <c r="C101" s="11"/>
      <c r="D101" s="43">
        <f t="shared" si="30"/>
        <v>0</v>
      </c>
      <c r="E101" s="44"/>
      <c r="F101" s="44"/>
      <c r="G101" s="43">
        <f t="shared" si="31"/>
        <v>0</v>
      </c>
      <c r="H101" s="44"/>
      <c r="I101" s="44"/>
    </row>
    <row r="102" spans="2:9" ht="25.5" x14ac:dyDescent="0.2">
      <c r="B102" s="17" t="s">
        <v>33</v>
      </c>
      <c r="C102" s="11"/>
      <c r="D102" s="43">
        <f t="shared" si="30"/>
        <v>0</v>
      </c>
      <c r="E102" s="44"/>
      <c r="F102" s="44"/>
      <c r="G102" s="43">
        <f t="shared" si="31"/>
        <v>0</v>
      </c>
      <c r="H102" s="44"/>
      <c r="I102" s="44"/>
    </row>
    <row r="103" spans="2:9" ht="25.5" x14ac:dyDescent="0.2">
      <c r="B103" s="17" t="s">
        <v>34</v>
      </c>
      <c r="C103" s="11"/>
      <c r="D103" s="43">
        <f t="shared" si="30"/>
        <v>0</v>
      </c>
      <c r="E103" s="44"/>
      <c r="F103" s="44"/>
      <c r="G103" s="43">
        <f t="shared" si="31"/>
        <v>0</v>
      </c>
      <c r="H103" s="44"/>
      <c r="I103" s="44"/>
    </row>
    <row r="104" spans="2:9" ht="25.5" x14ac:dyDescent="0.2">
      <c r="B104" s="17" t="s">
        <v>35</v>
      </c>
      <c r="C104" s="11"/>
      <c r="D104" s="43">
        <f t="shared" si="30"/>
        <v>0</v>
      </c>
      <c r="E104" s="44"/>
      <c r="F104" s="44"/>
      <c r="G104" s="43">
        <f t="shared" si="31"/>
        <v>0</v>
      </c>
      <c r="H104" s="44"/>
      <c r="I104" s="44"/>
    </row>
    <row r="105" spans="2:9" ht="25.5" x14ac:dyDescent="0.2">
      <c r="B105" s="17" t="s">
        <v>36</v>
      </c>
      <c r="C105" s="11"/>
      <c r="D105" s="43">
        <f t="shared" si="30"/>
        <v>0</v>
      </c>
      <c r="E105" s="44"/>
      <c r="F105" s="44"/>
      <c r="G105" s="43">
        <f t="shared" si="31"/>
        <v>0</v>
      </c>
      <c r="H105" s="44"/>
      <c r="I105" s="44"/>
    </row>
    <row r="106" spans="2:9" ht="25.5" x14ac:dyDescent="0.2">
      <c r="B106" s="17" t="s">
        <v>58</v>
      </c>
      <c r="C106" s="11"/>
      <c r="D106" s="43">
        <f t="shared" si="30"/>
        <v>0</v>
      </c>
      <c r="E106" s="44"/>
      <c r="F106" s="44"/>
      <c r="G106" s="43">
        <f t="shared" si="31"/>
        <v>0</v>
      </c>
      <c r="H106" s="44"/>
      <c r="I106" s="44"/>
    </row>
    <row r="107" spans="2:9" ht="25.5" x14ac:dyDescent="0.2">
      <c r="B107" s="17" t="s">
        <v>37</v>
      </c>
      <c r="C107" s="11"/>
      <c r="D107" s="43">
        <f t="shared" si="30"/>
        <v>0</v>
      </c>
      <c r="E107" s="44"/>
      <c r="F107" s="44"/>
      <c r="G107" s="43">
        <f t="shared" si="31"/>
        <v>0</v>
      </c>
      <c r="H107" s="44"/>
      <c r="I107" s="44"/>
    </row>
    <row r="108" spans="2:9" ht="25.5" x14ac:dyDescent="0.2">
      <c r="B108" s="14" t="s">
        <v>84</v>
      </c>
      <c r="C108" s="11" t="s">
        <v>85</v>
      </c>
      <c r="D108" s="43">
        <f>+E108+F108</f>
        <v>0</v>
      </c>
      <c r="E108" s="44"/>
      <c r="F108" s="44"/>
      <c r="G108" s="43">
        <f>+H108+I108</f>
        <v>0</v>
      </c>
      <c r="H108" s="44"/>
      <c r="I108" s="44"/>
    </row>
    <row r="109" spans="2:9" ht="25.5" x14ac:dyDescent="0.2">
      <c r="B109" s="14" t="s">
        <v>86</v>
      </c>
      <c r="C109" s="11" t="s">
        <v>87</v>
      </c>
      <c r="D109" s="43">
        <f>SUM(D111:D114)</f>
        <v>0</v>
      </c>
      <c r="E109" s="43">
        <f t="shared" ref="E109:I109" si="32">SUM(E111:E114)</f>
        <v>0</v>
      </c>
      <c r="F109" s="43">
        <f t="shared" si="32"/>
        <v>0</v>
      </c>
      <c r="G109" s="43">
        <f t="shared" si="32"/>
        <v>0</v>
      </c>
      <c r="H109" s="43">
        <f t="shared" si="32"/>
        <v>0</v>
      </c>
      <c r="I109" s="43">
        <f t="shared" si="32"/>
        <v>0</v>
      </c>
    </row>
    <row r="110" spans="2:9" ht="25.5" x14ac:dyDescent="0.2">
      <c r="B110" s="14" t="s">
        <v>32</v>
      </c>
      <c r="C110" s="11"/>
      <c r="D110" s="43"/>
      <c r="E110" s="43"/>
      <c r="F110" s="43"/>
      <c r="G110" s="43"/>
      <c r="H110" s="43"/>
      <c r="I110" s="43"/>
    </row>
    <row r="111" spans="2:9" ht="25.5" x14ac:dyDescent="0.2">
      <c r="B111" s="17" t="s">
        <v>34</v>
      </c>
      <c r="C111" s="11"/>
      <c r="D111" s="43">
        <f t="shared" ref="D111:D114" si="33">+E111+F111</f>
        <v>0</v>
      </c>
      <c r="E111" s="44"/>
      <c r="F111" s="44"/>
      <c r="G111" s="43">
        <f t="shared" ref="G111:G114" si="34">+H111+I111</f>
        <v>0</v>
      </c>
      <c r="H111" s="44"/>
      <c r="I111" s="44"/>
    </row>
    <row r="112" spans="2:9" ht="25.5" x14ac:dyDescent="0.2">
      <c r="B112" s="17" t="s">
        <v>35</v>
      </c>
      <c r="C112" s="11"/>
      <c r="D112" s="43">
        <f t="shared" si="33"/>
        <v>0</v>
      </c>
      <c r="E112" s="44"/>
      <c r="F112" s="44"/>
      <c r="G112" s="43">
        <f t="shared" si="34"/>
        <v>0</v>
      </c>
      <c r="H112" s="44"/>
      <c r="I112" s="44"/>
    </row>
    <row r="113" spans="2:9" ht="25.5" x14ac:dyDescent="0.2">
      <c r="B113" s="17" t="s">
        <v>36</v>
      </c>
      <c r="C113" s="11"/>
      <c r="D113" s="43">
        <f t="shared" si="33"/>
        <v>0</v>
      </c>
      <c r="E113" s="44"/>
      <c r="F113" s="44"/>
      <c r="G113" s="43">
        <f t="shared" si="34"/>
        <v>0</v>
      </c>
      <c r="H113" s="44"/>
      <c r="I113" s="44"/>
    </row>
    <row r="114" spans="2:9" ht="25.5" x14ac:dyDescent="0.2">
      <c r="B114" s="17" t="s">
        <v>37</v>
      </c>
      <c r="C114" s="11"/>
      <c r="D114" s="43">
        <f t="shared" si="33"/>
        <v>0</v>
      </c>
      <c r="E114" s="44"/>
      <c r="F114" s="44"/>
      <c r="G114" s="43">
        <f t="shared" si="34"/>
        <v>0</v>
      </c>
      <c r="H114" s="44"/>
      <c r="I114" s="44"/>
    </row>
    <row r="115" spans="2:9" ht="25.5" x14ac:dyDescent="0.2">
      <c r="B115" s="14" t="s">
        <v>88</v>
      </c>
      <c r="C115" s="11" t="s">
        <v>89</v>
      </c>
      <c r="D115" s="43">
        <f>+E115+F115</f>
        <v>0</v>
      </c>
      <c r="E115" s="44"/>
      <c r="F115" s="44"/>
      <c r="G115" s="43">
        <f>+H115+I115</f>
        <v>0</v>
      </c>
      <c r="H115" s="44"/>
      <c r="I115" s="44"/>
    </row>
    <row r="116" spans="2:9" ht="25.5" x14ac:dyDescent="0.2">
      <c r="B116" s="14" t="s">
        <v>90</v>
      </c>
      <c r="C116" s="11" t="s">
        <v>91</v>
      </c>
      <c r="D116" s="43">
        <f>SUM(D118:D121)</f>
        <v>0</v>
      </c>
      <c r="E116" s="43">
        <f t="shared" ref="E116:I116" si="35">SUM(E118:E121)</f>
        <v>0</v>
      </c>
      <c r="F116" s="43">
        <f t="shared" si="35"/>
        <v>0</v>
      </c>
      <c r="G116" s="43">
        <f t="shared" si="35"/>
        <v>0</v>
      </c>
      <c r="H116" s="43">
        <f t="shared" si="35"/>
        <v>0</v>
      </c>
      <c r="I116" s="43">
        <f t="shared" si="35"/>
        <v>0</v>
      </c>
    </row>
    <row r="117" spans="2:9" ht="25.5" x14ac:dyDescent="0.2">
      <c r="B117" s="14" t="s">
        <v>32</v>
      </c>
      <c r="C117" s="11"/>
      <c r="D117" s="43"/>
      <c r="E117" s="43"/>
      <c r="F117" s="43"/>
      <c r="G117" s="43"/>
      <c r="H117" s="43"/>
      <c r="I117" s="43"/>
    </row>
    <row r="118" spans="2:9" ht="25.5" x14ac:dyDescent="0.2">
      <c r="B118" s="17" t="s">
        <v>34</v>
      </c>
      <c r="C118" s="26"/>
      <c r="D118" s="51">
        <f t="shared" ref="D118:D121" si="36">+E118+F118</f>
        <v>0</v>
      </c>
      <c r="E118" s="52"/>
      <c r="F118" s="44"/>
      <c r="G118" s="43">
        <f t="shared" ref="G118:G121" si="37">+H118+I118</f>
        <v>0</v>
      </c>
      <c r="H118" s="44"/>
      <c r="I118" s="44"/>
    </row>
    <row r="119" spans="2:9" ht="25.5" x14ac:dyDescent="0.2">
      <c r="B119" s="17" t="s">
        <v>35</v>
      </c>
      <c r="C119" s="26"/>
      <c r="D119" s="51">
        <f t="shared" si="36"/>
        <v>0</v>
      </c>
      <c r="E119" s="52"/>
      <c r="F119" s="44"/>
      <c r="G119" s="43">
        <f t="shared" si="37"/>
        <v>0</v>
      </c>
      <c r="H119" s="44"/>
      <c r="I119" s="44"/>
    </row>
    <row r="120" spans="2:9" ht="25.5" x14ac:dyDescent="0.2">
      <c r="B120" s="17" t="s">
        <v>36</v>
      </c>
      <c r="C120" s="26"/>
      <c r="D120" s="51">
        <f t="shared" si="36"/>
        <v>0</v>
      </c>
      <c r="E120" s="52"/>
      <c r="F120" s="44"/>
      <c r="G120" s="43">
        <f t="shared" si="37"/>
        <v>0</v>
      </c>
      <c r="H120" s="44"/>
      <c r="I120" s="44"/>
    </row>
    <row r="121" spans="2:9" ht="25.5" x14ac:dyDescent="0.2">
      <c r="B121" s="17" t="s">
        <v>37</v>
      </c>
      <c r="C121" s="26"/>
      <c r="D121" s="51">
        <f t="shared" si="36"/>
        <v>0</v>
      </c>
      <c r="E121" s="52"/>
      <c r="F121" s="44"/>
      <c r="G121" s="43">
        <f t="shared" si="37"/>
        <v>0</v>
      </c>
      <c r="H121" s="44"/>
      <c r="I121" s="44"/>
    </row>
    <row r="122" spans="2:9" ht="25.5" x14ac:dyDescent="0.2">
      <c r="B122" s="14" t="s">
        <v>92</v>
      </c>
      <c r="C122" s="11" t="s">
        <v>93</v>
      </c>
      <c r="D122" s="43">
        <f>+E122+F122</f>
        <v>0</v>
      </c>
      <c r="E122" s="44"/>
      <c r="F122" s="44"/>
      <c r="G122" s="43">
        <f>+H122+I122</f>
        <v>0</v>
      </c>
      <c r="H122" s="44"/>
      <c r="I122" s="44"/>
    </row>
    <row r="123" spans="2:9" ht="25.5" x14ac:dyDescent="0.2">
      <c r="B123" s="14" t="s">
        <v>94</v>
      </c>
      <c r="C123" s="11" t="s">
        <v>95</v>
      </c>
      <c r="D123" s="43">
        <f>+E123+F123</f>
        <v>0</v>
      </c>
      <c r="E123" s="44"/>
      <c r="F123" s="44"/>
      <c r="G123" s="43">
        <f>+H123+I123</f>
        <v>0</v>
      </c>
      <c r="H123" s="44"/>
      <c r="I123" s="44"/>
    </row>
    <row r="124" spans="2:9" ht="25.5" x14ac:dyDescent="0.2">
      <c r="B124" s="14" t="s">
        <v>96</v>
      </c>
      <c r="C124" s="11" t="s">
        <v>97</v>
      </c>
      <c r="D124" s="43">
        <f>SUM(D126:D133)</f>
        <v>0</v>
      </c>
      <c r="E124" s="43">
        <f t="shared" ref="E124:I124" si="38">SUM(E126:E133)</f>
        <v>0</v>
      </c>
      <c r="F124" s="43">
        <f t="shared" si="38"/>
        <v>0</v>
      </c>
      <c r="G124" s="43">
        <f t="shared" si="38"/>
        <v>0</v>
      </c>
      <c r="H124" s="43">
        <f t="shared" si="38"/>
        <v>0</v>
      </c>
      <c r="I124" s="43">
        <f t="shared" si="38"/>
        <v>0</v>
      </c>
    </row>
    <row r="125" spans="2:9" ht="25.5" x14ac:dyDescent="0.2">
      <c r="B125" s="14" t="s">
        <v>32</v>
      </c>
      <c r="C125" s="11"/>
      <c r="D125" s="43"/>
      <c r="E125" s="43"/>
      <c r="F125" s="43"/>
      <c r="G125" s="43"/>
      <c r="H125" s="43"/>
      <c r="I125" s="43"/>
    </row>
    <row r="126" spans="2:9" ht="38.25" x14ac:dyDescent="0.2">
      <c r="B126" s="17" t="s">
        <v>48</v>
      </c>
      <c r="C126" s="11"/>
      <c r="D126" s="43">
        <f t="shared" ref="D126:D134" si="39">+E126+F126</f>
        <v>0</v>
      </c>
      <c r="E126" s="44"/>
      <c r="F126" s="44"/>
      <c r="G126" s="43">
        <f t="shared" ref="G126:G134" si="40">+H126+I126</f>
        <v>0</v>
      </c>
      <c r="H126" s="44"/>
      <c r="I126" s="44"/>
    </row>
    <row r="127" spans="2:9" ht="63.75" x14ac:dyDescent="0.2">
      <c r="B127" s="17" t="s">
        <v>49</v>
      </c>
      <c r="C127" s="11"/>
      <c r="D127" s="43">
        <f t="shared" si="39"/>
        <v>0</v>
      </c>
      <c r="E127" s="44"/>
      <c r="F127" s="44"/>
      <c r="G127" s="43">
        <f t="shared" si="40"/>
        <v>0</v>
      </c>
      <c r="H127" s="44"/>
      <c r="I127" s="44"/>
    </row>
    <row r="128" spans="2:9" ht="25.5" x14ac:dyDescent="0.2">
      <c r="B128" s="17" t="s">
        <v>33</v>
      </c>
      <c r="C128" s="11"/>
      <c r="D128" s="43">
        <f t="shared" si="39"/>
        <v>0</v>
      </c>
      <c r="E128" s="44"/>
      <c r="F128" s="44"/>
      <c r="G128" s="43">
        <f t="shared" si="40"/>
        <v>0</v>
      </c>
      <c r="H128" s="44"/>
      <c r="I128" s="44"/>
    </row>
    <row r="129" spans="2:9" ht="25.5" x14ac:dyDescent="0.2">
      <c r="B129" s="17" t="s">
        <v>34</v>
      </c>
      <c r="C129" s="11"/>
      <c r="D129" s="43">
        <f t="shared" si="39"/>
        <v>0</v>
      </c>
      <c r="E129" s="44"/>
      <c r="F129" s="44"/>
      <c r="G129" s="43">
        <f t="shared" si="40"/>
        <v>0</v>
      </c>
      <c r="H129" s="44"/>
      <c r="I129" s="44"/>
    </row>
    <row r="130" spans="2:9" ht="25.5" x14ac:dyDescent="0.2">
      <c r="B130" s="17" t="s">
        <v>35</v>
      </c>
      <c r="C130" s="11"/>
      <c r="D130" s="43">
        <f t="shared" si="39"/>
        <v>0</v>
      </c>
      <c r="E130" s="44"/>
      <c r="F130" s="44"/>
      <c r="G130" s="43">
        <f t="shared" si="40"/>
        <v>0</v>
      </c>
      <c r="H130" s="44"/>
      <c r="I130" s="44"/>
    </row>
    <row r="131" spans="2:9" ht="25.5" x14ac:dyDescent="0.2">
      <c r="B131" s="17" t="s">
        <v>36</v>
      </c>
      <c r="C131" s="11"/>
      <c r="D131" s="43">
        <f t="shared" si="39"/>
        <v>0</v>
      </c>
      <c r="E131" s="44"/>
      <c r="F131" s="44"/>
      <c r="G131" s="43">
        <f t="shared" si="40"/>
        <v>0</v>
      </c>
      <c r="H131" s="44"/>
      <c r="I131" s="44"/>
    </row>
    <row r="132" spans="2:9" ht="25.5" x14ac:dyDescent="0.2">
      <c r="B132" s="17" t="s">
        <v>58</v>
      </c>
      <c r="C132" s="11"/>
      <c r="D132" s="43">
        <f t="shared" si="39"/>
        <v>0</v>
      </c>
      <c r="E132" s="44"/>
      <c r="F132" s="44"/>
      <c r="G132" s="43">
        <f t="shared" si="40"/>
        <v>0</v>
      </c>
      <c r="H132" s="44"/>
      <c r="I132" s="44"/>
    </row>
    <row r="133" spans="2:9" ht="25.5" x14ac:dyDescent="0.2">
      <c r="B133" s="17" t="s">
        <v>37</v>
      </c>
      <c r="C133" s="11"/>
      <c r="D133" s="43">
        <f t="shared" si="39"/>
        <v>0</v>
      </c>
      <c r="E133" s="44"/>
      <c r="F133" s="44"/>
      <c r="G133" s="43">
        <f t="shared" si="40"/>
        <v>0</v>
      </c>
      <c r="H133" s="44"/>
      <c r="I133" s="44"/>
    </row>
    <row r="134" spans="2:9" ht="25.5" x14ac:dyDescent="0.2">
      <c r="B134" s="14" t="s">
        <v>98</v>
      </c>
      <c r="C134" s="11" t="s">
        <v>99</v>
      </c>
      <c r="D134" s="43">
        <f t="shared" si="39"/>
        <v>0</v>
      </c>
      <c r="E134" s="44"/>
      <c r="F134" s="44"/>
      <c r="G134" s="43">
        <f t="shared" si="40"/>
        <v>0</v>
      </c>
      <c r="H134" s="44"/>
      <c r="I134" s="44"/>
    </row>
    <row r="135" spans="2:9" ht="25.5" x14ac:dyDescent="0.2">
      <c r="B135" s="14" t="s">
        <v>100</v>
      </c>
      <c r="C135" s="11" t="s">
        <v>101</v>
      </c>
      <c r="D135" s="43">
        <f>SUM(D137:D145)</f>
        <v>0</v>
      </c>
      <c r="E135" s="43">
        <f t="shared" ref="E135:I135" si="41">SUM(E137:E145)</f>
        <v>0</v>
      </c>
      <c r="F135" s="43">
        <f t="shared" si="41"/>
        <v>0</v>
      </c>
      <c r="G135" s="43">
        <f t="shared" si="41"/>
        <v>0</v>
      </c>
      <c r="H135" s="43">
        <f t="shared" si="41"/>
        <v>0</v>
      </c>
      <c r="I135" s="43">
        <f t="shared" si="41"/>
        <v>0</v>
      </c>
    </row>
    <row r="136" spans="2:9" ht="25.5" x14ac:dyDescent="0.2">
      <c r="B136" s="14" t="s">
        <v>32</v>
      </c>
      <c r="C136" s="11"/>
      <c r="D136" s="43"/>
      <c r="E136" s="43"/>
      <c r="F136" s="43"/>
      <c r="G136" s="43"/>
      <c r="H136" s="43"/>
      <c r="I136" s="43"/>
    </row>
    <row r="137" spans="2:9" ht="38.25" x14ac:dyDescent="0.2">
      <c r="B137" s="17" t="s">
        <v>48</v>
      </c>
      <c r="C137" s="11"/>
      <c r="D137" s="43">
        <f t="shared" ref="D137:D150" si="42">+E137+F137</f>
        <v>0</v>
      </c>
      <c r="E137" s="44"/>
      <c r="F137" s="44"/>
      <c r="G137" s="43">
        <f t="shared" ref="G137:G150" si="43">+H137+I137</f>
        <v>0</v>
      </c>
      <c r="H137" s="44"/>
      <c r="I137" s="44"/>
    </row>
    <row r="138" spans="2:9" ht="63.75" x14ac:dyDescent="0.2">
      <c r="B138" s="17" t="s">
        <v>49</v>
      </c>
      <c r="C138" s="11"/>
      <c r="D138" s="43">
        <f t="shared" si="42"/>
        <v>0</v>
      </c>
      <c r="E138" s="44"/>
      <c r="F138" s="44"/>
      <c r="G138" s="43">
        <f t="shared" si="43"/>
        <v>0</v>
      </c>
      <c r="H138" s="44"/>
      <c r="I138" s="44"/>
    </row>
    <row r="139" spans="2:9" ht="25.5" x14ac:dyDescent="0.2">
      <c r="B139" s="17" t="s">
        <v>50</v>
      </c>
      <c r="C139" s="11"/>
      <c r="D139" s="43">
        <f t="shared" si="42"/>
        <v>0</v>
      </c>
      <c r="E139" s="44"/>
      <c r="F139" s="44"/>
      <c r="G139" s="43">
        <f t="shared" si="43"/>
        <v>0</v>
      </c>
      <c r="H139" s="44"/>
      <c r="I139" s="44"/>
    </row>
    <row r="140" spans="2:9" ht="25.5" x14ac:dyDescent="0.2">
      <c r="B140" s="17" t="s">
        <v>33</v>
      </c>
      <c r="C140" s="11"/>
      <c r="D140" s="43">
        <f t="shared" si="42"/>
        <v>0</v>
      </c>
      <c r="E140" s="44"/>
      <c r="F140" s="44"/>
      <c r="G140" s="43">
        <f t="shared" si="43"/>
        <v>0</v>
      </c>
      <c r="H140" s="44"/>
      <c r="I140" s="44"/>
    </row>
    <row r="141" spans="2:9" ht="25.5" x14ac:dyDescent="0.2">
      <c r="B141" s="17" t="s">
        <v>34</v>
      </c>
      <c r="C141" s="11"/>
      <c r="D141" s="43">
        <f t="shared" si="42"/>
        <v>0</v>
      </c>
      <c r="E141" s="44"/>
      <c r="F141" s="44"/>
      <c r="G141" s="43">
        <f t="shared" si="43"/>
        <v>0</v>
      </c>
      <c r="H141" s="44"/>
      <c r="I141" s="44"/>
    </row>
    <row r="142" spans="2:9" ht="25.5" x14ac:dyDescent="0.2">
      <c r="B142" s="17" t="s">
        <v>35</v>
      </c>
      <c r="C142" s="11"/>
      <c r="D142" s="43">
        <f t="shared" si="42"/>
        <v>0</v>
      </c>
      <c r="E142" s="44"/>
      <c r="F142" s="44"/>
      <c r="G142" s="43">
        <f t="shared" si="43"/>
        <v>0</v>
      </c>
      <c r="H142" s="44"/>
      <c r="I142" s="44"/>
    </row>
    <row r="143" spans="2:9" ht="25.5" x14ac:dyDescent="0.2">
      <c r="B143" s="17" t="s">
        <v>36</v>
      </c>
      <c r="C143" s="11"/>
      <c r="D143" s="43">
        <f t="shared" si="42"/>
        <v>0</v>
      </c>
      <c r="E143" s="44"/>
      <c r="F143" s="44"/>
      <c r="G143" s="43">
        <f t="shared" si="43"/>
        <v>0</v>
      </c>
      <c r="H143" s="44"/>
      <c r="I143" s="44"/>
    </row>
    <row r="144" spans="2:9" ht="25.5" x14ac:dyDescent="0.2">
      <c r="B144" s="17" t="s">
        <v>58</v>
      </c>
      <c r="C144" s="11"/>
      <c r="D144" s="43">
        <f t="shared" si="42"/>
        <v>0</v>
      </c>
      <c r="E144" s="44"/>
      <c r="F144" s="44"/>
      <c r="G144" s="43">
        <f t="shared" si="43"/>
        <v>0</v>
      </c>
      <c r="H144" s="44"/>
      <c r="I144" s="44"/>
    </row>
    <row r="145" spans="2:9" ht="25.5" x14ac:dyDescent="0.2">
      <c r="B145" s="17" t="s">
        <v>37</v>
      </c>
      <c r="C145" s="11"/>
      <c r="D145" s="43">
        <f t="shared" si="42"/>
        <v>0</v>
      </c>
      <c r="E145" s="44"/>
      <c r="F145" s="44"/>
      <c r="G145" s="43">
        <f t="shared" si="43"/>
        <v>0</v>
      </c>
      <c r="H145" s="44"/>
      <c r="I145" s="44"/>
    </row>
    <row r="146" spans="2:9" ht="25.5" x14ac:dyDescent="0.2">
      <c r="B146" s="14" t="s">
        <v>102</v>
      </c>
      <c r="C146" s="11" t="s">
        <v>103</v>
      </c>
      <c r="D146" s="43">
        <f>+D147+D148+D149+D150</f>
        <v>0</v>
      </c>
      <c r="E146" s="43">
        <f t="shared" ref="E146:I146" si="44">+E147+E148+E149+E150</f>
        <v>0</v>
      </c>
      <c r="F146" s="43">
        <f t="shared" si="44"/>
        <v>0</v>
      </c>
      <c r="G146" s="43">
        <f t="shared" si="44"/>
        <v>0</v>
      </c>
      <c r="H146" s="43">
        <f t="shared" si="44"/>
        <v>0</v>
      </c>
      <c r="I146" s="43">
        <f t="shared" si="44"/>
        <v>0</v>
      </c>
    </row>
    <row r="147" spans="2:9" ht="25.5" x14ac:dyDescent="0.2">
      <c r="B147" s="14" t="s">
        <v>104</v>
      </c>
      <c r="C147" s="11" t="s">
        <v>105</v>
      </c>
      <c r="D147" s="43">
        <f t="shared" si="42"/>
        <v>0</v>
      </c>
      <c r="E147" s="44"/>
      <c r="F147" s="44"/>
      <c r="G147" s="43">
        <f t="shared" si="43"/>
        <v>0</v>
      </c>
      <c r="H147" s="44"/>
      <c r="I147" s="44"/>
    </row>
    <row r="148" spans="2:9" ht="25.5" x14ac:dyDescent="0.2">
      <c r="B148" s="14" t="s">
        <v>106</v>
      </c>
      <c r="C148" s="11" t="s">
        <v>107</v>
      </c>
      <c r="D148" s="43">
        <f t="shared" si="42"/>
        <v>0</v>
      </c>
      <c r="E148" s="44"/>
      <c r="F148" s="44"/>
      <c r="G148" s="43">
        <f t="shared" si="43"/>
        <v>0</v>
      </c>
      <c r="H148" s="44"/>
      <c r="I148" s="44"/>
    </row>
    <row r="149" spans="2:9" ht="25.5" x14ac:dyDescent="0.2">
      <c r="B149" s="14" t="s">
        <v>108</v>
      </c>
      <c r="C149" s="11" t="s">
        <v>109</v>
      </c>
      <c r="D149" s="43">
        <f t="shared" si="42"/>
        <v>0</v>
      </c>
      <c r="E149" s="44"/>
      <c r="F149" s="44"/>
      <c r="G149" s="43">
        <f t="shared" si="43"/>
        <v>0</v>
      </c>
      <c r="H149" s="44"/>
      <c r="I149" s="44"/>
    </row>
    <row r="150" spans="2:9" ht="25.5" x14ac:dyDescent="0.2">
      <c r="B150" s="14" t="s">
        <v>110</v>
      </c>
      <c r="C150" s="11" t="s">
        <v>111</v>
      </c>
      <c r="D150" s="43">
        <f t="shared" si="42"/>
        <v>0</v>
      </c>
      <c r="E150" s="44"/>
      <c r="F150" s="44"/>
      <c r="G150" s="43">
        <f t="shared" si="43"/>
        <v>0</v>
      </c>
      <c r="H150" s="44"/>
      <c r="I150" s="44"/>
    </row>
    <row r="151" spans="2:9" ht="25.5" x14ac:dyDescent="0.2">
      <c r="B151" s="14" t="s">
        <v>112</v>
      </c>
      <c r="C151" s="11" t="s">
        <v>113</v>
      </c>
      <c r="D151" s="43">
        <f>+D153+D156+D165</f>
        <v>0</v>
      </c>
      <c r="E151" s="43">
        <f t="shared" ref="E151:I151" si="45">+E153+E156+E165</f>
        <v>0</v>
      </c>
      <c r="F151" s="43">
        <f t="shared" si="45"/>
        <v>0</v>
      </c>
      <c r="G151" s="43">
        <f t="shared" si="45"/>
        <v>0</v>
      </c>
      <c r="H151" s="43">
        <f t="shared" si="45"/>
        <v>0</v>
      </c>
      <c r="I151" s="43">
        <f t="shared" si="45"/>
        <v>0</v>
      </c>
    </row>
    <row r="152" spans="2:9" ht="25.5" x14ac:dyDescent="0.2">
      <c r="B152" s="14" t="s">
        <v>32</v>
      </c>
      <c r="C152" s="11"/>
      <c r="D152" s="43"/>
      <c r="E152" s="43"/>
      <c r="F152" s="43"/>
      <c r="G152" s="43"/>
      <c r="H152" s="43"/>
      <c r="I152" s="43"/>
    </row>
    <row r="153" spans="2:9" ht="25.5" x14ac:dyDescent="0.2">
      <c r="B153" s="18" t="s">
        <v>46</v>
      </c>
      <c r="C153" s="11"/>
      <c r="D153" s="43">
        <f>+D154+D155</f>
        <v>0</v>
      </c>
      <c r="E153" s="43">
        <f t="shared" ref="E153:I153" si="46">+E154+E155</f>
        <v>0</v>
      </c>
      <c r="F153" s="43">
        <f t="shared" si="46"/>
        <v>0</v>
      </c>
      <c r="G153" s="43">
        <f t="shared" si="46"/>
        <v>0</v>
      </c>
      <c r="H153" s="43">
        <f t="shared" si="46"/>
        <v>0</v>
      </c>
      <c r="I153" s="43">
        <f t="shared" si="46"/>
        <v>0</v>
      </c>
    </row>
    <row r="154" spans="2:9" ht="25.5" x14ac:dyDescent="0.2">
      <c r="B154" s="19" t="s">
        <v>33</v>
      </c>
      <c r="C154" s="11"/>
      <c r="D154" s="43">
        <f t="shared" ref="D154:D173" si="47">+E154+F154</f>
        <v>0</v>
      </c>
      <c r="E154" s="44"/>
      <c r="F154" s="44"/>
      <c r="G154" s="43">
        <f t="shared" ref="G154:G155" si="48">+H154+I154</f>
        <v>0</v>
      </c>
      <c r="H154" s="44"/>
      <c r="I154" s="44"/>
    </row>
    <row r="155" spans="2:9" ht="25.5" x14ac:dyDescent="0.2">
      <c r="B155" s="19" t="s">
        <v>37</v>
      </c>
      <c r="C155" s="11"/>
      <c r="D155" s="43">
        <f t="shared" si="47"/>
        <v>0</v>
      </c>
      <c r="E155" s="44"/>
      <c r="F155" s="44"/>
      <c r="G155" s="43">
        <f t="shared" si="48"/>
        <v>0</v>
      </c>
      <c r="H155" s="44"/>
      <c r="I155" s="44"/>
    </row>
    <row r="156" spans="2:9" ht="25.5" x14ac:dyDescent="0.2">
      <c r="B156" s="18" t="s">
        <v>114</v>
      </c>
      <c r="C156" s="11"/>
      <c r="D156" s="43">
        <f>SUM(D157:D164)</f>
        <v>0</v>
      </c>
      <c r="E156" s="43">
        <f t="shared" ref="E156:I156" si="49">SUM(E157:E164)</f>
        <v>0</v>
      </c>
      <c r="F156" s="43">
        <f t="shared" si="49"/>
        <v>0</v>
      </c>
      <c r="G156" s="43">
        <f t="shared" si="49"/>
        <v>0</v>
      </c>
      <c r="H156" s="43">
        <f t="shared" si="49"/>
        <v>0</v>
      </c>
      <c r="I156" s="43">
        <f t="shared" si="49"/>
        <v>0</v>
      </c>
    </row>
    <row r="157" spans="2:9" ht="51" x14ac:dyDescent="0.2">
      <c r="B157" s="19" t="s">
        <v>48</v>
      </c>
      <c r="C157" s="11"/>
      <c r="D157" s="43">
        <f t="shared" si="47"/>
        <v>0</v>
      </c>
      <c r="E157" s="44"/>
      <c r="F157" s="44"/>
      <c r="G157" s="43">
        <f t="shared" ref="G157:G164" si="50">+H157+I157</f>
        <v>0</v>
      </c>
      <c r="H157" s="44"/>
      <c r="I157" s="44"/>
    </row>
    <row r="158" spans="2:9" ht="63" customHeight="1" x14ac:dyDescent="0.2">
      <c r="B158" s="19" t="s">
        <v>49</v>
      </c>
      <c r="C158" s="11"/>
      <c r="D158" s="43">
        <f t="shared" si="47"/>
        <v>0</v>
      </c>
      <c r="E158" s="44"/>
      <c r="F158" s="44"/>
      <c r="G158" s="43">
        <f t="shared" si="50"/>
        <v>0</v>
      </c>
      <c r="H158" s="44"/>
      <c r="I158" s="44"/>
    </row>
    <row r="159" spans="2:9" ht="25.5" x14ac:dyDescent="0.2">
      <c r="B159" s="19" t="s">
        <v>50</v>
      </c>
      <c r="C159" s="11"/>
      <c r="D159" s="43">
        <f t="shared" si="47"/>
        <v>0</v>
      </c>
      <c r="E159" s="44"/>
      <c r="F159" s="44"/>
      <c r="G159" s="43">
        <f t="shared" si="50"/>
        <v>0</v>
      </c>
      <c r="H159" s="44"/>
      <c r="I159" s="44"/>
    </row>
    <row r="160" spans="2:9" ht="25.5" x14ac:dyDescent="0.2">
      <c r="B160" s="19" t="s">
        <v>33</v>
      </c>
      <c r="C160" s="11"/>
      <c r="D160" s="43">
        <f t="shared" si="47"/>
        <v>0</v>
      </c>
      <c r="E160" s="44"/>
      <c r="F160" s="44"/>
      <c r="G160" s="43">
        <f t="shared" si="50"/>
        <v>0</v>
      </c>
      <c r="H160" s="44"/>
      <c r="I160" s="44"/>
    </row>
    <row r="161" spans="2:9" ht="25.5" x14ac:dyDescent="0.2">
      <c r="B161" s="19" t="s">
        <v>34</v>
      </c>
      <c r="C161" s="11"/>
      <c r="D161" s="43">
        <f t="shared" si="47"/>
        <v>0</v>
      </c>
      <c r="E161" s="44"/>
      <c r="F161" s="44"/>
      <c r="G161" s="43">
        <f t="shared" si="50"/>
        <v>0</v>
      </c>
      <c r="H161" s="44"/>
      <c r="I161" s="44"/>
    </row>
    <row r="162" spans="2:9" ht="25.5" x14ac:dyDescent="0.2">
      <c r="B162" s="19" t="s">
        <v>35</v>
      </c>
      <c r="C162" s="11"/>
      <c r="D162" s="43">
        <f t="shared" si="47"/>
        <v>0</v>
      </c>
      <c r="E162" s="44"/>
      <c r="F162" s="44"/>
      <c r="G162" s="43">
        <f t="shared" si="50"/>
        <v>0</v>
      </c>
      <c r="H162" s="44"/>
      <c r="I162" s="44"/>
    </row>
    <row r="163" spans="2:9" ht="25.5" x14ac:dyDescent="0.2">
      <c r="B163" s="19" t="s">
        <v>36</v>
      </c>
      <c r="C163" s="11"/>
      <c r="D163" s="43">
        <f t="shared" si="47"/>
        <v>0</v>
      </c>
      <c r="E163" s="44"/>
      <c r="F163" s="44"/>
      <c r="G163" s="43">
        <f t="shared" si="50"/>
        <v>0</v>
      </c>
      <c r="H163" s="44"/>
      <c r="I163" s="44"/>
    </row>
    <row r="164" spans="2:9" ht="25.5" x14ac:dyDescent="0.2">
      <c r="B164" s="19" t="s">
        <v>37</v>
      </c>
      <c r="C164" s="11"/>
      <c r="D164" s="43">
        <f t="shared" si="47"/>
        <v>0</v>
      </c>
      <c r="E164" s="44"/>
      <c r="F164" s="44"/>
      <c r="G164" s="43">
        <f t="shared" si="50"/>
        <v>0</v>
      </c>
      <c r="H164" s="44"/>
      <c r="I164" s="44"/>
    </row>
    <row r="165" spans="2:9" s="22" customFormat="1" ht="25.5" x14ac:dyDescent="0.2">
      <c r="B165" s="20" t="s">
        <v>115</v>
      </c>
      <c r="C165" s="21"/>
      <c r="D165" s="48">
        <f>SUM(D166:D173)</f>
        <v>0</v>
      </c>
      <c r="E165" s="48">
        <f t="shared" ref="E165:I165" si="51">SUM(E166:E173)</f>
        <v>0</v>
      </c>
      <c r="F165" s="48">
        <f t="shared" si="51"/>
        <v>0</v>
      </c>
      <c r="G165" s="50">
        <f t="shared" si="51"/>
        <v>0</v>
      </c>
      <c r="H165" s="48">
        <f t="shared" si="51"/>
        <v>0</v>
      </c>
      <c r="I165" s="48">
        <f t="shared" si="51"/>
        <v>0</v>
      </c>
    </row>
    <row r="166" spans="2:9" s="22" customFormat="1" ht="51" x14ac:dyDescent="0.2">
      <c r="B166" s="23" t="s">
        <v>48</v>
      </c>
      <c r="C166" s="21"/>
      <c r="D166" s="48">
        <f t="shared" si="47"/>
        <v>0</v>
      </c>
      <c r="E166" s="49"/>
      <c r="F166" s="49"/>
      <c r="G166" s="50">
        <f t="shared" ref="G166:G173" si="52">+H166+I166</f>
        <v>0</v>
      </c>
      <c r="H166" s="49"/>
      <c r="I166" s="49"/>
    </row>
    <row r="167" spans="2:9" s="22" customFormat="1" ht="63.75" x14ac:dyDescent="0.2">
      <c r="B167" s="23" t="s">
        <v>49</v>
      </c>
      <c r="C167" s="21"/>
      <c r="D167" s="48">
        <f t="shared" si="47"/>
        <v>0</v>
      </c>
      <c r="E167" s="49"/>
      <c r="F167" s="49"/>
      <c r="G167" s="50">
        <f t="shared" si="52"/>
        <v>0</v>
      </c>
      <c r="H167" s="49"/>
      <c r="I167" s="49"/>
    </row>
    <row r="168" spans="2:9" s="22" customFormat="1" ht="25.5" x14ac:dyDescent="0.2">
      <c r="B168" s="23" t="s">
        <v>50</v>
      </c>
      <c r="C168" s="21"/>
      <c r="D168" s="48">
        <f t="shared" si="47"/>
        <v>0</v>
      </c>
      <c r="E168" s="49"/>
      <c r="F168" s="49"/>
      <c r="G168" s="50">
        <f t="shared" si="52"/>
        <v>0</v>
      </c>
      <c r="H168" s="49"/>
      <c r="I168" s="49"/>
    </row>
    <row r="169" spans="2:9" s="22" customFormat="1" ht="25.5" x14ac:dyDescent="0.2">
      <c r="B169" s="23" t="s">
        <v>33</v>
      </c>
      <c r="C169" s="21"/>
      <c r="D169" s="48">
        <f t="shared" si="47"/>
        <v>0</v>
      </c>
      <c r="E169" s="49"/>
      <c r="F169" s="49"/>
      <c r="G169" s="50">
        <f t="shared" si="52"/>
        <v>0</v>
      </c>
      <c r="H169" s="49"/>
      <c r="I169" s="49"/>
    </row>
    <row r="170" spans="2:9" s="22" customFormat="1" ht="25.5" x14ac:dyDescent="0.2">
      <c r="B170" s="23" t="s">
        <v>34</v>
      </c>
      <c r="C170" s="21"/>
      <c r="D170" s="48">
        <f t="shared" si="47"/>
        <v>0</v>
      </c>
      <c r="E170" s="49"/>
      <c r="F170" s="49"/>
      <c r="G170" s="50">
        <f t="shared" si="52"/>
        <v>0</v>
      </c>
      <c r="H170" s="49"/>
      <c r="I170" s="49"/>
    </row>
    <row r="171" spans="2:9" s="22" customFormat="1" ht="25.5" x14ac:dyDescent="0.2">
      <c r="B171" s="23" t="s">
        <v>35</v>
      </c>
      <c r="C171" s="21"/>
      <c r="D171" s="48">
        <f t="shared" si="47"/>
        <v>0</v>
      </c>
      <c r="E171" s="49"/>
      <c r="F171" s="49"/>
      <c r="G171" s="50">
        <f t="shared" si="52"/>
        <v>0</v>
      </c>
      <c r="H171" s="49"/>
      <c r="I171" s="49"/>
    </row>
    <row r="172" spans="2:9" s="22" customFormat="1" ht="25.5" x14ac:dyDescent="0.2">
      <c r="B172" s="23" t="s">
        <v>36</v>
      </c>
      <c r="C172" s="21"/>
      <c r="D172" s="48">
        <f t="shared" si="47"/>
        <v>0</v>
      </c>
      <c r="E172" s="49"/>
      <c r="F172" s="49"/>
      <c r="G172" s="50">
        <f t="shared" si="52"/>
        <v>0</v>
      </c>
      <c r="H172" s="49"/>
      <c r="I172" s="49"/>
    </row>
    <row r="173" spans="2:9" s="22" customFormat="1" ht="25.5" x14ac:dyDescent="0.2">
      <c r="B173" s="23" t="s">
        <v>37</v>
      </c>
      <c r="C173" s="21"/>
      <c r="D173" s="48">
        <f t="shared" si="47"/>
        <v>0</v>
      </c>
      <c r="E173" s="49"/>
      <c r="F173" s="49"/>
      <c r="G173" s="50">
        <f t="shared" si="52"/>
        <v>0</v>
      </c>
      <c r="H173" s="49"/>
      <c r="I173" s="49"/>
    </row>
    <row r="174" spans="2:9" ht="25.5" x14ac:dyDescent="0.2">
      <c r="B174" s="14" t="s">
        <v>116</v>
      </c>
      <c r="C174" s="11" t="s">
        <v>117</v>
      </c>
      <c r="D174" s="43">
        <f>+E174+F174</f>
        <v>0</v>
      </c>
      <c r="E174" s="44"/>
      <c r="F174" s="44"/>
      <c r="G174" s="43">
        <f>+H174+I174</f>
        <v>0</v>
      </c>
      <c r="H174" s="44"/>
      <c r="I174" s="44"/>
    </row>
    <row r="175" spans="2:9" ht="25.5" x14ac:dyDescent="0.2">
      <c r="B175" s="14" t="s">
        <v>118</v>
      </c>
      <c r="C175" s="11" t="s">
        <v>119</v>
      </c>
      <c r="D175" s="45">
        <f>+D88+D93+D94+D95+D146+D151+D174</f>
        <v>0</v>
      </c>
      <c r="E175" s="45">
        <f t="shared" ref="E175:I175" si="53">+E88+E93+E94+E95+E146+E151+E174</f>
        <v>0</v>
      </c>
      <c r="F175" s="45">
        <f t="shared" si="53"/>
        <v>0</v>
      </c>
      <c r="G175" s="45">
        <f t="shared" si="53"/>
        <v>0</v>
      </c>
      <c r="H175" s="45">
        <f t="shared" si="53"/>
        <v>0</v>
      </c>
      <c r="I175" s="45">
        <f t="shared" si="53"/>
        <v>0</v>
      </c>
    </row>
    <row r="176" spans="2:9" ht="25.5" x14ac:dyDescent="0.2">
      <c r="B176" s="14" t="s">
        <v>120</v>
      </c>
      <c r="C176" s="11" t="s">
        <v>121</v>
      </c>
      <c r="D176" s="45">
        <f>+D86+D175</f>
        <v>0</v>
      </c>
      <c r="E176" s="45">
        <f t="shared" ref="E176:I176" si="54">+E86+E175</f>
        <v>0</v>
      </c>
      <c r="F176" s="45">
        <f t="shared" si="54"/>
        <v>0</v>
      </c>
      <c r="G176" s="45">
        <f t="shared" si="54"/>
        <v>0</v>
      </c>
      <c r="H176" s="45">
        <f t="shared" si="54"/>
        <v>0</v>
      </c>
      <c r="I176" s="45">
        <f t="shared" si="54"/>
        <v>0</v>
      </c>
    </row>
    <row r="177" spans="2:9" ht="25.15" customHeight="1" x14ac:dyDescent="0.2">
      <c r="B177" s="7" t="s">
        <v>122</v>
      </c>
      <c r="C177" s="12"/>
      <c r="D177" s="43"/>
      <c r="E177" s="43"/>
      <c r="F177" s="43"/>
      <c r="G177" s="43"/>
      <c r="H177" s="43"/>
      <c r="I177" s="43"/>
    </row>
    <row r="178" spans="2:9" ht="25.5" x14ac:dyDescent="0.2">
      <c r="B178" s="10" t="s">
        <v>123</v>
      </c>
      <c r="C178" s="11"/>
      <c r="D178" s="43"/>
      <c r="E178" s="43"/>
      <c r="F178" s="43"/>
      <c r="G178" s="43"/>
      <c r="H178" s="43"/>
      <c r="I178" s="43"/>
    </row>
    <row r="179" spans="2:9" ht="25.5" x14ac:dyDescent="0.2">
      <c r="B179" s="14" t="s">
        <v>124</v>
      </c>
      <c r="C179" s="11" t="s">
        <v>125</v>
      </c>
      <c r="D179" s="43">
        <f t="shared" ref="D179:D185" si="55">+E179+F179</f>
        <v>0</v>
      </c>
      <c r="E179" s="44"/>
      <c r="F179" s="44"/>
      <c r="G179" s="43">
        <f t="shared" ref="G179:G185" si="56">+H179+I179</f>
        <v>0</v>
      </c>
      <c r="H179" s="44"/>
      <c r="I179" s="44"/>
    </row>
    <row r="180" spans="2:9" ht="25.5" x14ac:dyDescent="0.2">
      <c r="B180" s="14" t="s">
        <v>126</v>
      </c>
      <c r="C180" s="11" t="s">
        <v>127</v>
      </c>
      <c r="D180" s="43">
        <f t="shared" si="55"/>
        <v>0</v>
      </c>
      <c r="E180" s="44"/>
      <c r="F180" s="44"/>
      <c r="G180" s="43">
        <f t="shared" si="56"/>
        <v>0</v>
      </c>
      <c r="H180" s="44"/>
      <c r="I180" s="44"/>
    </row>
    <row r="181" spans="2:9" ht="25.5" x14ac:dyDescent="0.2">
      <c r="B181" s="14" t="s">
        <v>128</v>
      </c>
      <c r="C181" s="11" t="s">
        <v>129</v>
      </c>
      <c r="D181" s="43">
        <f t="shared" si="55"/>
        <v>0</v>
      </c>
      <c r="E181" s="44"/>
      <c r="F181" s="44"/>
      <c r="G181" s="43">
        <f t="shared" si="56"/>
        <v>0</v>
      </c>
      <c r="H181" s="44"/>
      <c r="I181" s="44"/>
    </row>
    <row r="182" spans="2:9" ht="25.5" x14ac:dyDescent="0.2">
      <c r="B182" s="14" t="s">
        <v>130</v>
      </c>
      <c r="C182" s="11" t="s">
        <v>131</v>
      </c>
      <c r="D182" s="43">
        <f t="shared" si="55"/>
        <v>0</v>
      </c>
      <c r="E182" s="44"/>
      <c r="F182" s="44"/>
      <c r="G182" s="43">
        <f t="shared" si="56"/>
        <v>0</v>
      </c>
      <c r="H182" s="44"/>
      <c r="I182" s="44"/>
    </row>
    <row r="183" spans="2:9" ht="25.5" x14ac:dyDescent="0.2">
      <c r="B183" s="14" t="s">
        <v>132</v>
      </c>
      <c r="C183" s="11" t="s">
        <v>133</v>
      </c>
      <c r="D183" s="43">
        <f t="shared" si="55"/>
        <v>0</v>
      </c>
      <c r="E183" s="44"/>
      <c r="F183" s="44"/>
      <c r="G183" s="43">
        <f t="shared" si="56"/>
        <v>0</v>
      </c>
      <c r="H183" s="44"/>
      <c r="I183" s="44"/>
    </row>
    <row r="184" spans="2:9" ht="25.5" x14ac:dyDescent="0.2">
      <c r="B184" s="14" t="s">
        <v>134</v>
      </c>
      <c r="C184" s="11" t="s">
        <v>135</v>
      </c>
      <c r="D184" s="43">
        <f t="shared" si="55"/>
        <v>0</v>
      </c>
      <c r="E184" s="44"/>
      <c r="F184" s="44"/>
      <c r="G184" s="43">
        <f t="shared" si="56"/>
        <v>0</v>
      </c>
      <c r="H184" s="44"/>
      <c r="I184" s="44"/>
    </row>
    <row r="185" spans="2:9" ht="25.5" x14ac:dyDescent="0.2">
      <c r="B185" s="14" t="s">
        <v>136</v>
      </c>
      <c r="C185" s="11" t="s">
        <v>137</v>
      </c>
      <c r="D185" s="43">
        <f t="shared" si="55"/>
        <v>0</v>
      </c>
      <c r="E185" s="44"/>
      <c r="F185" s="44"/>
      <c r="G185" s="43">
        <f t="shared" si="56"/>
        <v>0</v>
      </c>
      <c r="H185" s="44"/>
      <c r="I185" s="44"/>
    </row>
    <row r="186" spans="2:9" ht="25.5" x14ac:dyDescent="0.2">
      <c r="B186" s="14" t="s">
        <v>138</v>
      </c>
      <c r="C186" s="11" t="s">
        <v>139</v>
      </c>
      <c r="D186" s="46">
        <f>+D179+D180+D181-D182+D183+D184+D185</f>
        <v>0</v>
      </c>
      <c r="E186" s="46">
        <f t="shared" ref="E186:I186" si="57">+E179+E180+E181-E182+E183+E184+E185</f>
        <v>0</v>
      </c>
      <c r="F186" s="46">
        <f t="shared" si="57"/>
        <v>0</v>
      </c>
      <c r="G186" s="46">
        <f t="shared" si="57"/>
        <v>0</v>
      </c>
      <c r="H186" s="46">
        <f t="shared" si="57"/>
        <v>0</v>
      </c>
      <c r="I186" s="46">
        <f t="shared" si="57"/>
        <v>0</v>
      </c>
    </row>
    <row r="187" spans="2:9" ht="25.5" x14ac:dyDescent="0.2">
      <c r="B187" s="10" t="s">
        <v>140</v>
      </c>
      <c r="C187" s="11"/>
      <c r="D187" s="43"/>
      <c r="E187" s="43"/>
      <c r="F187" s="43"/>
      <c r="G187" s="43"/>
      <c r="H187" s="43"/>
      <c r="I187" s="43"/>
    </row>
    <row r="188" spans="2:9" ht="30.6" customHeight="1" x14ac:dyDescent="0.2">
      <c r="B188" s="14" t="s">
        <v>141</v>
      </c>
      <c r="C188" s="11" t="s">
        <v>142</v>
      </c>
      <c r="D188" s="45">
        <f>+D190+D197+D203+D204+D205+D206+D207+D211+D222</f>
        <v>0</v>
      </c>
      <c r="E188" s="45">
        <f t="shared" ref="E188:I188" si="58">+E190+E197+E203+E204+E205+E206+E207+E211+E222</f>
        <v>0</v>
      </c>
      <c r="F188" s="45">
        <f t="shared" si="58"/>
        <v>0</v>
      </c>
      <c r="G188" s="45">
        <f t="shared" si="58"/>
        <v>0</v>
      </c>
      <c r="H188" s="45">
        <f t="shared" si="58"/>
        <v>0</v>
      </c>
      <c r="I188" s="45">
        <f t="shared" si="58"/>
        <v>0</v>
      </c>
    </row>
    <row r="189" spans="2:9" ht="30.6" customHeight="1" x14ac:dyDescent="0.2">
      <c r="B189" s="14" t="s">
        <v>143</v>
      </c>
      <c r="C189" s="11" t="s">
        <v>144</v>
      </c>
      <c r="D189" s="43">
        <f>+D190+D197+D204+D206+D222</f>
        <v>0</v>
      </c>
      <c r="E189" s="43">
        <f t="shared" ref="E189:I189" si="59">+E190+E197+E204+E206+E222</f>
        <v>0</v>
      </c>
      <c r="F189" s="43">
        <f t="shared" si="59"/>
        <v>0</v>
      </c>
      <c r="G189" s="43">
        <f t="shared" si="59"/>
        <v>0</v>
      </c>
      <c r="H189" s="43">
        <f t="shared" si="59"/>
        <v>0</v>
      </c>
      <c r="I189" s="43">
        <f t="shared" si="59"/>
        <v>0</v>
      </c>
    </row>
    <row r="190" spans="2:9" ht="25.5" x14ac:dyDescent="0.2">
      <c r="B190" s="14" t="s">
        <v>145</v>
      </c>
      <c r="C190" s="11" t="s">
        <v>146</v>
      </c>
      <c r="D190" s="43">
        <f>SUM(D192:D195)</f>
        <v>0</v>
      </c>
      <c r="E190" s="43">
        <f t="shared" ref="E190:I190" si="60">SUM(E192:E195)</f>
        <v>0</v>
      </c>
      <c r="F190" s="43">
        <f t="shared" si="60"/>
        <v>0</v>
      </c>
      <c r="G190" s="43">
        <f t="shared" si="60"/>
        <v>0</v>
      </c>
      <c r="H190" s="43">
        <f t="shared" si="60"/>
        <v>0</v>
      </c>
      <c r="I190" s="43">
        <f t="shared" si="60"/>
        <v>0</v>
      </c>
    </row>
    <row r="191" spans="2:9" ht="25.5" x14ac:dyDescent="0.2">
      <c r="B191" s="14" t="s">
        <v>32</v>
      </c>
      <c r="C191" s="11"/>
      <c r="D191" s="43"/>
      <c r="E191" s="43"/>
      <c r="F191" s="43"/>
      <c r="G191" s="43"/>
      <c r="H191" s="43"/>
      <c r="I191" s="43"/>
    </row>
    <row r="192" spans="2:9" ht="25.5" x14ac:dyDescent="0.2">
      <c r="B192" s="17" t="s">
        <v>34</v>
      </c>
      <c r="C192" s="11"/>
      <c r="D192" s="43">
        <f t="shared" ref="D192:D195" si="61">+E192+F192</f>
        <v>0</v>
      </c>
      <c r="E192" s="44"/>
      <c r="F192" s="44"/>
      <c r="G192" s="43">
        <f t="shared" ref="G192:G195" si="62">+H192+I192</f>
        <v>0</v>
      </c>
      <c r="H192" s="44"/>
      <c r="I192" s="44"/>
    </row>
    <row r="193" spans="2:9" ht="25.5" x14ac:dyDescent="0.2">
      <c r="B193" s="17" t="s">
        <v>35</v>
      </c>
      <c r="C193" s="11"/>
      <c r="D193" s="43">
        <f t="shared" si="61"/>
        <v>0</v>
      </c>
      <c r="E193" s="44"/>
      <c r="F193" s="44"/>
      <c r="G193" s="43">
        <f t="shared" si="62"/>
        <v>0</v>
      </c>
      <c r="H193" s="44"/>
      <c r="I193" s="44"/>
    </row>
    <row r="194" spans="2:9" ht="25.5" x14ac:dyDescent="0.2">
      <c r="B194" s="17" t="s">
        <v>36</v>
      </c>
      <c r="C194" s="11"/>
      <c r="D194" s="43">
        <f t="shared" si="61"/>
        <v>0</v>
      </c>
      <c r="E194" s="44"/>
      <c r="F194" s="44"/>
      <c r="G194" s="43">
        <f t="shared" si="62"/>
        <v>0</v>
      </c>
      <c r="H194" s="44"/>
      <c r="I194" s="44"/>
    </row>
    <row r="195" spans="2:9" ht="25.5" x14ac:dyDescent="0.2">
      <c r="B195" s="17" t="s">
        <v>37</v>
      </c>
      <c r="C195" s="11"/>
      <c r="D195" s="43">
        <f t="shared" si="61"/>
        <v>0</v>
      </c>
      <c r="E195" s="44"/>
      <c r="F195" s="44"/>
      <c r="G195" s="43">
        <f t="shared" si="62"/>
        <v>0</v>
      </c>
      <c r="H195" s="44"/>
      <c r="I195" s="44"/>
    </row>
    <row r="196" spans="2:9" ht="25.5" x14ac:dyDescent="0.2">
      <c r="B196" s="14" t="s">
        <v>147</v>
      </c>
      <c r="C196" s="11" t="s">
        <v>148</v>
      </c>
      <c r="D196" s="43">
        <f>+E196+F196</f>
        <v>0</v>
      </c>
      <c r="E196" s="44"/>
      <c r="F196" s="44"/>
      <c r="G196" s="43">
        <f>+H196+I196</f>
        <v>0</v>
      </c>
      <c r="H196" s="44"/>
      <c r="I196" s="44"/>
    </row>
    <row r="197" spans="2:9" ht="34.9" customHeight="1" x14ac:dyDescent="0.2">
      <c r="B197" s="14" t="s">
        <v>149</v>
      </c>
      <c r="C197" s="11" t="s">
        <v>150</v>
      </c>
      <c r="D197" s="43">
        <f>SUM(D199:D202)</f>
        <v>0</v>
      </c>
      <c r="E197" s="43">
        <f t="shared" ref="E197:I197" si="63">SUM(E199:E202)</f>
        <v>0</v>
      </c>
      <c r="F197" s="43">
        <f t="shared" si="63"/>
        <v>0</v>
      </c>
      <c r="G197" s="43">
        <f t="shared" si="63"/>
        <v>0</v>
      </c>
      <c r="H197" s="43">
        <f t="shared" si="63"/>
        <v>0</v>
      </c>
      <c r="I197" s="43">
        <f t="shared" si="63"/>
        <v>0</v>
      </c>
    </row>
    <row r="198" spans="2:9" ht="25.5" x14ac:dyDescent="0.2">
      <c r="B198" s="14" t="s">
        <v>32</v>
      </c>
      <c r="C198" s="11"/>
      <c r="D198" s="43"/>
      <c r="E198" s="43"/>
      <c r="F198" s="43"/>
      <c r="G198" s="43"/>
      <c r="H198" s="43"/>
      <c r="I198" s="43"/>
    </row>
    <row r="199" spans="2:9" ht="25.5" x14ac:dyDescent="0.2">
      <c r="B199" s="17" t="s">
        <v>34</v>
      </c>
      <c r="C199" s="11"/>
      <c r="D199" s="43">
        <f t="shared" ref="D199:D206" si="64">+E199+F199</f>
        <v>0</v>
      </c>
      <c r="E199" s="44"/>
      <c r="F199" s="44"/>
      <c r="G199" s="43">
        <f t="shared" ref="G199:G206" si="65">+H199+I199</f>
        <v>0</v>
      </c>
      <c r="H199" s="44"/>
      <c r="I199" s="44"/>
    </row>
    <row r="200" spans="2:9" ht="25.5" x14ac:dyDescent="0.2">
      <c r="B200" s="17" t="s">
        <v>35</v>
      </c>
      <c r="C200" s="11"/>
      <c r="D200" s="43">
        <f t="shared" si="64"/>
        <v>0</v>
      </c>
      <c r="E200" s="44"/>
      <c r="F200" s="44"/>
      <c r="G200" s="43">
        <f t="shared" si="65"/>
        <v>0</v>
      </c>
      <c r="H200" s="44"/>
      <c r="I200" s="44"/>
    </row>
    <row r="201" spans="2:9" ht="25.5" x14ac:dyDescent="0.2">
      <c r="B201" s="17" t="s">
        <v>36</v>
      </c>
      <c r="C201" s="11"/>
      <c r="D201" s="43">
        <f t="shared" si="64"/>
        <v>0</v>
      </c>
      <c r="E201" s="44"/>
      <c r="F201" s="44"/>
      <c r="G201" s="43">
        <f t="shared" si="65"/>
        <v>0</v>
      </c>
      <c r="H201" s="44"/>
      <c r="I201" s="44"/>
    </row>
    <row r="202" spans="2:9" ht="25.5" x14ac:dyDescent="0.2">
      <c r="B202" s="17" t="s">
        <v>37</v>
      </c>
      <c r="C202" s="11"/>
      <c r="D202" s="43">
        <f t="shared" si="64"/>
        <v>0</v>
      </c>
      <c r="E202" s="44"/>
      <c r="F202" s="44"/>
      <c r="G202" s="43">
        <f t="shared" si="65"/>
        <v>0</v>
      </c>
      <c r="H202" s="44"/>
      <c r="I202" s="44"/>
    </row>
    <row r="203" spans="2:9" ht="25.5" x14ac:dyDescent="0.2">
      <c r="B203" s="14" t="s">
        <v>151</v>
      </c>
      <c r="C203" s="11" t="s">
        <v>152</v>
      </c>
      <c r="D203" s="43">
        <f t="shared" si="64"/>
        <v>0</v>
      </c>
      <c r="E203" s="44"/>
      <c r="F203" s="44"/>
      <c r="G203" s="43">
        <f t="shared" si="65"/>
        <v>0</v>
      </c>
      <c r="H203" s="44"/>
      <c r="I203" s="44"/>
    </row>
    <row r="204" spans="2:9" ht="34.9" customHeight="1" x14ac:dyDescent="0.2">
      <c r="B204" s="14" t="s">
        <v>153</v>
      </c>
      <c r="C204" s="11" t="s">
        <v>154</v>
      </c>
      <c r="D204" s="43">
        <f t="shared" si="64"/>
        <v>0</v>
      </c>
      <c r="E204" s="44"/>
      <c r="F204" s="44"/>
      <c r="G204" s="43">
        <f t="shared" si="65"/>
        <v>0</v>
      </c>
      <c r="H204" s="44"/>
      <c r="I204" s="44"/>
    </row>
    <row r="205" spans="2:9" ht="25.5" x14ac:dyDescent="0.2">
      <c r="B205" s="14" t="s">
        <v>155</v>
      </c>
      <c r="C205" s="11" t="s">
        <v>156</v>
      </c>
      <c r="D205" s="43">
        <f t="shared" si="64"/>
        <v>0</v>
      </c>
      <c r="E205" s="44"/>
      <c r="F205" s="44"/>
      <c r="G205" s="43">
        <f t="shared" si="65"/>
        <v>0</v>
      </c>
      <c r="H205" s="44"/>
      <c r="I205" s="44"/>
    </row>
    <row r="206" spans="2:9" ht="25.5" x14ac:dyDescent="0.2">
      <c r="B206" s="14" t="s">
        <v>157</v>
      </c>
      <c r="C206" s="11" t="s">
        <v>158</v>
      </c>
      <c r="D206" s="43">
        <f t="shared" si="64"/>
        <v>0</v>
      </c>
      <c r="E206" s="44"/>
      <c r="F206" s="44"/>
      <c r="G206" s="43">
        <f t="shared" si="65"/>
        <v>0</v>
      </c>
      <c r="H206" s="44"/>
      <c r="I206" s="44"/>
    </row>
    <row r="207" spans="2:9" ht="25.5" x14ac:dyDescent="0.2">
      <c r="B207" s="14" t="s">
        <v>159</v>
      </c>
      <c r="C207" s="11" t="s">
        <v>160</v>
      </c>
      <c r="D207" s="43">
        <f>+D209+D210</f>
        <v>0</v>
      </c>
      <c r="E207" s="43">
        <f t="shared" ref="E207:I207" si="66">+E209+E210</f>
        <v>0</v>
      </c>
      <c r="F207" s="43">
        <f t="shared" si="66"/>
        <v>0</v>
      </c>
      <c r="G207" s="43">
        <f t="shared" si="66"/>
        <v>0</v>
      </c>
      <c r="H207" s="43">
        <f t="shared" si="66"/>
        <v>0</v>
      </c>
      <c r="I207" s="43">
        <f t="shared" si="66"/>
        <v>0</v>
      </c>
    </row>
    <row r="208" spans="2:9" ht="25.5" x14ac:dyDescent="0.2">
      <c r="B208" s="14" t="s">
        <v>32</v>
      </c>
      <c r="C208" s="11"/>
      <c r="D208" s="43"/>
      <c r="E208" s="43"/>
      <c r="F208" s="43"/>
      <c r="G208" s="43"/>
      <c r="H208" s="43"/>
      <c r="I208" s="43"/>
    </row>
    <row r="209" spans="2:9" ht="25.5" x14ac:dyDescent="0.2">
      <c r="B209" s="17" t="s">
        <v>33</v>
      </c>
      <c r="C209" s="11"/>
      <c r="D209" s="43">
        <f t="shared" ref="D209:D210" si="67">+E209+F209</f>
        <v>0</v>
      </c>
      <c r="E209" s="44"/>
      <c r="F209" s="44"/>
      <c r="G209" s="43">
        <f t="shared" ref="G209:G210" si="68">+H209+I209</f>
        <v>0</v>
      </c>
      <c r="H209" s="44"/>
      <c r="I209" s="44"/>
    </row>
    <row r="210" spans="2:9" ht="25.5" x14ac:dyDescent="0.2">
      <c r="B210" s="17" t="s">
        <v>37</v>
      </c>
      <c r="C210" s="11"/>
      <c r="D210" s="43">
        <f t="shared" si="67"/>
        <v>0</v>
      </c>
      <c r="E210" s="44"/>
      <c r="F210" s="44"/>
      <c r="G210" s="43">
        <f t="shared" si="68"/>
        <v>0</v>
      </c>
      <c r="H210" s="44"/>
      <c r="I210" s="44"/>
    </row>
    <row r="211" spans="2:9" ht="25.5" x14ac:dyDescent="0.2">
      <c r="B211" s="14" t="s">
        <v>161</v>
      </c>
      <c r="C211" s="11" t="s">
        <v>162</v>
      </c>
      <c r="D211" s="43">
        <f>SUM(D213:D221)</f>
        <v>0</v>
      </c>
      <c r="E211" s="43">
        <f t="shared" ref="E211:I211" si="69">SUM(E213:E221)</f>
        <v>0</v>
      </c>
      <c r="F211" s="43">
        <f t="shared" si="69"/>
        <v>0</v>
      </c>
      <c r="G211" s="43">
        <f t="shared" si="69"/>
        <v>0</v>
      </c>
      <c r="H211" s="43">
        <f t="shared" si="69"/>
        <v>0</v>
      </c>
      <c r="I211" s="43">
        <f t="shared" si="69"/>
        <v>0</v>
      </c>
    </row>
    <row r="212" spans="2:9" ht="25.5" x14ac:dyDescent="0.2">
      <c r="B212" s="14" t="s">
        <v>32</v>
      </c>
      <c r="C212" s="11"/>
      <c r="D212" s="43"/>
      <c r="E212" s="43"/>
      <c r="F212" s="43"/>
      <c r="G212" s="43"/>
      <c r="H212" s="43"/>
      <c r="I212" s="43"/>
    </row>
    <row r="213" spans="2:9" s="22" customFormat="1" ht="38.25" x14ac:dyDescent="0.2">
      <c r="B213" s="27" t="s">
        <v>48</v>
      </c>
      <c r="C213" s="21"/>
      <c r="D213" s="48">
        <f t="shared" ref="D213:D221" si="70">+E213+F213</f>
        <v>0</v>
      </c>
      <c r="E213" s="49"/>
      <c r="F213" s="49"/>
      <c r="G213" s="50">
        <f t="shared" ref="G213:G221" si="71">+H213+I213</f>
        <v>0</v>
      </c>
      <c r="H213" s="49"/>
      <c r="I213" s="49"/>
    </row>
    <row r="214" spans="2:9" s="22" customFormat="1" ht="63.75" x14ac:dyDescent="0.2">
      <c r="B214" s="27" t="s">
        <v>49</v>
      </c>
      <c r="C214" s="21"/>
      <c r="D214" s="48">
        <f t="shared" si="70"/>
        <v>0</v>
      </c>
      <c r="E214" s="49"/>
      <c r="F214" s="49"/>
      <c r="G214" s="50">
        <f t="shared" si="71"/>
        <v>0</v>
      </c>
      <c r="H214" s="49"/>
      <c r="I214" s="49"/>
    </row>
    <row r="215" spans="2:9" s="22" customFormat="1" ht="25.5" x14ac:dyDescent="0.2">
      <c r="B215" s="27" t="s">
        <v>50</v>
      </c>
      <c r="C215" s="21"/>
      <c r="D215" s="48">
        <f t="shared" si="70"/>
        <v>0</v>
      </c>
      <c r="E215" s="49"/>
      <c r="F215" s="49"/>
      <c r="G215" s="50">
        <f t="shared" si="71"/>
        <v>0</v>
      </c>
      <c r="H215" s="49"/>
      <c r="I215" s="49"/>
    </row>
    <row r="216" spans="2:9" s="22" customFormat="1" ht="25.5" x14ac:dyDescent="0.2">
      <c r="B216" s="27" t="s">
        <v>33</v>
      </c>
      <c r="C216" s="21"/>
      <c r="D216" s="48">
        <f t="shared" si="70"/>
        <v>0</v>
      </c>
      <c r="E216" s="49"/>
      <c r="F216" s="49"/>
      <c r="G216" s="50">
        <f t="shared" si="71"/>
        <v>0</v>
      </c>
      <c r="H216" s="49"/>
      <c r="I216" s="49"/>
    </row>
    <row r="217" spans="2:9" s="22" customFormat="1" ht="25.5" x14ac:dyDescent="0.2">
      <c r="B217" s="27" t="s">
        <v>34</v>
      </c>
      <c r="C217" s="21"/>
      <c r="D217" s="48">
        <f t="shared" si="70"/>
        <v>0</v>
      </c>
      <c r="E217" s="49"/>
      <c r="F217" s="49"/>
      <c r="G217" s="50">
        <f t="shared" si="71"/>
        <v>0</v>
      </c>
      <c r="H217" s="49"/>
      <c r="I217" s="49"/>
    </row>
    <row r="218" spans="2:9" s="22" customFormat="1" ht="25.5" x14ac:dyDescent="0.2">
      <c r="B218" s="27" t="s">
        <v>35</v>
      </c>
      <c r="C218" s="21"/>
      <c r="D218" s="48">
        <f t="shared" si="70"/>
        <v>0</v>
      </c>
      <c r="E218" s="49"/>
      <c r="F218" s="49"/>
      <c r="G218" s="50">
        <f t="shared" si="71"/>
        <v>0</v>
      </c>
      <c r="H218" s="49"/>
      <c r="I218" s="49"/>
    </row>
    <row r="219" spans="2:9" s="22" customFormat="1" ht="25.5" x14ac:dyDescent="0.2">
      <c r="B219" s="27" t="s">
        <v>36</v>
      </c>
      <c r="C219" s="21"/>
      <c r="D219" s="48">
        <f t="shared" si="70"/>
        <v>0</v>
      </c>
      <c r="E219" s="49"/>
      <c r="F219" s="49"/>
      <c r="G219" s="50">
        <f t="shared" si="71"/>
        <v>0</v>
      </c>
      <c r="H219" s="49"/>
      <c r="I219" s="49"/>
    </row>
    <row r="220" spans="2:9" ht="25.5" x14ac:dyDescent="0.2">
      <c r="B220" s="17" t="s">
        <v>58</v>
      </c>
      <c r="C220" s="11"/>
      <c r="D220" s="43">
        <f t="shared" si="70"/>
        <v>0</v>
      </c>
      <c r="E220" s="44"/>
      <c r="F220" s="44"/>
      <c r="G220" s="43">
        <f t="shared" si="71"/>
        <v>0</v>
      </c>
      <c r="H220" s="44"/>
      <c r="I220" s="44"/>
    </row>
    <row r="221" spans="2:9" ht="25.5" x14ac:dyDescent="0.2">
      <c r="B221" s="17" t="s">
        <v>37</v>
      </c>
      <c r="C221" s="11"/>
      <c r="D221" s="43">
        <f t="shared" si="70"/>
        <v>0</v>
      </c>
      <c r="E221" s="44"/>
      <c r="F221" s="44"/>
      <c r="G221" s="43">
        <f t="shared" si="71"/>
        <v>0</v>
      </c>
      <c r="H221" s="44"/>
      <c r="I221" s="44"/>
    </row>
    <row r="222" spans="2:9" ht="25.5" x14ac:dyDescent="0.2">
      <c r="B222" s="14" t="s">
        <v>163</v>
      </c>
      <c r="C222" s="11" t="s">
        <v>164</v>
      </c>
      <c r="D222" s="43">
        <f>SUM(D224:D231)</f>
        <v>0</v>
      </c>
      <c r="E222" s="43">
        <f t="shared" ref="E222:I222" si="72">SUM(E224:E231)</f>
        <v>0</v>
      </c>
      <c r="F222" s="43">
        <f t="shared" si="72"/>
        <v>0</v>
      </c>
      <c r="G222" s="43">
        <f t="shared" si="72"/>
        <v>0</v>
      </c>
      <c r="H222" s="43">
        <f t="shared" si="72"/>
        <v>0</v>
      </c>
      <c r="I222" s="43">
        <f t="shared" si="72"/>
        <v>0</v>
      </c>
    </row>
    <row r="223" spans="2:9" ht="25.5" x14ac:dyDescent="0.2">
      <c r="B223" s="14" t="s">
        <v>32</v>
      </c>
      <c r="C223" s="11"/>
      <c r="D223" s="43"/>
      <c r="E223" s="43"/>
      <c r="F223" s="43"/>
      <c r="G223" s="43"/>
      <c r="H223" s="43"/>
      <c r="I223" s="43"/>
    </row>
    <row r="224" spans="2:9" s="22" customFormat="1" ht="38.25" x14ac:dyDescent="0.2">
      <c r="B224" s="27" t="s">
        <v>48</v>
      </c>
      <c r="C224" s="21"/>
      <c r="D224" s="48">
        <f t="shared" ref="D224:D231" si="73">+E224+F224</f>
        <v>0</v>
      </c>
      <c r="E224" s="49"/>
      <c r="F224" s="49"/>
      <c r="G224" s="50">
        <f t="shared" ref="G224:G231" si="74">+H224+I224</f>
        <v>0</v>
      </c>
      <c r="H224" s="49"/>
      <c r="I224" s="49"/>
    </row>
    <row r="225" spans="2:9" s="22" customFormat="1" ht="63.75" x14ac:dyDescent="0.2">
      <c r="B225" s="27" t="s">
        <v>49</v>
      </c>
      <c r="C225" s="21"/>
      <c r="D225" s="48">
        <f t="shared" si="73"/>
        <v>0</v>
      </c>
      <c r="E225" s="49"/>
      <c r="F225" s="49"/>
      <c r="G225" s="50">
        <f t="shared" si="74"/>
        <v>0</v>
      </c>
      <c r="H225" s="49"/>
      <c r="I225" s="49"/>
    </row>
    <row r="226" spans="2:9" s="22" customFormat="1" ht="25.5" x14ac:dyDescent="0.2">
      <c r="B226" s="27" t="s">
        <v>50</v>
      </c>
      <c r="C226" s="21"/>
      <c r="D226" s="48">
        <f t="shared" si="73"/>
        <v>0</v>
      </c>
      <c r="E226" s="49"/>
      <c r="F226" s="49"/>
      <c r="G226" s="50">
        <f t="shared" si="74"/>
        <v>0</v>
      </c>
      <c r="H226" s="49"/>
      <c r="I226" s="49"/>
    </row>
    <row r="227" spans="2:9" s="22" customFormat="1" ht="25.5" x14ac:dyDescent="0.2">
      <c r="B227" s="27" t="s">
        <v>33</v>
      </c>
      <c r="C227" s="21"/>
      <c r="D227" s="48">
        <f t="shared" si="73"/>
        <v>0</v>
      </c>
      <c r="E227" s="49"/>
      <c r="F227" s="49"/>
      <c r="G227" s="50">
        <f t="shared" si="74"/>
        <v>0</v>
      </c>
      <c r="H227" s="49"/>
      <c r="I227" s="49"/>
    </row>
    <row r="228" spans="2:9" s="22" customFormat="1" ht="25.5" x14ac:dyDescent="0.2">
      <c r="B228" s="27" t="s">
        <v>34</v>
      </c>
      <c r="C228" s="21"/>
      <c r="D228" s="48">
        <f t="shared" si="73"/>
        <v>0</v>
      </c>
      <c r="E228" s="49"/>
      <c r="F228" s="49"/>
      <c r="G228" s="50">
        <f t="shared" si="74"/>
        <v>0</v>
      </c>
      <c r="H228" s="49"/>
      <c r="I228" s="49"/>
    </row>
    <row r="229" spans="2:9" s="22" customFormat="1" ht="25.5" x14ac:dyDescent="0.2">
      <c r="B229" s="27" t="s">
        <v>35</v>
      </c>
      <c r="C229" s="21"/>
      <c r="D229" s="48">
        <f t="shared" si="73"/>
        <v>0</v>
      </c>
      <c r="E229" s="49"/>
      <c r="F229" s="49"/>
      <c r="G229" s="50">
        <f t="shared" si="74"/>
        <v>0</v>
      </c>
      <c r="H229" s="49"/>
      <c r="I229" s="49"/>
    </row>
    <row r="230" spans="2:9" s="22" customFormat="1" ht="25.5" x14ac:dyDescent="0.2">
      <c r="B230" s="27" t="s">
        <v>36</v>
      </c>
      <c r="C230" s="21"/>
      <c r="D230" s="48">
        <f t="shared" si="73"/>
        <v>0</v>
      </c>
      <c r="E230" s="49"/>
      <c r="F230" s="49"/>
      <c r="G230" s="50">
        <f t="shared" si="74"/>
        <v>0</v>
      </c>
      <c r="H230" s="49"/>
      <c r="I230" s="49"/>
    </row>
    <row r="231" spans="2:9" ht="25.5" x14ac:dyDescent="0.2">
      <c r="B231" s="17" t="s">
        <v>37</v>
      </c>
      <c r="C231" s="11"/>
      <c r="D231" s="43">
        <f t="shared" si="73"/>
        <v>0</v>
      </c>
      <c r="E231" s="44"/>
      <c r="F231" s="44"/>
      <c r="G231" s="43">
        <f t="shared" si="74"/>
        <v>0</v>
      </c>
      <c r="H231" s="44"/>
      <c r="I231" s="44"/>
    </row>
    <row r="232" spans="2:9" ht="61.9" customHeight="1" x14ac:dyDescent="0.2">
      <c r="B232" s="14" t="s">
        <v>165</v>
      </c>
      <c r="C232" s="11" t="s">
        <v>166</v>
      </c>
      <c r="D232" s="45">
        <f t="shared" ref="D232:I232" si="75">+D235+D242+D248+D249+D250+D251+D262+D263+D267+D268+D279+D280+D284+D295+D296</f>
        <v>0</v>
      </c>
      <c r="E232" s="45">
        <f t="shared" si="75"/>
        <v>0</v>
      </c>
      <c r="F232" s="45">
        <f t="shared" si="75"/>
        <v>0</v>
      </c>
      <c r="G232" s="45">
        <f t="shared" si="75"/>
        <v>0</v>
      </c>
      <c r="H232" s="45">
        <f t="shared" si="75"/>
        <v>0</v>
      </c>
      <c r="I232" s="45">
        <f t="shared" si="75"/>
        <v>0</v>
      </c>
    </row>
    <row r="233" spans="2:9" ht="62.1" customHeight="1" x14ac:dyDescent="0.2">
      <c r="B233" s="14" t="s">
        <v>167</v>
      </c>
      <c r="C233" s="11" t="s">
        <v>168</v>
      </c>
      <c r="D233" s="43">
        <f t="shared" ref="D233:I233" si="76">+D235+D242+D249+D251+D262+D263+D267+D268+D279+D296</f>
        <v>0</v>
      </c>
      <c r="E233" s="43">
        <f t="shared" si="76"/>
        <v>0</v>
      </c>
      <c r="F233" s="43">
        <f t="shared" si="76"/>
        <v>0</v>
      </c>
      <c r="G233" s="43">
        <f t="shared" si="76"/>
        <v>0</v>
      </c>
      <c r="H233" s="43">
        <f t="shared" si="76"/>
        <v>0</v>
      </c>
      <c r="I233" s="43">
        <f t="shared" si="76"/>
        <v>0</v>
      </c>
    </row>
    <row r="234" spans="2:9" ht="25.5" x14ac:dyDescent="0.2">
      <c r="B234" s="14" t="s">
        <v>169</v>
      </c>
      <c r="C234" s="26" t="s">
        <v>170</v>
      </c>
      <c r="D234" s="51">
        <f t="shared" ref="D234" si="77">+E234+F234</f>
        <v>0</v>
      </c>
      <c r="E234" s="52"/>
      <c r="F234" s="44"/>
      <c r="G234" s="43">
        <f t="shared" ref="G234" si="78">+H234+I234</f>
        <v>0</v>
      </c>
      <c r="H234" s="44"/>
      <c r="I234" s="44"/>
    </row>
    <row r="235" spans="2:9" ht="25.5" x14ac:dyDescent="0.2">
      <c r="B235" s="14" t="s">
        <v>171</v>
      </c>
      <c r="C235" s="26" t="s">
        <v>172</v>
      </c>
      <c r="D235" s="51">
        <f>SUM(D237:D240)</f>
        <v>0</v>
      </c>
      <c r="E235" s="51">
        <f t="shared" ref="E235:I235" si="79">SUM(E237:E240)</f>
        <v>0</v>
      </c>
      <c r="F235" s="43">
        <f t="shared" si="79"/>
        <v>0</v>
      </c>
      <c r="G235" s="43">
        <f t="shared" si="79"/>
        <v>0</v>
      </c>
      <c r="H235" s="43">
        <f t="shared" si="79"/>
        <v>0</v>
      </c>
      <c r="I235" s="43">
        <f t="shared" si="79"/>
        <v>0</v>
      </c>
    </row>
    <row r="236" spans="2:9" ht="25.5" x14ac:dyDescent="0.2">
      <c r="B236" s="14" t="s">
        <v>32</v>
      </c>
      <c r="C236" s="11"/>
      <c r="D236" s="43"/>
      <c r="E236" s="43"/>
      <c r="F236" s="43"/>
      <c r="G236" s="43"/>
      <c r="H236" s="43"/>
      <c r="I236" s="43"/>
    </row>
    <row r="237" spans="2:9" ht="25.5" x14ac:dyDescent="0.2">
      <c r="B237" s="17" t="s">
        <v>34</v>
      </c>
      <c r="C237" s="26"/>
      <c r="D237" s="51">
        <f t="shared" ref="D237:D241" si="80">+E237+F237</f>
        <v>0</v>
      </c>
      <c r="E237" s="52"/>
      <c r="F237" s="44"/>
      <c r="G237" s="43">
        <f t="shared" ref="G237:G241" si="81">+H237+I237</f>
        <v>0</v>
      </c>
      <c r="H237" s="44"/>
      <c r="I237" s="44"/>
    </row>
    <row r="238" spans="2:9" ht="25.5" x14ac:dyDescent="0.2">
      <c r="B238" s="17" t="s">
        <v>35</v>
      </c>
      <c r="C238" s="26"/>
      <c r="D238" s="51">
        <f t="shared" si="80"/>
        <v>0</v>
      </c>
      <c r="E238" s="52"/>
      <c r="F238" s="44"/>
      <c r="G238" s="43">
        <f t="shared" si="81"/>
        <v>0</v>
      </c>
      <c r="H238" s="44"/>
      <c r="I238" s="44"/>
    </row>
    <row r="239" spans="2:9" ht="25.5" x14ac:dyDescent="0.2">
      <c r="B239" s="17" t="s">
        <v>36</v>
      </c>
      <c r="C239" s="26"/>
      <c r="D239" s="51">
        <f t="shared" si="80"/>
        <v>0</v>
      </c>
      <c r="E239" s="52"/>
      <c r="F239" s="44"/>
      <c r="G239" s="43">
        <f t="shared" si="81"/>
        <v>0</v>
      </c>
      <c r="H239" s="44"/>
      <c r="I239" s="44"/>
    </row>
    <row r="240" spans="2:9" ht="25.5" x14ac:dyDescent="0.2">
      <c r="B240" s="17" t="s">
        <v>37</v>
      </c>
      <c r="C240" s="26"/>
      <c r="D240" s="51">
        <f t="shared" si="80"/>
        <v>0</v>
      </c>
      <c r="E240" s="52"/>
      <c r="F240" s="44"/>
      <c r="G240" s="43">
        <f t="shared" si="81"/>
        <v>0</v>
      </c>
      <c r="H240" s="44"/>
      <c r="I240" s="44"/>
    </row>
    <row r="241" spans="2:9" ht="25.5" x14ac:dyDescent="0.2">
      <c r="B241" s="14" t="s">
        <v>173</v>
      </c>
      <c r="C241" s="26" t="s">
        <v>174</v>
      </c>
      <c r="D241" s="51">
        <f t="shared" si="80"/>
        <v>0</v>
      </c>
      <c r="E241" s="52"/>
      <c r="F241" s="44"/>
      <c r="G241" s="43">
        <f t="shared" si="81"/>
        <v>0</v>
      </c>
      <c r="H241" s="44"/>
      <c r="I241" s="44"/>
    </row>
    <row r="242" spans="2:9" ht="25.5" x14ac:dyDescent="0.2">
      <c r="B242" s="14" t="s">
        <v>175</v>
      </c>
      <c r="C242" s="26" t="s">
        <v>176</v>
      </c>
      <c r="D242" s="51">
        <f>SUM(D244:D247)</f>
        <v>0</v>
      </c>
      <c r="E242" s="51">
        <f t="shared" ref="E242:I242" si="82">SUM(E244:E247)</f>
        <v>0</v>
      </c>
      <c r="F242" s="43">
        <f t="shared" si="82"/>
        <v>0</v>
      </c>
      <c r="G242" s="43">
        <f t="shared" si="82"/>
        <v>0</v>
      </c>
      <c r="H242" s="43">
        <f t="shared" si="82"/>
        <v>0</v>
      </c>
      <c r="I242" s="43">
        <f t="shared" si="82"/>
        <v>0</v>
      </c>
    </row>
    <row r="243" spans="2:9" ht="25.5" x14ac:dyDescent="0.2">
      <c r="B243" s="14" t="s">
        <v>32</v>
      </c>
      <c r="C243" s="11"/>
      <c r="D243" s="43"/>
      <c r="E243" s="43"/>
      <c r="F243" s="43"/>
      <c r="G243" s="43"/>
      <c r="H243" s="43"/>
      <c r="I243" s="43"/>
    </row>
    <row r="244" spans="2:9" ht="25.5" x14ac:dyDescent="0.2">
      <c r="B244" s="17" t="s">
        <v>34</v>
      </c>
      <c r="C244" s="11"/>
      <c r="D244" s="43">
        <f t="shared" ref="D244:D250" si="83">+E244+F244</f>
        <v>0</v>
      </c>
      <c r="E244" s="44"/>
      <c r="F244" s="44"/>
      <c r="G244" s="43">
        <f t="shared" ref="G244:G250" si="84">+H244+I244</f>
        <v>0</v>
      </c>
      <c r="H244" s="44"/>
      <c r="I244" s="44"/>
    </row>
    <row r="245" spans="2:9" ht="25.5" x14ac:dyDescent="0.2">
      <c r="B245" s="17" t="s">
        <v>35</v>
      </c>
      <c r="C245" s="11"/>
      <c r="D245" s="43">
        <f t="shared" si="83"/>
        <v>0</v>
      </c>
      <c r="E245" s="44"/>
      <c r="F245" s="44"/>
      <c r="G245" s="43">
        <f t="shared" si="84"/>
        <v>0</v>
      </c>
      <c r="H245" s="44"/>
      <c r="I245" s="44"/>
    </row>
    <row r="246" spans="2:9" ht="25.5" x14ac:dyDescent="0.2">
      <c r="B246" s="17" t="s">
        <v>36</v>
      </c>
      <c r="C246" s="11"/>
      <c r="D246" s="43">
        <f t="shared" si="83"/>
        <v>0</v>
      </c>
      <c r="E246" s="44"/>
      <c r="F246" s="44"/>
      <c r="G246" s="43">
        <f t="shared" si="84"/>
        <v>0</v>
      </c>
      <c r="H246" s="44"/>
      <c r="I246" s="44"/>
    </row>
    <row r="247" spans="2:9" ht="25.5" x14ac:dyDescent="0.2">
      <c r="B247" s="17" t="s">
        <v>37</v>
      </c>
      <c r="C247" s="11"/>
      <c r="D247" s="43">
        <f t="shared" si="83"/>
        <v>0</v>
      </c>
      <c r="E247" s="44"/>
      <c r="F247" s="44"/>
      <c r="G247" s="43">
        <f t="shared" si="84"/>
        <v>0</v>
      </c>
      <c r="H247" s="44"/>
      <c r="I247" s="44"/>
    </row>
    <row r="248" spans="2:9" ht="25.5" x14ac:dyDescent="0.2">
      <c r="B248" s="14" t="s">
        <v>177</v>
      </c>
      <c r="C248" s="26" t="s">
        <v>178</v>
      </c>
      <c r="D248" s="51">
        <f t="shared" si="83"/>
        <v>0</v>
      </c>
      <c r="E248" s="52"/>
      <c r="F248" s="44"/>
      <c r="G248" s="43">
        <f t="shared" si="84"/>
        <v>0</v>
      </c>
      <c r="H248" s="44"/>
      <c r="I248" s="44"/>
    </row>
    <row r="249" spans="2:9" ht="25.5" x14ac:dyDescent="0.2">
      <c r="B249" s="14" t="s">
        <v>179</v>
      </c>
      <c r="C249" s="26" t="s">
        <v>180</v>
      </c>
      <c r="D249" s="51">
        <f t="shared" si="83"/>
        <v>0</v>
      </c>
      <c r="E249" s="52"/>
      <c r="F249" s="44"/>
      <c r="G249" s="43">
        <f t="shared" si="84"/>
        <v>0</v>
      </c>
      <c r="H249" s="44"/>
      <c r="I249" s="44"/>
    </row>
    <row r="250" spans="2:9" ht="25.5" x14ac:dyDescent="0.2">
      <c r="B250" s="14" t="s">
        <v>181</v>
      </c>
      <c r="C250" s="26" t="s">
        <v>182</v>
      </c>
      <c r="D250" s="51">
        <f t="shared" si="83"/>
        <v>0</v>
      </c>
      <c r="E250" s="52"/>
      <c r="F250" s="44"/>
      <c r="G250" s="43">
        <f t="shared" si="84"/>
        <v>0</v>
      </c>
      <c r="H250" s="44"/>
      <c r="I250" s="44"/>
    </row>
    <row r="251" spans="2:9" ht="25.5" x14ac:dyDescent="0.2">
      <c r="B251" s="14" t="s">
        <v>183</v>
      </c>
      <c r="C251" s="26" t="s">
        <v>184</v>
      </c>
      <c r="D251" s="51">
        <f>SUM(D253:D261)</f>
        <v>0</v>
      </c>
      <c r="E251" s="51">
        <f t="shared" ref="E251:I251" si="85">SUM(E253:E261)</f>
        <v>0</v>
      </c>
      <c r="F251" s="43">
        <f t="shared" si="85"/>
        <v>0</v>
      </c>
      <c r="G251" s="43">
        <f t="shared" si="85"/>
        <v>0</v>
      </c>
      <c r="H251" s="43">
        <f t="shared" si="85"/>
        <v>0</v>
      </c>
      <c r="I251" s="43">
        <f t="shared" si="85"/>
        <v>0</v>
      </c>
    </row>
    <row r="252" spans="2:9" ht="25.5" x14ac:dyDescent="0.2">
      <c r="B252" s="14" t="s">
        <v>32</v>
      </c>
      <c r="C252" s="11"/>
      <c r="D252" s="43"/>
      <c r="E252" s="43"/>
      <c r="F252" s="43"/>
      <c r="G252" s="43"/>
      <c r="H252" s="43"/>
      <c r="I252" s="43"/>
    </row>
    <row r="253" spans="2:9" ht="38.25" x14ac:dyDescent="0.2">
      <c r="B253" s="17" t="s">
        <v>48</v>
      </c>
      <c r="C253" s="26"/>
      <c r="D253" s="51">
        <f t="shared" ref="D253:D262" si="86">+E253+F253</f>
        <v>0</v>
      </c>
      <c r="E253" s="52"/>
      <c r="F253" s="44"/>
      <c r="G253" s="43">
        <f t="shared" ref="G253:G262" si="87">+H253+I253</f>
        <v>0</v>
      </c>
      <c r="H253" s="44"/>
      <c r="I253" s="44"/>
    </row>
    <row r="254" spans="2:9" ht="63.75" x14ac:dyDescent="0.2">
      <c r="B254" s="17" t="s">
        <v>49</v>
      </c>
      <c r="C254" s="26"/>
      <c r="D254" s="51">
        <f t="shared" si="86"/>
        <v>0</v>
      </c>
      <c r="E254" s="52"/>
      <c r="F254" s="44"/>
      <c r="G254" s="43">
        <f t="shared" si="87"/>
        <v>0</v>
      </c>
      <c r="H254" s="44"/>
      <c r="I254" s="44"/>
    </row>
    <row r="255" spans="2:9" ht="25.5" x14ac:dyDescent="0.2">
      <c r="B255" s="17" t="s">
        <v>50</v>
      </c>
      <c r="C255" s="26"/>
      <c r="D255" s="51">
        <f t="shared" si="86"/>
        <v>0</v>
      </c>
      <c r="E255" s="52"/>
      <c r="F255" s="44"/>
      <c r="G255" s="43">
        <f t="shared" si="87"/>
        <v>0</v>
      </c>
      <c r="H255" s="44"/>
      <c r="I255" s="44"/>
    </row>
    <row r="256" spans="2:9" ht="25.5" x14ac:dyDescent="0.2">
      <c r="B256" s="17" t="s">
        <v>33</v>
      </c>
      <c r="C256" s="26"/>
      <c r="D256" s="51">
        <f t="shared" si="86"/>
        <v>0</v>
      </c>
      <c r="E256" s="52"/>
      <c r="F256" s="44"/>
      <c r="G256" s="43">
        <f t="shared" si="87"/>
        <v>0</v>
      </c>
      <c r="H256" s="44"/>
      <c r="I256" s="44"/>
    </row>
    <row r="257" spans="2:9" ht="25.5" x14ac:dyDescent="0.2">
      <c r="B257" s="17" t="s">
        <v>34</v>
      </c>
      <c r="C257" s="26"/>
      <c r="D257" s="51">
        <f t="shared" si="86"/>
        <v>0</v>
      </c>
      <c r="E257" s="52"/>
      <c r="F257" s="44"/>
      <c r="G257" s="43">
        <f t="shared" si="87"/>
        <v>0</v>
      </c>
      <c r="H257" s="44"/>
      <c r="I257" s="44"/>
    </row>
    <row r="258" spans="2:9" ht="25.5" x14ac:dyDescent="0.2">
      <c r="B258" s="17" t="s">
        <v>35</v>
      </c>
      <c r="C258" s="26"/>
      <c r="D258" s="51">
        <f t="shared" si="86"/>
        <v>0</v>
      </c>
      <c r="E258" s="52"/>
      <c r="F258" s="44"/>
      <c r="G258" s="43">
        <f t="shared" si="87"/>
        <v>0</v>
      </c>
      <c r="H258" s="44"/>
      <c r="I258" s="44"/>
    </row>
    <row r="259" spans="2:9" ht="25.5" x14ac:dyDescent="0.2">
      <c r="B259" s="17" t="s">
        <v>36</v>
      </c>
      <c r="C259" s="26"/>
      <c r="D259" s="51">
        <f t="shared" si="86"/>
        <v>0</v>
      </c>
      <c r="E259" s="52"/>
      <c r="F259" s="44"/>
      <c r="G259" s="43">
        <f t="shared" si="87"/>
        <v>0</v>
      </c>
      <c r="H259" s="44"/>
      <c r="I259" s="44"/>
    </row>
    <row r="260" spans="2:9" ht="25.5" x14ac:dyDescent="0.2">
      <c r="B260" s="17" t="s">
        <v>58</v>
      </c>
      <c r="C260" s="26"/>
      <c r="D260" s="51">
        <f t="shared" si="86"/>
        <v>0</v>
      </c>
      <c r="E260" s="52"/>
      <c r="F260" s="44"/>
      <c r="G260" s="43">
        <f t="shared" si="87"/>
        <v>0</v>
      </c>
      <c r="H260" s="44"/>
      <c r="I260" s="44"/>
    </row>
    <row r="261" spans="2:9" ht="25.5" x14ac:dyDescent="0.2">
      <c r="B261" s="17" t="s">
        <v>37</v>
      </c>
      <c r="C261" s="26"/>
      <c r="D261" s="51">
        <f t="shared" si="86"/>
        <v>0</v>
      </c>
      <c r="E261" s="52"/>
      <c r="F261" s="44"/>
      <c r="G261" s="43">
        <f t="shared" si="87"/>
        <v>0</v>
      </c>
      <c r="H261" s="44"/>
      <c r="I261" s="44"/>
    </row>
    <row r="262" spans="2:9" ht="25.5" x14ac:dyDescent="0.2">
      <c r="B262" s="14" t="s">
        <v>185</v>
      </c>
      <c r="C262" s="26" t="s">
        <v>186</v>
      </c>
      <c r="D262" s="51">
        <f t="shared" si="86"/>
        <v>0</v>
      </c>
      <c r="E262" s="52"/>
      <c r="F262" s="44"/>
      <c r="G262" s="43">
        <f t="shared" si="87"/>
        <v>0</v>
      </c>
      <c r="H262" s="44"/>
      <c r="I262" s="44"/>
    </row>
    <row r="263" spans="2:9" ht="25.5" x14ac:dyDescent="0.2">
      <c r="B263" s="14" t="s">
        <v>187</v>
      </c>
      <c r="C263" s="26" t="s">
        <v>188</v>
      </c>
      <c r="D263" s="51">
        <f>SUM(D265:D266)</f>
        <v>0</v>
      </c>
      <c r="E263" s="51">
        <f t="shared" ref="E263:I263" si="88">SUM(E265:E266)</f>
        <v>0</v>
      </c>
      <c r="F263" s="43">
        <f t="shared" si="88"/>
        <v>0</v>
      </c>
      <c r="G263" s="43">
        <f t="shared" si="88"/>
        <v>0</v>
      </c>
      <c r="H263" s="43">
        <f t="shared" si="88"/>
        <v>0</v>
      </c>
      <c r="I263" s="43">
        <f t="shared" si="88"/>
        <v>0</v>
      </c>
    </row>
    <row r="264" spans="2:9" ht="25.5" x14ac:dyDescent="0.2">
      <c r="B264" s="14" t="s">
        <v>32</v>
      </c>
      <c r="C264" s="11"/>
      <c r="D264" s="43"/>
      <c r="E264" s="43"/>
      <c r="F264" s="43"/>
      <c r="G264" s="43"/>
      <c r="H264" s="43"/>
      <c r="I264" s="43"/>
    </row>
    <row r="265" spans="2:9" ht="25.5" x14ac:dyDescent="0.2">
      <c r="B265" s="17" t="s">
        <v>34</v>
      </c>
      <c r="C265" s="26"/>
      <c r="D265" s="51">
        <f t="shared" ref="D265:D267" si="89">+E265+F265</f>
        <v>0</v>
      </c>
      <c r="E265" s="52"/>
      <c r="F265" s="44"/>
      <c r="G265" s="43">
        <f t="shared" ref="G265:G267" si="90">+H265+I265</f>
        <v>0</v>
      </c>
      <c r="H265" s="44"/>
      <c r="I265" s="44"/>
    </row>
    <row r="266" spans="2:9" ht="25.5" x14ac:dyDescent="0.2">
      <c r="B266" s="17" t="s">
        <v>37</v>
      </c>
      <c r="C266" s="26"/>
      <c r="D266" s="51">
        <f t="shared" si="89"/>
        <v>0</v>
      </c>
      <c r="E266" s="52"/>
      <c r="F266" s="44"/>
      <c r="G266" s="43">
        <f t="shared" si="90"/>
        <v>0</v>
      </c>
      <c r="H266" s="44"/>
      <c r="I266" s="44"/>
    </row>
    <row r="267" spans="2:9" ht="25.5" x14ac:dyDescent="0.2">
      <c r="B267" s="14" t="s">
        <v>189</v>
      </c>
      <c r="C267" s="26" t="s">
        <v>190</v>
      </c>
      <c r="D267" s="51">
        <f t="shared" si="89"/>
        <v>0</v>
      </c>
      <c r="E267" s="52"/>
      <c r="F267" s="44"/>
      <c r="G267" s="43">
        <f t="shared" si="90"/>
        <v>0</v>
      </c>
      <c r="H267" s="44"/>
      <c r="I267" s="44"/>
    </row>
    <row r="268" spans="2:9" ht="25.5" x14ac:dyDescent="0.2">
      <c r="B268" s="14" t="s">
        <v>191</v>
      </c>
      <c r="C268" s="11" t="s">
        <v>192</v>
      </c>
      <c r="D268" s="43">
        <f>SUM(D270:D278)</f>
        <v>0</v>
      </c>
      <c r="E268" s="43">
        <f t="shared" ref="E268:I268" si="91">SUM(E270:E278)</f>
        <v>0</v>
      </c>
      <c r="F268" s="43">
        <f t="shared" si="91"/>
        <v>0</v>
      </c>
      <c r="G268" s="43">
        <f t="shared" si="91"/>
        <v>0</v>
      </c>
      <c r="H268" s="43">
        <f t="shared" si="91"/>
        <v>0</v>
      </c>
      <c r="I268" s="43">
        <f t="shared" si="91"/>
        <v>0</v>
      </c>
    </row>
    <row r="269" spans="2:9" ht="25.5" x14ac:dyDescent="0.2">
      <c r="B269" s="14" t="s">
        <v>32</v>
      </c>
      <c r="C269" s="11"/>
      <c r="D269" s="43"/>
      <c r="E269" s="43"/>
      <c r="F269" s="43"/>
      <c r="G269" s="43"/>
      <c r="H269" s="43"/>
      <c r="I269" s="43"/>
    </row>
    <row r="270" spans="2:9" ht="38.25" x14ac:dyDescent="0.2">
      <c r="B270" s="17" t="s">
        <v>48</v>
      </c>
      <c r="C270" s="11"/>
      <c r="D270" s="43">
        <f t="shared" ref="D270:D279" si="92">+E270+F270</f>
        <v>0</v>
      </c>
      <c r="E270" s="44"/>
      <c r="F270" s="44"/>
      <c r="G270" s="43">
        <f t="shared" ref="G270:G279" si="93">+H270+I270</f>
        <v>0</v>
      </c>
      <c r="H270" s="44"/>
      <c r="I270" s="44"/>
    </row>
    <row r="271" spans="2:9" ht="63.75" x14ac:dyDescent="0.2">
      <c r="B271" s="17" t="s">
        <v>49</v>
      </c>
      <c r="C271" s="11"/>
      <c r="D271" s="43">
        <f t="shared" si="92"/>
        <v>0</v>
      </c>
      <c r="E271" s="44"/>
      <c r="F271" s="44"/>
      <c r="G271" s="43">
        <f t="shared" si="93"/>
        <v>0</v>
      </c>
      <c r="H271" s="44"/>
      <c r="I271" s="44"/>
    </row>
    <row r="272" spans="2:9" ht="25.5" x14ac:dyDescent="0.2">
      <c r="B272" s="17" t="s">
        <v>50</v>
      </c>
      <c r="C272" s="11"/>
      <c r="D272" s="43">
        <f t="shared" si="92"/>
        <v>0</v>
      </c>
      <c r="E272" s="44"/>
      <c r="F272" s="44"/>
      <c r="G272" s="43">
        <f t="shared" si="93"/>
        <v>0</v>
      </c>
      <c r="H272" s="44"/>
      <c r="I272" s="44"/>
    </row>
    <row r="273" spans="2:9" ht="25.5" x14ac:dyDescent="0.2">
      <c r="B273" s="17" t="s">
        <v>33</v>
      </c>
      <c r="C273" s="11"/>
      <c r="D273" s="43">
        <f t="shared" si="92"/>
        <v>0</v>
      </c>
      <c r="E273" s="44"/>
      <c r="F273" s="44"/>
      <c r="G273" s="43">
        <f t="shared" si="93"/>
        <v>0</v>
      </c>
      <c r="H273" s="44"/>
      <c r="I273" s="44"/>
    </row>
    <row r="274" spans="2:9" ht="25.5" x14ac:dyDescent="0.2">
      <c r="B274" s="17" t="s">
        <v>34</v>
      </c>
      <c r="C274" s="11"/>
      <c r="D274" s="43">
        <f t="shared" si="92"/>
        <v>0</v>
      </c>
      <c r="E274" s="44"/>
      <c r="F274" s="44"/>
      <c r="G274" s="43">
        <f t="shared" si="93"/>
        <v>0</v>
      </c>
      <c r="H274" s="44"/>
      <c r="I274" s="44"/>
    </row>
    <row r="275" spans="2:9" ht="25.5" x14ac:dyDescent="0.2">
      <c r="B275" s="17" t="s">
        <v>35</v>
      </c>
      <c r="C275" s="11"/>
      <c r="D275" s="43">
        <f t="shared" si="92"/>
        <v>0</v>
      </c>
      <c r="E275" s="44"/>
      <c r="F275" s="44"/>
      <c r="G275" s="43">
        <f t="shared" si="93"/>
        <v>0</v>
      </c>
      <c r="H275" s="44"/>
      <c r="I275" s="44"/>
    </row>
    <row r="276" spans="2:9" ht="25.5" x14ac:dyDescent="0.2">
      <c r="B276" s="17" t="s">
        <v>36</v>
      </c>
      <c r="C276" s="11"/>
      <c r="D276" s="43">
        <f t="shared" si="92"/>
        <v>0</v>
      </c>
      <c r="E276" s="44"/>
      <c r="F276" s="44"/>
      <c r="G276" s="43">
        <f t="shared" si="93"/>
        <v>0</v>
      </c>
      <c r="H276" s="44"/>
      <c r="I276" s="44"/>
    </row>
    <row r="277" spans="2:9" ht="25.5" x14ac:dyDescent="0.2">
      <c r="B277" s="17" t="s">
        <v>58</v>
      </c>
      <c r="C277" s="11"/>
      <c r="D277" s="43">
        <f t="shared" si="92"/>
        <v>0</v>
      </c>
      <c r="E277" s="44"/>
      <c r="F277" s="44"/>
      <c r="G277" s="43">
        <f t="shared" si="93"/>
        <v>0</v>
      </c>
      <c r="H277" s="44"/>
      <c r="I277" s="44"/>
    </row>
    <row r="278" spans="2:9" ht="25.5" x14ac:dyDescent="0.2">
      <c r="B278" s="17" t="s">
        <v>37</v>
      </c>
      <c r="C278" s="11"/>
      <c r="D278" s="43">
        <f t="shared" si="92"/>
        <v>0</v>
      </c>
      <c r="E278" s="44"/>
      <c r="F278" s="44"/>
      <c r="G278" s="43">
        <f t="shared" si="93"/>
        <v>0</v>
      </c>
      <c r="H278" s="44"/>
      <c r="I278" s="44"/>
    </row>
    <row r="279" spans="2:9" ht="25.5" x14ac:dyDescent="0.2">
      <c r="B279" s="14" t="s">
        <v>193</v>
      </c>
      <c r="C279" s="11" t="s">
        <v>194</v>
      </c>
      <c r="D279" s="43">
        <f t="shared" si="92"/>
        <v>0</v>
      </c>
      <c r="E279" s="44"/>
      <c r="F279" s="44"/>
      <c r="G279" s="43">
        <f t="shared" si="93"/>
        <v>0</v>
      </c>
      <c r="H279" s="44"/>
      <c r="I279" s="44"/>
    </row>
    <row r="280" spans="2:9" ht="25.5" x14ac:dyDescent="0.2">
      <c r="B280" s="14" t="s">
        <v>195</v>
      </c>
      <c r="C280" s="11" t="s">
        <v>196</v>
      </c>
      <c r="D280" s="43">
        <f>SUM(D282:D283)</f>
        <v>0</v>
      </c>
      <c r="E280" s="43">
        <f t="shared" ref="E280:I280" si="94">SUM(E282:E283)</f>
        <v>0</v>
      </c>
      <c r="F280" s="43">
        <f t="shared" si="94"/>
        <v>0</v>
      </c>
      <c r="G280" s="43">
        <f t="shared" si="94"/>
        <v>0</v>
      </c>
      <c r="H280" s="43">
        <f t="shared" si="94"/>
        <v>0</v>
      </c>
      <c r="I280" s="43">
        <f t="shared" si="94"/>
        <v>0</v>
      </c>
    </row>
    <row r="281" spans="2:9" ht="25.5" x14ac:dyDescent="0.2">
      <c r="B281" s="14" t="s">
        <v>32</v>
      </c>
      <c r="C281" s="11"/>
      <c r="D281" s="43"/>
      <c r="E281" s="43"/>
      <c r="F281" s="43"/>
      <c r="G281" s="43"/>
      <c r="H281" s="43"/>
      <c r="I281" s="43"/>
    </row>
    <row r="282" spans="2:9" ht="25.5" x14ac:dyDescent="0.2">
      <c r="B282" s="17" t="s">
        <v>33</v>
      </c>
      <c r="C282" s="11"/>
      <c r="D282" s="43">
        <f t="shared" ref="D282:D283" si="95">+E282+F282</f>
        <v>0</v>
      </c>
      <c r="E282" s="44"/>
      <c r="F282" s="44"/>
      <c r="G282" s="43">
        <f t="shared" ref="G282:G283" si="96">+H282+I282</f>
        <v>0</v>
      </c>
      <c r="H282" s="44"/>
      <c r="I282" s="44"/>
    </row>
    <row r="283" spans="2:9" ht="25.5" x14ac:dyDescent="0.2">
      <c r="B283" s="17" t="s">
        <v>37</v>
      </c>
      <c r="C283" s="11"/>
      <c r="D283" s="43">
        <f t="shared" si="95"/>
        <v>0</v>
      </c>
      <c r="E283" s="44"/>
      <c r="F283" s="44"/>
      <c r="G283" s="43">
        <f t="shared" si="96"/>
        <v>0</v>
      </c>
      <c r="H283" s="44"/>
      <c r="I283" s="44"/>
    </row>
    <row r="284" spans="2:9" ht="25.5" x14ac:dyDescent="0.2">
      <c r="B284" s="14" t="s">
        <v>197</v>
      </c>
      <c r="C284" s="11" t="s">
        <v>198</v>
      </c>
      <c r="D284" s="43">
        <f>SUM(D286:D294)</f>
        <v>0</v>
      </c>
      <c r="E284" s="43">
        <f t="shared" ref="E284:I284" si="97">SUM(E286:E294)</f>
        <v>0</v>
      </c>
      <c r="F284" s="43">
        <f t="shared" si="97"/>
        <v>0</v>
      </c>
      <c r="G284" s="43">
        <f t="shared" si="97"/>
        <v>0</v>
      </c>
      <c r="H284" s="43">
        <f t="shared" si="97"/>
        <v>0</v>
      </c>
      <c r="I284" s="43">
        <f t="shared" si="97"/>
        <v>0</v>
      </c>
    </row>
    <row r="285" spans="2:9" ht="25.5" x14ac:dyDescent="0.2">
      <c r="B285" s="14" t="s">
        <v>32</v>
      </c>
      <c r="C285" s="11"/>
      <c r="D285" s="43"/>
      <c r="E285" s="43"/>
      <c r="F285" s="43"/>
      <c r="G285" s="43"/>
      <c r="H285" s="43"/>
      <c r="I285" s="43"/>
    </row>
    <row r="286" spans="2:9" ht="38.25" x14ac:dyDescent="0.2">
      <c r="B286" s="68" t="s">
        <v>48</v>
      </c>
      <c r="C286" s="11"/>
      <c r="D286" s="43">
        <f t="shared" ref="D286:D295" si="98">+E286+F286</f>
        <v>0</v>
      </c>
      <c r="E286" s="44"/>
      <c r="F286" s="44"/>
      <c r="G286" s="43">
        <f t="shared" ref="G286:G295" si="99">+H286+I286</f>
        <v>0</v>
      </c>
      <c r="H286" s="44"/>
      <c r="I286" s="44"/>
    </row>
    <row r="287" spans="2:9" ht="63.75" x14ac:dyDescent="0.2">
      <c r="B287" s="68" t="s">
        <v>49</v>
      </c>
      <c r="C287" s="11"/>
      <c r="D287" s="43">
        <f t="shared" si="98"/>
        <v>0</v>
      </c>
      <c r="E287" s="44"/>
      <c r="F287" s="44"/>
      <c r="G287" s="43">
        <f t="shared" si="99"/>
        <v>0</v>
      </c>
      <c r="H287" s="44"/>
      <c r="I287" s="44"/>
    </row>
    <row r="288" spans="2:9" ht="25.5" x14ac:dyDescent="0.2">
      <c r="B288" s="68" t="s">
        <v>50</v>
      </c>
      <c r="C288" s="11"/>
      <c r="D288" s="43">
        <f t="shared" si="98"/>
        <v>0</v>
      </c>
      <c r="E288" s="44"/>
      <c r="F288" s="44"/>
      <c r="G288" s="43">
        <f t="shared" si="99"/>
        <v>0</v>
      </c>
      <c r="H288" s="44"/>
      <c r="I288" s="44"/>
    </row>
    <row r="289" spans="2:9" ht="25.5" x14ac:dyDescent="0.2">
      <c r="B289" s="17" t="s">
        <v>33</v>
      </c>
      <c r="C289" s="11"/>
      <c r="D289" s="43">
        <f t="shared" si="98"/>
        <v>0</v>
      </c>
      <c r="E289" s="44"/>
      <c r="F289" s="44"/>
      <c r="G289" s="43">
        <f t="shared" si="99"/>
        <v>0</v>
      </c>
      <c r="H289" s="44"/>
      <c r="I289" s="44"/>
    </row>
    <row r="290" spans="2:9" ht="25.5" x14ac:dyDescent="0.2">
      <c r="B290" s="17" t="s">
        <v>34</v>
      </c>
      <c r="C290" s="11"/>
      <c r="D290" s="43">
        <f t="shared" si="98"/>
        <v>0</v>
      </c>
      <c r="E290" s="44"/>
      <c r="F290" s="44"/>
      <c r="G290" s="43">
        <f t="shared" si="99"/>
        <v>0</v>
      </c>
      <c r="H290" s="44"/>
      <c r="I290" s="44"/>
    </row>
    <row r="291" spans="2:9" ht="25.5" x14ac:dyDescent="0.2">
      <c r="B291" s="68" t="s">
        <v>35</v>
      </c>
      <c r="C291" s="11"/>
      <c r="D291" s="43">
        <f t="shared" si="98"/>
        <v>0</v>
      </c>
      <c r="E291" s="44"/>
      <c r="F291" s="44"/>
      <c r="G291" s="43">
        <f t="shared" si="99"/>
        <v>0</v>
      </c>
      <c r="H291" s="44"/>
      <c r="I291" s="44"/>
    </row>
    <row r="292" spans="2:9" ht="25.5" x14ac:dyDescent="0.2">
      <c r="B292" s="68" t="s">
        <v>36</v>
      </c>
      <c r="C292" s="11"/>
      <c r="D292" s="43">
        <f t="shared" si="98"/>
        <v>0</v>
      </c>
      <c r="E292" s="44"/>
      <c r="F292" s="44"/>
      <c r="G292" s="43">
        <f t="shared" si="99"/>
        <v>0</v>
      </c>
      <c r="H292" s="44"/>
      <c r="I292" s="44"/>
    </row>
    <row r="293" spans="2:9" ht="25.5" x14ac:dyDescent="0.2">
      <c r="B293" s="68" t="s">
        <v>58</v>
      </c>
      <c r="C293" s="11"/>
      <c r="D293" s="43">
        <f t="shared" si="98"/>
        <v>0</v>
      </c>
      <c r="E293" s="44"/>
      <c r="F293" s="44"/>
      <c r="G293" s="43">
        <f t="shared" si="99"/>
        <v>0</v>
      </c>
      <c r="H293" s="44"/>
      <c r="I293" s="44"/>
    </row>
    <row r="294" spans="2:9" ht="25.5" x14ac:dyDescent="0.2">
      <c r="B294" s="17" t="s">
        <v>37</v>
      </c>
      <c r="C294" s="11"/>
      <c r="D294" s="43">
        <f t="shared" si="98"/>
        <v>0</v>
      </c>
      <c r="E294" s="44"/>
      <c r="F294" s="44"/>
      <c r="G294" s="43">
        <f t="shared" si="99"/>
        <v>0</v>
      </c>
      <c r="H294" s="44"/>
      <c r="I294" s="44"/>
    </row>
    <row r="295" spans="2:9" ht="25.5" x14ac:dyDescent="0.2">
      <c r="B295" s="14" t="s">
        <v>199</v>
      </c>
      <c r="C295" s="11" t="s">
        <v>200</v>
      </c>
      <c r="D295" s="43">
        <f t="shared" si="98"/>
        <v>0</v>
      </c>
      <c r="E295" s="44"/>
      <c r="F295" s="44"/>
      <c r="G295" s="43">
        <f t="shared" si="99"/>
        <v>0</v>
      </c>
      <c r="H295" s="44"/>
      <c r="I295" s="44"/>
    </row>
    <row r="296" spans="2:9" ht="25.5" x14ac:dyDescent="0.2">
      <c r="B296" s="14" t="s">
        <v>201</v>
      </c>
      <c r="C296" s="11" t="s">
        <v>202</v>
      </c>
      <c r="D296" s="43">
        <f>SUM(D298:D302)</f>
        <v>0</v>
      </c>
      <c r="E296" s="43">
        <f t="shared" ref="E296:I296" si="100">SUM(E298:E302)</f>
        <v>0</v>
      </c>
      <c r="F296" s="43">
        <f t="shared" si="100"/>
        <v>0</v>
      </c>
      <c r="G296" s="43">
        <f t="shared" si="100"/>
        <v>0</v>
      </c>
      <c r="H296" s="43">
        <f t="shared" si="100"/>
        <v>0</v>
      </c>
      <c r="I296" s="43">
        <f t="shared" si="100"/>
        <v>0</v>
      </c>
    </row>
    <row r="297" spans="2:9" ht="25.5" x14ac:dyDescent="0.2">
      <c r="B297" s="14" t="s">
        <v>32</v>
      </c>
      <c r="C297" s="11"/>
      <c r="D297" s="43"/>
      <c r="E297" s="43"/>
      <c r="F297" s="43"/>
      <c r="G297" s="43"/>
      <c r="H297" s="43"/>
      <c r="I297" s="43"/>
    </row>
    <row r="298" spans="2:9" ht="25.5" x14ac:dyDescent="0.2">
      <c r="B298" s="17" t="s">
        <v>33</v>
      </c>
      <c r="C298" s="11"/>
      <c r="D298" s="43">
        <f t="shared" ref="D298:D302" si="101">+E298+F298</f>
        <v>0</v>
      </c>
      <c r="E298" s="44"/>
      <c r="F298" s="44"/>
      <c r="G298" s="43">
        <f t="shared" ref="G298" si="102">+H298+I298</f>
        <v>0</v>
      </c>
      <c r="H298" s="44"/>
      <c r="I298" s="44"/>
    </row>
    <row r="299" spans="2:9" ht="25.5" x14ac:dyDescent="0.2">
      <c r="B299" s="17" t="s">
        <v>34</v>
      </c>
      <c r="C299" s="11"/>
      <c r="D299" s="43">
        <f t="shared" si="101"/>
        <v>0</v>
      </c>
      <c r="E299" s="44"/>
      <c r="F299" s="44"/>
      <c r="G299" s="43">
        <f>+H299+I299</f>
        <v>0</v>
      </c>
      <c r="H299" s="44"/>
      <c r="I299" s="44"/>
    </row>
    <row r="300" spans="2:9" ht="25.5" x14ac:dyDescent="0.2">
      <c r="B300" s="17" t="s">
        <v>35</v>
      </c>
      <c r="C300" s="11"/>
      <c r="D300" s="43">
        <f t="shared" si="101"/>
        <v>0</v>
      </c>
      <c r="E300" s="44"/>
      <c r="F300" s="44"/>
      <c r="G300" s="43">
        <f>+H300+I300</f>
        <v>0</v>
      </c>
      <c r="H300" s="44"/>
      <c r="I300" s="44"/>
    </row>
    <row r="301" spans="2:9" ht="25.5" x14ac:dyDescent="0.2">
      <c r="B301" s="17" t="s">
        <v>36</v>
      </c>
      <c r="C301" s="11"/>
      <c r="D301" s="43">
        <f t="shared" si="101"/>
        <v>0</v>
      </c>
      <c r="E301" s="44"/>
      <c r="F301" s="44"/>
      <c r="G301" s="43">
        <f>+H301+I301</f>
        <v>0</v>
      </c>
      <c r="H301" s="44"/>
      <c r="I301" s="44"/>
    </row>
    <row r="302" spans="2:9" ht="25.5" x14ac:dyDescent="0.2">
      <c r="B302" s="17" t="s">
        <v>37</v>
      </c>
      <c r="C302" s="11"/>
      <c r="D302" s="43">
        <f t="shared" si="101"/>
        <v>0</v>
      </c>
      <c r="E302" s="44"/>
      <c r="F302" s="44"/>
      <c r="G302" s="43">
        <f>+H302+I302</f>
        <v>0</v>
      </c>
      <c r="H302" s="44"/>
      <c r="I302" s="44"/>
    </row>
    <row r="303" spans="2:9" ht="25.5" x14ac:dyDescent="0.2">
      <c r="B303" s="14" t="s">
        <v>203</v>
      </c>
      <c r="C303" s="11" t="s">
        <v>204</v>
      </c>
      <c r="D303" s="45">
        <f t="shared" ref="D303:I303" si="103">+D232+D188</f>
        <v>0</v>
      </c>
      <c r="E303" s="45">
        <f t="shared" si="103"/>
        <v>0</v>
      </c>
      <c r="F303" s="45">
        <f t="shared" si="103"/>
        <v>0</v>
      </c>
      <c r="G303" s="45">
        <f>+G232+G188</f>
        <v>0</v>
      </c>
      <c r="H303" s="45">
        <f t="shared" si="103"/>
        <v>0</v>
      </c>
      <c r="I303" s="45">
        <f t="shared" si="103"/>
        <v>0</v>
      </c>
    </row>
    <row r="304" spans="2:9" ht="25.5" x14ac:dyDescent="0.2">
      <c r="B304" s="14" t="s">
        <v>205</v>
      </c>
      <c r="C304" s="11" t="s">
        <v>206</v>
      </c>
      <c r="D304" s="45">
        <f t="shared" ref="D304:I304" si="104">+D303+D186</f>
        <v>0</v>
      </c>
      <c r="E304" s="45">
        <f t="shared" si="104"/>
        <v>0</v>
      </c>
      <c r="F304" s="45">
        <f t="shared" si="104"/>
        <v>0</v>
      </c>
      <c r="G304" s="45">
        <f>+G303+G186</f>
        <v>0</v>
      </c>
      <c r="H304" s="45">
        <f t="shared" si="104"/>
        <v>0</v>
      </c>
      <c r="I304" s="45">
        <f t="shared" si="104"/>
        <v>0</v>
      </c>
    </row>
    <row r="305" spans="2:9" ht="58.15" customHeight="1" x14ac:dyDescent="0.2">
      <c r="B305" s="28"/>
      <c r="C305" s="29"/>
      <c r="D305" s="29"/>
      <c r="E305" s="29"/>
      <c r="F305" s="30"/>
      <c r="G305" s="30"/>
      <c r="H305" s="30"/>
      <c r="I305" s="30"/>
    </row>
    <row r="306" spans="2:9" s="35" customFormat="1" ht="25.5" x14ac:dyDescent="0.2">
      <c r="B306" s="31" t="s">
        <v>207</v>
      </c>
      <c r="C306" s="32"/>
      <c r="D306" s="32"/>
      <c r="E306" s="33"/>
      <c r="F306" s="33"/>
      <c r="G306" s="33"/>
      <c r="H306" s="33"/>
      <c r="I306" s="34"/>
    </row>
    <row r="307" spans="2:9" s="35" customFormat="1" x14ac:dyDescent="0.2">
      <c r="B307" s="36"/>
      <c r="C307" s="55" t="s">
        <v>208</v>
      </c>
      <c r="D307" s="55"/>
      <c r="E307" s="37"/>
      <c r="F307" s="37"/>
      <c r="G307" s="37"/>
      <c r="H307" s="37"/>
    </row>
    <row r="308" spans="2:9" s="35" customFormat="1" ht="60.6" customHeight="1" x14ac:dyDescent="0.2">
      <c r="B308" s="36"/>
      <c r="C308" s="38"/>
      <c r="D308" s="37"/>
      <c r="E308" s="37"/>
      <c r="F308" s="37"/>
      <c r="G308" s="37"/>
      <c r="H308" s="37"/>
    </row>
    <row r="309" spans="2:9" s="35" customFormat="1" ht="25.5" x14ac:dyDescent="0.2">
      <c r="B309" s="31" t="s">
        <v>209</v>
      </c>
      <c r="C309" s="32"/>
      <c r="D309" s="32"/>
      <c r="E309" s="33"/>
      <c r="F309" s="33"/>
      <c r="G309" s="33"/>
      <c r="H309" s="33"/>
      <c r="I309" s="34"/>
    </row>
    <row r="310" spans="2:9" x14ac:dyDescent="0.2">
      <c r="C310" s="55" t="s">
        <v>208</v>
      </c>
      <c r="D310" s="55"/>
    </row>
    <row r="312" spans="2:9" ht="39.950000000000003" customHeight="1" x14ac:dyDescent="0.2">
      <c r="B312" s="56" t="s">
        <v>210</v>
      </c>
      <c r="C312" s="57"/>
      <c r="D312" s="57"/>
      <c r="E312" s="57"/>
      <c r="F312" s="57"/>
      <c r="G312" s="57"/>
      <c r="H312" s="57"/>
      <c r="I312" s="57"/>
    </row>
    <row r="314" spans="2:9" ht="39.950000000000003" customHeight="1" x14ac:dyDescent="0.2">
      <c r="B314" s="39"/>
      <c r="D314" s="40" t="s">
        <v>211</v>
      </c>
      <c r="G314" s="40" t="s">
        <v>212</v>
      </c>
    </row>
    <row r="315" spans="2:9" ht="24.75" customHeight="1" x14ac:dyDescent="0.2">
      <c r="B315" s="41" t="s">
        <v>213</v>
      </c>
      <c r="D315" s="42">
        <f>D176</f>
        <v>0</v>
      </c>
      <c r="G315" s="42">
        <f>G176</f>
        <v>0</v>
      </c>
    </row>
    <row r="316" spans="2:9" ht="24.75" customHeight="1" x14ac:dyDescent="0.2">
      <c r="B316" s="41" t="s">
        <v>214</v>
      </c>
      <c r="D316" s="42">
        <f>+D186</f>
        <v>0</v>
      </c>
      <c r="G316" s="42">
        <f>+G186</f>
        <v>0</v>
      </c>
    </row>
    <row r="317" spans="2:9" ht="24.75" customHeight="1" x14ac:dyDescent="0.2">
      <c r="B317" s="41" t="s">
        <v>215</v>
      </c>
      <c r="D317" s="42">
        <f>+D303</f>
        <v>0</v>
      </c>
      <c r="G317" s="42">
        <f>+G303</f>
        <v>0</v>
      </c>
    </row>
    <row r="318" spans="2:9" ht="24.75" customHeight="1" x14ac:dyDescent="0.2">
      <c r="D318" s="42">
        <f>D315-D316-D317</f>
        <v>0</v>
      </c>
      <c r="G318" s="42">
        <f>G315-G316-G317</f>
        <v>0</v>
      </c>
    </row>
    <row r="319" spans="2:9" ht="20.25" x14ac:dyDescent="0.2">
      <c r="B319" s="41"/>
    </row>
  </sheetData>
  <protectedRanges>
    <protectedRange sqref="C3:I4" name="Диапазон1"/>
  </protectedRanges>
  <mergeCells count="10">
    <mergeCell ref="C307:D307"/>
    <mergeCell ref="C310:D310"/>
    <mergeCell ref="B312:I312"/>
    <mergeCell ref="F2:I2"/>
    <mergeCell ref="C3:I3"/>
    <mergeCell ref="C4:I4"/>
    <mergeCell ref="B6:B7"/>
    <mergeCell ref="C6:C7"/>
    <mergeCell ref="D6:F6"/>
    <mergeCell ref="G6:I6"/>
  </mergeCells>
  <conditionalFormatting sqref="D31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G318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1">
    <dataValidation type="decimal" operator="greaterThanOrEqual" allowBlank="1" showErrorMessage="1" errorTitle="Диққат/Внимание!!!" error="Манфий сон киритилмасин!!!_x000a_Не вводить отрицательное число!!!" sqref="E12:F13 H12:I13 E16:F17 H16:I17 E31:F35 H31:I35 E38:F41 H38:I41 E44:F48 H44:I48 E52:F53 H52:I53 E55:F62 H55:I62 E64:F73 H64:I73 E76:F85 H76:I85 E89:F94 H89:I94 E96:F96 H96:I96 E99:F108 H99:I108 E111:F115 H111:I115 E118:F123 H118:I123 E126:F134 H126:I134 E137:F145 H137:I145 E147:F150 H147:I150 E154:F155 H154:I155 E157:F164 H157:I164 E166:F174 H166:I174 H21:I29 E21:F29">
      <formula1>0</formula1>
    </dataValidation>
  </dataValidations>
  <printOptions horizontalCentered="1"/>
  <pageMargins left="0.39370078740157483" right="0.39370078740157483" top="0.39370078740157483" bottom="0.39370078740157483" header="0.31496062992125984" footer="0.31496062992125984"/>
  <pageSetup paperSize="9" scale="50" fitToHeight="10" orientation="portrait" r:id="rId1"/>
  <rowBreaks count="9" manualBreakCount="9">
    <brk id="51" min="1" max="8" man="1"/>
    <brk id="74" min="1" max="8" man="1"/>
    <brk id="99" min="1" max="8" man="1"/>
    <brk id="125" min="1" max="8" man="1"/>
    <brk id="149" min="1" max="8" man="1"/>
    <brk id="172" min="1" max="8" man="1"/>
    <brk id="199" min="1" max="8" man="1"/>
    <brk id="224" min="1" max="8" man="1"/>
    <brk id="248" min="1" max="8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3-Илова</vt:lpstr>
      <vt:lpstr>'3-Илова'!Область_печати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Furkat Kodirov</dc:creator>
  <cp:lastModifiedBy>Furkat Kodirov</cp:lastModifiedBy>
  <dcterms:created xsi:type="dcterms:W3CDTF">2025-08-25T10:15:58Z</dcterms:created>
  <dcterms:modified xsi:type="dcterms:W3CDTF">2025-08-25T12:27:40Z</dcterms:modified>
</cp:coreProperties>
</file>