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ЭтаКнига"/>
  <mc:AlternateContent xmlns:mc="http://schemas.openxmlformats.org/markup-compatibility/2006">
    <mc:Choice Requires="x15">
      <x15ac:absPath xmlns:x15ac="http://schemas.microsoft.com/office/spreadsheetml/2010/11/ac" url="D:\Ягона ҳисоботлар тизими\Ҳисоботлар ласт\73-83-шакллар. НАПУ\"/>
    </mc:Choice>
  </mc:AlternateContent>
  <xr:revisionPtr revIDLastSave="0" documentId="13_ncr:1_{D802DDAC-960F-4FD9-9772-B8B85FCFB257}" xr6:coauthVersionLast="47" xr6:coauthVersionMax="47" xr10:uidLastSave="{00000000-0000-0000-0000-000000000000}"/>
  <bookViews>
    <workbookView xWindow="2560" yWindow="160" windowWidth="20080" windowHeight="13450" tabRatio="955" firstSheet="6" activeTab="13" xr2:uid="{00000000-000D-0000-FFFF-FFFF00000000}"/>
  </bookViews>
  <sheets>
    <sheet name="Параметрлар _ Параметры" sheetId="1" r:id="rId1"/>
    <sheet name="Список компаний" sheetId="2" state="veryHidden" r:id="rId2"/>
    <sheet name="param" sheetId="3" state="veryHidden" r:id="rId3"/>
    <sheet name="Список таблиц" sheetId="4" state="hidden" r:id="rId4"/>
    <sheet name="Жадваллар рўйхати" sheetId="5" r:id="rId5"/>
    <sheet name="1806_1_uz (74)" sheetId="6" r:id="rId6"/>
    <sheet name="1806_2_uz" sheetId="7" r:id="rId7"/>
    <sheet name="1806_3_uz" sheetId="9" r:id="rId8"/>
    <sheet name="1806_4_uz" sheetId="10" r:id="rId9"/>
    <sheet name="1806_5_uz" sheetId="11" r:id="rId10"/>
    <sheet name="1806_6_uz" sheetId="12" r:id="rId11"/>
    <sheet name="1882_1_uz" sheetId="43" r:id="rId12"/>
    <sheet name="1882_2_uz" sheetId="59" r:id="rId13"/>
    <sheet name="1882_3_uz" sheetId="60" r:id="rId14"/>
    <sheet name="1882_4_uz" sheetId="61" r:id="rId15"/>
    <sheet name="1882_5_uz" sheetId="62" r:id="rId16"/>
    <sheet name="1945_1_uz" sheetId="63" r:id="rId17"/>
    <sheet name="1945_2_uz" sheetId="64" r:id="rId18"/>
    <sheet name="1945_3_uz" sheetId="65" r:id="rId19"/>
    <sheet name="1945_4_uz" sheetId="66" r:id="rId20"/>
    <sheet name="1945_5_uz" sheetId="67" r:id="rId21"/>
    <sheet name="1945_6_uz" sheetId="68" r:id="rId22"/>
    <sheet name="1945_7_uz" sheetId="69" r:id="rId23"/>
    <sheet name="1806_1_ru" sheetId="46" state="hidden" r:id="rId24"/>
    <sheet name="1806_2_ru" sheetId="44" state="hidden" r:id="rId25"/>
    <sheet name="1806_3_ru" sheetId="45" state="hidden" r:id="rId26"/>
    <sheet name="1806_4_ru" sheetId="28" state="hidden" r:id="rId27"/>
    <sheet name="1806_5_ru" sheetId="29" state="hidden" r:id="rId28"/>
    <sheet name="1806_6_ru" sheetId="30" state="hidden" r:id="rId29"/>
    <sheet name="1882_1_ru" sheetId="47" state="hidden" r:id="rId30"/>
    <sheet name="1882_2_ru" sheetId="48" state="hidden" r:id="rId31"/>
    <sheet name="1882_3_ru" sheetId="49" state="hidden" r:id="rId32"/>
    <sheet name="1882_4_ru" sheetId="50" state="hidden" r:id="rId33"/>
    <sheet name="1882_5_ru" sheetId="53" state="hidden" r:id="rId34"/>
    <sheet name="1945_1_ru" sheetId="56" state="hidden" r:id="rId35"/>
    <sheet name="1945_2_ru" sheetId="57" state="hidden" r:id="rId36"/>
    <sheet name="1945_3_ru" sheetId="58" state="hidden" r:id="rId37"/>
    <sheet name="1945_4_ru" sheetId="55" state="hidden" r:id="rId38"/>
    <sheet name="1945_5_ru" sheetId="54" state="hidden" r:id="rId39"/>
    <sheet name="1945_6_ru" sheetId="51" state="hidden" r:id="rId40"/>
    <sheet name="1945_7_ru" sheetId="52" state="hidden" r:id="rId41"/>
  </sheets>
  <definedNames>
    <definedName name="_xlnm.Print_Area" localSheetId="16">'1945_1_uz'!$B$1:$G$148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69" l="1"/>
  <c r="C3" i="69"/>
  <c r="C2" i="69"/>
  <c r="C1" i="69"/>
  <c r="C4" i="68"/>
  <c r="C3" i="68"/>
  <c r="C2" i="68"/>
  <c r="C1" i="68"/>
  <c r="C4" i="67"/>
  <c r="C3" i="67"/>
  <c r="C2" i="67"/>
  <c r="C1" i="67"/>
  <c r="C4" i="66"/>
  <c r="C3" i="66"/>
  <c r="C2" i="66"/>
  <c r="C1" i="66"/>
  <c r="C4" i="65"/>
  <c r="C3" i="65"/>
  <c r="C2" i="65"/>
  <c r="C1" i="65"/>
  <c r="C4" i="64"/>
  <c r="C3" i="64"/>
  <c r="C2" i="64"/>
  <c r="C1" i="64"/>
  <c r="C4" i="63"/>
  <c r="C3" i="63"/>
  <c r="C2" i="63"/>
  <c r="C1" i="63"/>
  <c r="C4" i="62"/>
  <c r="C3" i="62"/>
  <c r="C2" i="62"/>
  <c r="C1" i="62"/>
  <c r="C4" i="61"/>
  <c r="C3" i="61"/>
  <c r="C2" i="61"/>
  <c r="C1" i="61"/>
  <c r="C4" i="60"/>
  <c r="C3" i="60"/>
  <c r="C2" i="60"/>
  <c r="C1" i="60"/>
  <c r="C4" i="59"/>
  <c r="C3" i="59"/>
  <c r="C2" i="59"/>
  <c r="C1" i="59"/>
  <c r="C4" i="52"/>
  <c r="C3" i="52"/>
  <c r="C2" i="52"/>
  <c r="C1" i="52"/>
  <c r="C4" i="51"/>
  <c r="C3" i="51"/>
  <c r="C2" i="51"/>
  <c r="C1" i="51"/>
  <c r="C4" i="54"/>
  <c r="C3" i="54"/>
  <c r="C2" i="54"/>
  <c r="C1" i="54"/>
  <c r="C4" i="55"/>
  <c r="C3" i="55"/>
  <c r="C2" i="55"/>
  <c r="C1" i="55"/>
  <c r="C4" i="58"/>
  <c r="C3" i="58"/>
  <c r="C2" i="58"/>
  <c r="C1" i="58"/>
  <c r="C4" i="57"/>
  <c r="C3" i="57"/>
  <c r="C2" i="57"/>
  <c r="C1" i="57"/>
  <c r="C4" i="56"/>
  <c r="C3" i="56"/>
  <c r="C2" i="56"/>
  <c r="C1" i="56"/>
  <c r="C4" i="53"/>
  <c r="C3" i="53"/>
  <c r="C2" i="53"/>
  <c r="C1" i="53"/>
  <c r="C4" i="50"/>
  <c r="C3" i="50"/>
  <c r="C2" i="50"/>
  <c r="C1" i="50"/>
  <c r="C4" i="49"/>
  <c r="C3" i="49"/>
  <c r="C2" i="49"/>
  <c r="C1" i="49"/>
  <c r="C4" i="48"/>
  <c r="C3" i="48"/>
  <c r="C2" i="48"/>
  <c r="C1" i="48"/>
  <c r="C4" i="47"/>
  <c r="C3" i="47"/>
  <c r="C2" i="47"/>
  <c r="C1" i="47"/>
  <c r="C4" i="45"/>
  <c r="C3" i="45"/>
  <c r="C2" i="45"/>
  <c r="C1" i="45"/>
  <c r="C4" i="44"/>
  <c r="C3" i="44"/>
  <c r="C1" i="44"/>
  <c r="C2" i="44"/>
  <c r="C4" i="46"/>
  <c r="C3" i="46"/>
  <c r="C2" i="46"/>
  <c r="C1" i="46"/>
  <c r="C4" i="30"/>
  <c r="C3" i="30"/>
  <c r="C1" i="30"/>
  <c r="C2" i="30"/>
  <c r="C4" i="29"/>
  <c r="C1" i="29"/>
  <c r="C2" i="29"/>
  <c r="C3" i="29"/>
  <c r="C1" i="28"/>
  <c r="C2" i="28"/>
  <c r="C3" i="28"/>
  <c r="C4" i="28"/>
  <c r="A27" i="3"/>
  <c r="A29" i="3" s="1"/>
  <c r="A22" i="3"/>
  <c r="A23" i="3" s="1"/>
  <c r="A17" i="3"/>
  <c r="A12" i="3"/>
  <c r="A9" i="3"/>
  <c r="A8" i="3"/>
  <c r="A7" i="3"/>
  <c r="A2" i="3"/>
  <c r="C4" i="6"/>
  <c r="C1" i="6"/>
  <c r="A2" i="5"/>
  <c r="C4" i="12" s="1"/>
  <c r="E5" i="2"/>
  <c r="E4" i="2"/>
  <c r="E3" i="2"/>
  <c r="E2" i="2"/>
  <c r="B17" i="30"/>
  <c r="B18" i="30" s="1"/>
  <c r="B19" i="30" s="1"/>
  <c r="B20" i="30" s="1"/>
  <c r="B21" i="30" s="1"/>
  <c r="B22" i="30" s="1"/>
  <c r="B23" i="30" s="1"/>
  <c r="B24" i="30" s="1"/>
  <c r="B25" i="30" s="1"/>
  <c r="B26" i="30" s="1"/>
  <c r="B27" i="30" s="1"/>
  <c r="B28" i="30" s="1"/>
  <c r="B29" i="30" s="1"/>
  <c r="B30" i="30" s="1"/>
  <c r="B31" i="30" s="1"/>
  <c r="B32" i="30" s="1"/>
  <c r="B33" i="30" s="1"/>
  <c r="B34" i="30" s="1"/>
  <c r="B35" i="30" s="1"/>
  <c r="B36" i="30" s="1"/>
  <c r="B37" i="30" s="1"/>
  <c r="B38" i="30" s="1"/>
  <c r="B39" i="30" s="1"/>
  <c r="B40" i="30" s="1"/>
  <c r="B41" i="30" s="1"/>
  <c r="B42" i="30" s="1"/>
  <c r="B43" i="30" s="1"/>
  <c r="B44" i="30" s="1"/>
  <c r="B45" i="30" s="1"/>
  <c r="B46" i="30" s="1"/>
  <c r="B47" i="30" s="1"/>
  <c r="B48" i="30" s="1"/>
  <c r="B49" i="30" s="1"/>
  <c r="B50" i="30" s="1"/>
  <c r="B51" i="30" s="1"/>
  <c r="B52" i="30" s="1"/>
  <c r="B53" i="30" s="1"/>
  <c r="B54" i="30" s="1"/>
  <c r="B55" i="30" s="1"/>
  <c r="B56" i="30" s="1"/>
  <c r="B57" i="30" s="1"/>
  <c r="B58" i="30" s="1"/>
  <c r="B59" i="30" s="1"/>
  <c r="B60" i="30" s="1"/>
  <c r="B16" i="30"/>
  <c r="B9" i="29"/>
  <c r="B10" i="29" s="1"/>
  <c r="B11" i="29" s="1"/>
  <c r="B12" i="29" s="1"/>
  <c r="B13" i="29" s="1"/>
  <c r="B14" i="29" s="1"/>
  <c r="B15" i="29" s="1"/>
  <c r="B16" i="29" s="1"/>
  <c r="B17" i="29" s="1"/>
  <c r="B18" i="29" s="1"/>
  <c r="B19" i="29" s="1"/>
  <c r="B20" i="29" s="1"/>
  <c r="B21" i="29" s="1"/>
  <c r="B22" i="29" s="1"/>
  <c r="B23" i="29" s="1"/>
  <c r="B24" i="29" s="1"/>
  <c r="B25" i="29" s="1"/>
  <c r="B26" i="29" s="1"/>
  <c r="B27" i="29" s="1"/>
  <c r="B28" i="29" s="1"/>
  <c r="B29" i="29" s="1"/>
  <c r="B30" i="29" s="1"/>
  <c r="B31" i="29" s="1"/>
  <c r="B32" i="29" s="1"/>
  <c r="B33" i="29" s="1"/>
  <c r="B34" i="29" s="1"/>
  <c r="B35" i="29" s="1"/>
  <c r="B36" i="29" s="1"/>
  <c r="B37" i="29" s="1"/>
  <c r="B9" i="28"/>
  <c r="B10" i="28" s="1"/>
  <c r="B11" i="28" s="1"/>
  <c r="B12" i="28" s="1"/>
  <c r="B13" i="28" s="1"/>
  <c r="B14" i="28" s="1"/>
  <c r="B15" i="28" s="1"/>
  <c r="B16" i="28" s="1"/>
  <c r="B17" i="28" s="1"/>
  <c r="B18" i="28" s="1"/>
  <c r="B19" i="28" s="1"/>
  <c r="B20" i="28" s="1"/>
  <c r="B21" i="28" s="1"/>
  <c r="B22" i="28" s="1"/>
  <c r="B23" i="28" s="1"/>
  <c r="B24" i="28" s="1"/>
  <c r="B25" i="28" s="1"/>
  <c r="B26" i="28" s="1"/>
  <c r="B27" i="28" s="1"/>
  <c r="B28" i="28" s="1"/>
  <c r="B29" i="28" s="1"/>
  <c r="B30" i="28" s="1"/>
  <c r="B31" i="28" s="1"/>
  <c r="B32" i="28" s="1"/>
  <c r="B33" i="28" s="1"/>
  <c r="B34" i="28" s="1"/>
  <c r="B35" i="28" s="1"/>
  <c r="B36" i="28" s="1"/>
  <c r="B37" i="28" s="1"/>
  <c r="B17" i="12"/>
  <c r="B18" i="12" s="1"/>
  <c r="B19" i="12" s="1"/>
  <c r="B20" i="12" s="1"/>
  <c r="B21" i="12" s="1"/>
  <c r="B22" i="12" s="1"/>
  <c r="B23" i="12" s="1"/>
  <c r="B24" i="12" s="1"/>
  <c r="B25" i="12" s="1"/>
  <c r="B26" i="12" s="1"/>
  <c r="B27" i="12" s="1"/>
  <c r="B28" i="12" s="1"/>
  <c r="B29" i="12" s="1"/>
  <c r="B30" i="12" s="1"/>
  <c r="B31" i="12" s="1"/>
  <c r="B32" i="12" s="1"/>
  <c r="B33" i="12" s="1"/>
  <c r="B34" i="12" s="1"/>
  <c r="B35" i="12" s="1"/>
  <c r="B36" i="12" s="1"/>
  <c r="B37" i="12" s="1"/>
  <c r="B38" i="12" s="1"/>
  <c r="B39" i="12" s="1"/>
  <c r="B40" i="12" s="1"/>
  <c r="B41" i="12" s="1"/>
  <c r="B42" i="12" s="1"/>
  <c r="B43" i="12" s="1"/>
  <c r="B44" i="12" s="1"/>
  <c r="B16" i="12"/>
  <c r="B10" i="1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9" i="11"/>
  <c r="B9" i="10"/>
  <c r="B10" i="10" s="1"/>
  <c r="B11" i="10" s="1"/>
  <c r="B12" i="10" s="1"/>
  <c r="B13" i="10" s="1"/>
  <c r="B14" i="10" s="1"/>
  <c r="B15" i="10" s="1"/>
  <c r="B16" i="10" s="1"/>
  <c r="B17" i="10" s="1"/>
  <c r="B18" i="10" s="1"/>
  <c r="B19" i="10" s="1"/>
  <c r="B20" i="10" s="1"/>
  <c r="B21" i="10" s="1"/>
  <c r="A19" i="5"/>
  <c r="A18" i="5"/>
  <c r="A17" i="5"/>
  <c r="A16" i="5"/>
  <c r="A15" i="5"/>
  <c r="A14" i="5"/>
  <c r="A13" i="5"/>
  <c r="A12" i="5"/>
  <c r="A11" i="5"/>
  <c r="A10" i="5"/>
  <c r="A9" i="5"/>
  <c r="A8" i="5"/>
  <c r="A7" i="5"/>
  <c r="A6" i="5"/>
  <c r="A5" i="5"/>
  <c r="C2" i="43" s="1"/>
  <c r="A4" i="5"/>
  <c r="A3" i="5"/>
  <c r="C3" i="12" s="1"/>
  <c r="A19" i="4"/>
  <c r="A18" i="4"/>
  <c r="A17" i="4"/>
  <c r="A16" i="4"/>
  <c r="A15" i="4"/>
  <c r="A14" i="4"/>
  <c r="A13" i="4"/>
  <c r="A12" i="4"/>
  <c r="A11" i="4"/>
  <c r="A10" i="4"/>
  <c r="A9" i="4"/>
  <c r="A8" i="4"/>
  <c r="A7" i="4"/>
  <c r="A6" i="4"/>
  <c r="A5" i="4"/>
  <c r="A4" i="4"/>
  <c r="A3" i="4"/>
  <c r="A2" i="4"/>
  <c r="A19" i="3"/>
  <c r="A13" i="3"/>
  <c r="F5" i="2"/>
  <c r="F4" i="2"/>
  <c r="F3" i="2"/>
  <c r="F2" i="2"/>
  <c r="A4" i="3" l="1"/>
  <c r="A3" i="3"/>
  <c r="C3" i="7"/>
  <c r="C1" i="10"/>
  <c r="C3" i="11"/>
  <c r="C2" i="6"/>
  <c r="C4" i="7"/>
  <c r="C2" i="10"/>
  <c r="C4" i="11"/>
  <c r="C1" i="43"/>
  <c r="C3" i="6"/>
  <c r="C1" i="9"/>
  <c r="C3" i="10"/>
  <c r="C1" i="12"/>
  <c r="C2" i="9"/>
  <c r="C4" i="10"/>
  <c r="C2" i="12"/>
  <c r="C3" i="43"/>
  <c r="C1" i="7"/>
  <c r="C3" i="9"/>
  <c r="C1" i="11"/>
  <c r="C4" i="43"/>
  <c r="C2" i="7"/>
  <c r="C4" i="9"/>
  <c r="C2" i="11"/>
  <c r="F15" i="1"/>
  <c r="A24" i="3"/>
  <c r="A18" i="3"/>
  <c r="A14" i="3"/>
  <c r="A28" i="3"/>
</calcChain>
</file>

<file path=xl/sharedStrings.xml><?xml version="1.0" encoding="utf-8"?>
<sst xmlns="http://schemas.openxmlformats.org/spreadsheetml/2006/main" count="1959" uniqueCount="1302">
  <si>
    <t>Молиявий ҳисоботларнинг электрон шакли      |      Электронный вид финансовой отчетности</t>
  </si>
  <si>
    <r>
      <t xml:space="preserve">Компанияни танланг:
</t>
    </r>
    <r>
      <rPr>
        <b/>
        <sz val="12"/>
        <color theme="2" tint="-0.499984740745262"/>
        <rFont val="Times New Roman"/>
        <family val="1"/>
        <charset val="204"/>
      </rPr>
      <t>Выберите компанию:</t>
    </r>
  </si>
  <si>
    <t>---------------------</t>
  </si>
  <si>
    <r>
      <t xml:space="preserve">Ҳисобот йилини танланг: </t>
    </r>
    <r>
      <rPr>
        <b/>
        <sz val="12"/>
        <color theme="2" tint="-0.499984740745262"/>
        <rFont val="Times New Roman"/>
        <family val="1"/>
        <charset val="204"/>
      </rPr>
      <t>Выберите год отчетности:</t>
    </r>
  </si>
  <si>
    <r>
      <t xml:space="preserve">Ҳисобот даврини танланг: </t>
    </r>
    <r>
      <rPr>
        <b/>
        <sz val="12"/>
        <color theme="2" tint="-0.499984740745262"/>
        <rFont val="Times New Roman"/>
        <family val="1"/>
        <charset val="204"/>
      </rPr>
      <t>Выберите период отчетности:</t>
    </r>
  </si>
  <si>
    <r>
      <t xml:space="preserve">Файлнинг сақланиш номи: 
</t>
    </r>
    <r>
      <rPr>
        <b/>
        <sz val="11"/>
        <color theme="2" tint="-0.499984740745262"/>
        <rFont val="Times New Roman"/>
        <family val="1"/>
        <charset val="204"/>
      </rPr>
      <t>Имя файла при сохранении:</t>
    </r>
  </si>
  <si>
    <r>
      <t xml:space="preserve">Тилни танланг:
</t>
    </r>
    <r>
      <rPr>
        <b/>
        <sz val="12"/>
        <color theme="2" tint="-0.499984740745262"/>
        <rFont val="Times New Roman"/>
        <family val="1"/>
        <charset val="204"/>
      </rPr>
      <t>Выберите язык:</t>
    </r>
  </si>
  <si>
    <t>"O‘ZBEKINVEST" EISK AJ</t>
  </si>
  <si>
    <t>0001</t>
  </si>
  <si>
    <t>"O‘ZAGROSUG‘URTA" AJ</t>
  </si>
  <si>
    <t>0002</t>
  </si>
  <si>
    <t>"KAFOLAT SUG‘URTA KOMPANIYASI" AJ</t>
  </si>
  <si>
    <t>0003</t>
  </si>
  <si>
    <t>"ALFA INVEST SUG‘URTA KOMPANIYASI" AJ</t>
  </si>
  <si>
    <t>0004</t>
  </si>
  <si>
    <t>"ALSKOM" AJ</t>
  </si>
  <si>
    <t>0005</t>
  </si>
  <si>
    <t>"ASIA INSURANCE SUG‘URTA KOMPANIYASI" AJ</t>
  </si>
  <si>
    <t>0006</t>
  </si>
  <si>
    <t>"ASKO-VOSTOK" AJ QK</t>
  </si>
  <si>
    <t>0007</t>
  </si>
  <si>
    <t>"APEX INSURANCE" AJ</t>
  </si>
  <si>
    <t>0008</t>
  </si>
  <si>
    <t>"DD GENERAL INSURANCE" AJ</t>
  </si>
  <si>
    <t>0009</t>
  </si>
  <si>
    <t>"EUROASIA INSURANCE" AJ QK</t>
  </si>
  <si>
    <t>0010</t>
  </si>
  <si>
    <t>"GARANT INSURANCE GROUP"  AJ</t>
  </si>
  <si>
    <t>0011</t>
  </si>
  <si>
    <t>"GLOBAL INSURANCE GROUP" AJ</t>
  </si>
  <si>
    <t>0012</t>
  </si>
  <si>
    <t>"GROSS SUG‘URTA KOMPANIYASI" AJ</t>
  </si>
  <si>
    <t>0013</t>
  </si>
  <si>
    <t>"HAMKOR SUG’URTA" AJ</t>
  </si>
  <si>
    <t>0014</t>
  </si>
  <si>
    <t>"IMKON SUG’URTA" AJ</t>
  </si>
  <si>
    <t>0015</t>
  </si>
  <si>
    <t>"INGO-UZBEKISTON" AJ</t>
  </si>
  <si>
    <t>0016</t>
  </si>
  <si>
    <t>"ISHONCH SUG‘URTA KOMPANIYASI" AJ</t>
  </si>
  <si>
    <t>0017</t>
  </si>
  <si>
    <t>"KAFIL SUG’URTA" AJ</t>
  </si>
  <si>
    <t>0018</t>
  </si>
  <si>
    <t>"KAPITAL SUG‘URTA" AJ</t>
  </si>
  <si>
    <t>0019</t>
  </si>
  <si>
    <t>"MY-INSURANCE" AJ</t>
  </si>
  <si>
    <t>0020</t>
  </si>
  <si>
    <t>"OMAD SUG‘URTA" AJ</t>
  </si>
  <si>
    <t>0021</t>
  </si>
  <si>
    <t>"SQB INSURANCE SUG‘URTA KOMPANIYASI" AJ</t>
  </si>
  <si>
    <t>0022</t>
  </si>
  <si>
    <t>0023</t>
  </si>
  <si>
    <t>"INSON" AJ</t>
  </si>
  <si>
    <t>0024</t>
  </si>
  <si>
    <t>"TEMIRYO‘L SUG‘URTA" AJ</t>
  </si>
  <si>
    <t>0025</t>
  </si>
  <si>
    <t>"UNIPOLIS" AJ</t>
  </si>
  <si>
    <t>0026</t>
  </si>
  <si>
    <t>"UNIVERSAL SUG‘URTA" AJ</t>
  </si>
  <si>
    <t>0027</t>
  </si>
  <si>
    <t>"XALQ SUG‘URTA" AJ</t>
  </si>
  <si>
    <t>0028</t>
  </si>
  <si>
    <t>"AGROS HAYOT" AJ</t>
  </si>
  <si>
    <t>0029</t>
  </si>
  <si>
    <t>"ALFA LIFE INSURANCE" AJ</t>
  </si>
  <si>
    <t>0030</t>
  </si>
  <si>
    <t>"FAROVON SUG‘URTA" AJ</t>
  </si>
  <si>
    <t>0031</t>
  </si>
  <si>
    <t>"APEX LIFE INSURANCE" AJ</t>
  </si>
  <si>
    <t>0032</t>
  </si>
  <si>
    <t>"EUROASIA LIFE INSURANCE" AJ</t>
  </si>
  <si>
    <t>0033</t>
  </si>
  <si>
    <t>"KAFOLAT HAYOT INSURANCE" AJ</t>
  </si>
  <si>
    <t>0034</t>
  </si>
  <si>
    <t>"NEW LIFE SUG‘URTA KOMPANIYASI" AJ</t>
  </si>
  <si>
    <t>0035</t>
  </si>
  <si>
    <t>"O’ZBEKINVEST HAYOT SUG‘URTA KOMPANIYASI" AJ</t>
  </si>
  <si>
    <t>0036</t>
  </si>
  <si>
    <t>"ARIA SUG‘URTA TASHKILOTI" AJ</t>
  </si>
  <si>
    <t>0037</t>
  </si>
  <si>
    <t>"SEMURG SUG‘URTA" AJ QK</t>
  </si>
  <si>
    <t>0038</t>
  </si>
  <si>
    <t>"SHARQ-SUG‘URTA" AJ</t>
  </si>
  <si>
    <t>0039</t>
  </si>
  <si>
    <t>"TRUST-INSURANCE" AJ</t>
  </si>
  <si>
    <t>0040</t>
  </si>
  <si>
    <t>0041</t>
  </si>
  <si>
    <t>"IMPEX-INSURANCE" AJ</t>
  </si>
  <si>
    <t>0042</t>
  </si>
  <si>
    <t>1806_4_uz</t>
  </si>
  <si>
    <t>max</t>
  </si>
  <si>
    <t>delete_line</t>
  </si>
  <si>
    <t>copy_line</t>
  </si>
  <si>
    <t>1806_5_uz</t>
  </si>
  <si>
    <t>1806_6_uz</t>
  </si>
  <si>
    <t>1806_4_ru</t>
  </si>
  <si>
    <t>1806_5_ru</t>
  </si>
  <si>
    <t>1806_6_ru</t>
  </si>
  <si>
    <t>Код приложения</t>
  </si>
  <si>
    <t>Регистрационный номер документа</t>
  </si>
  <si>
    <t>Наименование документа</t>
  </si>
  <si>
    <t>Номер приложения</t>
  </si>
  <si>
    <t>Наименование приложения</t>
  </si>
  <si>
    <t>Положение о платежеспособности страховщиков и перестраховщиков</t>
  </si>
  <si>
    <t>Расчет норматива достаточности маржи платежеспособности страховщика, осуществляющего деятельность в отрасли общего страхования (исключительно по перестрахованию)</t>
  </si>
  <si>
    <t>Расчет норматива достаточности маржи платежеспособности страховщика, осуществляющего деятельность в отрасли страхования жизни</t>
  </si>
  <si>
    <t>Сведения о соблюдении требований по предельно допустимому размеру обязательств по отдельным рискам и совокупному размеру обязательств страховщика (перестраховщика) и размещению активов страховщика (перестраховщика)</t>
  </si>
  <si>
    <t>Расчет по долевому участию в уставном капитале любого одного юридического лица</t>
  </si>
  <si>
    <t>Расчет по сумме активов, размещенных у одного связанного лица или у всех связанных лиц страховщика/перестраховщика</t>
  </si>
  <si>
    <t>Сведения о соблюдении требований по перестраховочным операциям страховщика/перестраховщика</t>
  </si>
  <si>
    <t>Положение о страховых резервах страховщиков</t>
  </si>
  <si>
    <t>Расчет доходов, расходов и финансового результата для целей расчета стабилизационного резерва по обязательному страхованию гражданской ответственности владельцев транспортных средств</t>
  </si>
  <si>
    <t>Расчет доходов, расходов и финансового результата для целей расчета стабилизационного резерва по обязательному страхованию гражданской ответственности работодателя</t>
  </si>
  <si>
    <t>Расчет доходов, расходов и финансового результата для целей расчета стабилизационного резерва по обязательному страхованию гражданской ответственности перевозчика</t>
  </si>
  <si>
    <t xml:space="preserve">Общая величина страховых резервов </t>
  </si>
  <si>
    <t>Сведения о сотаве активов</t>
  </si>
  <si>
    <t>Формы финансовой отчетности страховщиков и правила по их заполнению</t>
  </si>
  <si>
    <t>Бухгалтерский баланс — форма № 1 — страхование</t>
  </si>
  <si>
    <t>Справка о наличии ценностей, учитываемых на забалансовых счетах</t>
  </si>
  <si>
    <t>Отчет о финансовых результатах — форма № 2 — страхование</t>
  </si>
  <si>
    <t>Справка о платежах в бюджет</t>
  </si>
  <si>
    <t>Отчет о денежных потоках — форма № 4 — страхование</t>
  </si>
  <si>
    <t>Справка о движении денежных средств в иностранной валюте</t>
  </si>
  <si>
    <t>Отчет о собственном капитале — форма № 5 — страхование</t>
  </si>
  <si>
    <t>Илова коди</t>
  </si>
  <si>
    <t>Ҳужжат қайд рақами</t>
  </si>
  <si>
    <t>Ҳужжат номи</t>
  </si>
  <si>
    <t>Илова рақами</t>
  </si>
  <si>
    <t>Илова номи</t>
  </si>
  <si>
    <t>Суғурталовчилар ва қайта суғурталовчиларнинг тўлов қобилияти тўғрисидаги низом</t>
  </si>
  <si>
    <t>Умумий суғурта соҳасида ёки фақат қайта суғурта қилиш фаолиятини амалга оширадиган суғурталовчининг тўлов қобилияти маржасининг етарлилиги нормативи ҳисоб-китоби</t>
  </si>
  <si>
    <t>Ҳаётни суғурта қилиш соҳасида суғурта фаолиятини амалга оширадиган суғурталовчининг тўлов қобилияти маржасининг етарлилиги нормативи ҳисоб-китоби</t>
  </si>
  <si>
    <t>Суғурталовчи/қайта суғурталовчининг алоҳида таваккалчиликлар бўйича мажбуриятларнинг йўл қўйиладиган энг кўп миқдори ва мажбуриятлар жамининг йўл қўйиладиган энг кўп миқдори нормативларига риоя қилганлиги ҳамда суғурталовчи (қайта суғурталовчи) активларини жойлаштиришга оид талабларга риоя қилинганлиги тўғрисида маълумотлар</t>
  </si>
  <si>
    <t>Суғурталовчи/қайта суғурталовчининг ҳар қандай битта юридик шахснинг устав капиталида иштирок этиш улуши ҳисоб-китоби</t>
  </si>
  <si>
    <t>Суғурталовчи/қайта суғурталовчининг битта боғлиқ шахс ёки барча боғлиқ шахсларда жойлаштирилган активлари суммаси ҳисоб-китоби</t>
  </si>
  <si>
    <t>Суғурталовчи/қайта суғурталовчининг қайта суғурта қилиш операцияларига оид талабларга риоя қилганлиги тўғрисида маълумотлар</t>
  </si>
  <si>
    <t>Суғурталовчиларнинг суғурта захиралари тўғрисидаги низом</t>
  </si>
  <si>
    <t>Транспорт воситалари эгаларининг фуқаролик жавобгарлигини мажбурий суғурта қилиш бўйича барқарорлаштириш захирасини ҳисоблаш мақсадида даромадлар, харажатлар ва молиявий натижаларнинг ҳисоб-китоби</t>
  </si>
  <si>
    <t>Иш берувчининг фуқаролик жавобгарлигини мажбурий суғурта қилиш бўйича барқарорлаштириш захирасини ҳисоблаш мақсадида даромадлар, харажатлар ва молиявий натижаларнинг ҳисоб-китоби</t>
  </si>
  <si>
    <t>Ташувчининг фуқаролик жавобгарлигини мажбурий суғурта қилиш бўйича барқарорлаштириш захирасини ҳисоблаш мақсадида даромадлар, харажатлар ва молиявий натижаларнинг ҳисоб-китоби</t>
  </si>
  <si>
    <t>Суғурта захираларининг умумий миқдори</t>
  </si>
  <si>
    <t>Активлар таркиби тўғрисида маълумот</t>
  </si>
  <si>
    <t>Суғурталовчиларнинг молиявий ҳисобот шаклларини ва уларни тўлдириш бўйича қоидаларни тасдиқлаш тўғрисидаги Молия вазирлиги буйруғи</t>
  </si>
  <si>
    <t>Бухгалтерия баланси — 1-сонли шакл — суғурта</t>
  </si>
  <si>
    <t>Балансдан ташқари счётларда ҳисобга олинадиган қийматликларнинг мавжудлиги тўғрисида маълумотнома</t>
  </si>
  <si>
    <t>Молиявий натижалар тўғрисидаги ҳисобот — 2-сонли шакл — суғурта</t>
  </si>
  <si>
    <t>Бюджетга тўловлар тўғрисида маълумотнома</t>
  </si>
  <si>
    <t>Пул оқимлари тўғрисидаги ҳисобот — 4-сонли шакл — суғурта</t>
  </si>
  <si>
    <t>Чет эл валютасидаги пул маблағларининг ҳаракати тўғрисида маълумотнома</t>
  </si>
  <si>
    <t>Хусусий капитал тўғрисидаги ҳисобот — 5-сонли шакл — суғурта</t>
  </si>
  <si>
    <t>Қайд рақами</t>
  </si>
  <si>
    <t>Жадваллар рўйхати</t>
  </si>
  <si>
    <t>1806_1</t>
  </si>
  <si>
    <t xml:space="preserve">Т/р </t>
  </si>
  <si>
    <t>Нормативнинг номи</t>
  </si>
  <si>
    <t>Миқдор (минг сўм)</t>
  </si>
  <si>
    <t>1.</t>
  </si>
  <si>
    <t>Суғурта фаолияти тўғрисидаги қонун ҳужжатларига мувофиқ суғурталовчи учун белгиланган устав капиталининг энг кам миқдори</t>
  </si>
  <si>
    <t>2.</t>
  </si>
  <si>
    <t xml:space="preserve">Қайта суғурталовчиларнинг улушларини чегириб қолинган ўтган ўттиз олти ой мобайнида ҳисобланган суғурта товонлари суммаси </t>
  </si>
  <si>
    <t>3.</t>
  </si>
  <si>
    <t>Ўтган ўттиз олти ой мобайнида ҳисобланган суғурта товонлари суммаси</t>
  </si>
  <si>
    <t>4.</t>
  </si>
  <si>
    <t xml:space="preserve">Умумий суғурта соҳаси учун тузатувчи коэффициент (2-сатр миқдорининг 3-сатр миқдорига нисбати, 0,5 дан кам бўлмаслиги шарт) </t>
  </si>
  <si>
    <t>5.</t>
  </si>
  <si>
    <t>Ўтган ўн икки ой мобайнида барча суғурта (қайта суғурта қилиш) шартномалари бўйича ҳисобланган суғурта мукофотлари суммаси</t>
  </si>
  <si>
    <t>6.</t>
  </si>
  <si>
    <t>Ўтган ўн икки ой мобайнида 11 ва 13 классларга оид суғурта (қайта суғурта қилиш) шартномалари бўйича ҳисобланган суғурта мукофотлари суммасининг 50 фоизи</t>
  </si>
  <si>
    <t>7.</t>
  </si>
  <si>
    <t>Ўтган ўн икки ой мобайнида тузилган суғурта (қайта суғурта қилиш) шартномаларининг бекор қилиниши (шартлари ўзгариши) муносабати билан суғурта қилдирувчиларга (қайта суғурта қилдирувчиларга) қайтарилган суғурта мукофотлари суммаси</t>
  </si>
  <si>
    <t>8.</t>
  </si>
  <si>
    <t xml:space="preserve">5 ва 6-сатрлар миқдорларининг йиғиндисидан 7-сатр миқдорини чегириб қолиб аниқланган натижанинг 20 фоизи </t>
  </si>
  <si>
    <t>9.</t>
  </si>
  <si>
    <t xml:space="preserve">«Мукофотлар усули» бўйича ҳисобланган миқдор (4-сатр миқдорини 8-сатр миқдорига кўпайтириш йўли билан ҳисобланган миқдор) </t>
  </si>
  <si>
    <t>10.</t>
  </si>
  <si>
    <t>Ўтган ўттиз олти ой мобайнида 11 ва 13 классларга оид суғурта (қайта суғурта қилиш) шартномалари бўйича ҳисобланган суғурта товонлари суммасининг 50 фоизи</t>
  </si>
  <si>
    <t>11.</t>
  </si>
  <si>
    <t>Ҳисобот санасига хабар қилинган, лекин бартараф этилмаган зарарлар захирасининг миқдори</t>
  </si>
  <si>
    <t>12.</t>
  </si>
  <si>
    <t>Ҳисобот санасига 11 ва 13 классларга оид суғурта (қайта суғурта қилиш) шартномалари бўйича хабар қилинган, лекин бартараф этилмаган зарарлар захираси миқдорининг 50 фоизи</t>
  </si>
  <si>
    <t>13.</t>
  </si>
  <si>
    <t>3, 10, 11 ва 12-сатрлар миқдорлари йиғиндисининг 10 фоизи</t>
  </si>
  <si>
    <t>14.</t>
  </si>
  <si>
    <t>«Тўловлар усули» бўйича ҳисобланган миқдор (4-сатр миқдорини 13-сатр миқдорига кўпайтириш йўли билан ҳисобланган миқдор)</t>
  </si>
  <si>
    <t>15.</t>
  </si>
  <si>
    <t xml:space="preserve">Тўлов қобилияти маржасининг норматив миқдори (1, 9 ва 14-сатрларнинг миқдорларидан энг каттаси) </t>
  </si>
  <si>
    <t>16.</t>
  </si>
  <si>
    <t>Ўз маблағлари манбаларининг суммаси (бухгалтерия баланси пассив қисмининг биринчи бўлими бўйича жами суммаси)</t>
  </si>
  <si>
    <t>17.</t>
  </si>
  <si>
    <t>Номоддий активлар суммаси, суғурталовчи активларининг 10 фоизидан ошмаган миқдордаги суғурталовчининг асосий фаолияти учун харид қилинган дастурий таъминот бундан мустасно</t>
  </si>
  <si>
    <t>18.</t>
  </si>
  <si>
    <t>Таъсисчиларнинг устав капиталига улушлар бўйича қарзи суммаси</t>
  </si>
  <si>
    <t>19.</t>
  </si>
  <si>
    <t>Мақсадли тушумлар ва келгуси давр харажатлари ва тўловлари учун захиралар суммаси</t>
  </si>
  <si>
    <t>20.</t>
  </si>
  <si>
    <t>Таъсисчилар (акциядорлар) ўртасида тақсимлаш учун мўлжалланган тақсимланмаган фойда қисмининг суммаси</t>
  </si>
  <si>
    <t>21.</t>
  </si>
  <si>
    <t>22.</t>
  </si>
  <si>
    <t>Дебитор — боғлиқ шахсларнинг қарзлари суммаси;</t>
  </si>
  <si>
    <t>23.</t>
  </si>
  <si>
    <t>Суғурта (қайта суғурта қилиш) шартномасида белгиланган тўлов санасидан уч ойдан кўп муддат мобайнида суғурта қилдирувчилар (қайта суғурта қилдирувчилар) томонидан тўланмаган суғурта (қайта суғурта) мукофотлари суммаси</t>
  </si>
  <si>
    <t>24.</t>
  </si>
  <si>
    <t>Солиқ ва бошқа мажбурий тўловлар бўйича дебиторлик қарзлар суммаси</t>
  </si>
  <si>
    <t>25.</t>
  </si>
  <si>
    <t>Берилган кафолатлар суммаси</t>
  </si>
  <si>
    <t>26.</t>
  </si>
  <si>
    <t xml:space="preserve">17-дан 25-гача бўлган сатрлар миқдорларининг йиғиндиси </t>
  </si>
  <si>
    <t>27.</t>
  </si>
  <si>
    <t xml:space="preserve">Тўлов қобилияти маржасининг ҳақиқий миқдори (16-сатр миқдоридан 26-сатр миқдорининг чегириш орқали аниқланади) </t>
  </si>
  <si>
    <t>28.</t>
  </si>
  <si>
    <t>Тўлов қобилияти маржасининг етарлилиги нормативи (27-сатр миқдорининг 15-сатр миқдорига нисбати)</t>
  </si>
  <si>
    <t>1806_2</t>
  </si>
  <si>
    <t>Қайта суғурталовчиларнинг мукофотлар захирасидаги улуши чегириб қолинган мукофотлар захираси миқдори</t>
  </si>
  <si>
    <t>Мукофотлар захираси миқдори</t>
  </si>
  <si>
    <t xml:space="preserve">Ҳаётни суғурта қилиш соҳаси учун тузатувчи коэффициент (2-сатр миқдорининг 3-сатр миқдорига нисбати, 0,85 дан кам бўлмаслиги шарт) </t>
  </si>
  <si>
    <t>3-сатр миқдорини 4-сатр миқдорига кўпайтириш йўли билан ҳисобланган миқдорнинг 5 фоизи</t>
  </si>
  <si>
    <t>Қайта суғурталовчиларнинг улушларини чегириб қолинган ўтган ўттиз олти ой мобайнида умумий суғурта соҳасининг 1 ва 2 классларига оид суғурта (қайта суғурта қилиш) шартномалари бўйича ҳисобланган суғурта товонлари суммаси</t>
  </si>
  <si>
    <t>Ўтган ўттиз олти ой мобайнида умумий суғурта соҳасининг 1 ва 2 классларига оид суғурта (қайта суғурта қилиш) шартномалари бўйича ҳисобланган суғурта товонлари суммаси</t>
  </si>
  <si>
    <t xml:space="preserve">Умумий суғурта соҳасининг 1 ва 2 класслари учун тузатувчи коэффициент (6-сатр миқдорининг 7-сатр миқдорига нисбати, 0,5 дан кам бўлмаслиги шарт) </t>
  </si>
  <si>
    <t>Ўтган ўн икки ой мобайнида умумий суғурта соҳасининг 1 ва 2 классларига оид суғурта (қайта суғурта қилиш) шартномалари бўйича ҳисобланган суғурта мукофотлари суммаси</t>
  </si>
  <si>
    <t>Ўтган ўн икки ой мобайнида умумий суғурта соҳасининг 1 ва 2 классларига оид тузилган суғурта (қайта суғурта қилиш) шартномаларининг бекор қилиниши (шартлари ўзгариши) муносабати билан суғурта қилдирувчиларга (қайта суғурта қилдирувчиларга) қайтарилган суғурта мукофотлари суммаси</t>
  </si>
  <si>
    <t>9-сатр миқдоридан 10-сатр миқдорини чегириб қолиб аниқланган натижанинг 20 фоизи</t>
  </si>
  <si>
    <t>Ҳисобот санасига умумий суғурта соҳасининг 1 ва 2 классларига оид хабар қилинган, лекин бартараф этилмаган зарарлар захирасининг миқдори</t>
  </si>
  <si>
    <t>7 ва 12-сатрлар миқдорлари йиғиндисининг 10 фоизи</t>
  </si>
  <si>
    <t>11 ва 13-сатрларнинг миқдорларидан энг каттаси</t>
  </si>
  <si>
    <t>8-сатр миқдорини 14-сатр миқдорига кўпайтириш йўли билан ҳисобланган миқдор</t>
  </si>
  <si>
    <t>5 ва 15-сатрлар миқдорлари йиғиндиси*</t>
  </si>
  <si>
    <t xml:space="preserve">Тўлов қобилияти маржасининг норматив миқдори (1 ва 16-сатрларнинг миқдорларидан энг каттаси) </t>
  </si>
  <si>
    <t>Дебитор-боғлиқ шахсларнинг қарзлари суммаси;</t>
  </si>
  <si>
    <t xml:space="preserve">19-дан 27-гача бўлган сатрлар миқдорларининг йиғиндиси </t>
  </si>
  <si>
    <t>29.</t>
  </si>
  <si>
    <t xml:space="preserve">Тўлов қобилияти маржасининг ҳақиқий миқдори (18-сатр миқдоридан 28-сатр миқдорининг чегириш орқали аниқланади) </t>
  </si>
  <si>
    <t>30.</t>
  </si>
  <si>
    <t>Тўлов қобилияти маржасининг етарлилиги нормативи (29-сатр миқдорининг 17-сатр миқдорига нисбати)</t>
  </si>
  <si>
    <t xml:space="preserve">* 5-дан 15-гача бўлган сатрлар, фақат ҳаётни суғурта қилиш соҳасида суғурта фаолиятини амалга оширадиган суғурталовчи умумий суғурта соҳасининг 1 ва 2 класслари бўйича ҳам суғурта фаолиятини амалга оширадиган бўлса, қўлланилади. </t>
  </si>
  <si>
    <t>1806_3</t>
  </si>
  <si>
    <t xml:space="preserve">Миқдор (минг сўм) </t>
  </si>
  <si>
    <t>норматив</t>
  </si>
  <si>
    <t>ҳақиқатда</t>
  </si>
  <si>
    <t>Суғурталовчининг (қайта суғурталовчининг) алоҳида таваккалчиликлар бўйича мажбуриятларининг энг кўп миқдори, экспорт контрактларини сиёсий ва тижорат таваккалчиликларидан суғурта қилиш бундан мустасно</t>
  </si>
  <si>
    <t>1.1.</t>
  </si>
  <si>
    <t>Суғурталовчининг (қайта суғурталовчининг) экспорт контрактларини сиёсий ва тижорат таваккалчиликларидан суғурта қилиш юзасидан алоҳида таваккалчиликлар бўйича мажбуриятларининг энг кўп миқдори</t>
  </si>
  <si>
    <t>Суғурталовчининг (қайта суғурталовчининг) бешта энг йирик алоҳида таваккалчиликлар бўйича мажбуриятларининг энг кўп миқдори</t>
  </si>
  <si>
    <t>2.1.</t>
  </si>
  <si>
    <t>Суғурталовчининг (қайта суғурталовчининг) экспорт контрактларини сиёсий ва тижорат таваккалчиликларидан суғурта қилиш юзасидан бешта энг йирик алоҳида таваккалчиликлар бўйича мажбуриятларининг энг кўп миқдори</t>
  </si>
  <si>
    <t>Суғурталовчи (қайта суғурталовчи) бошқа юридик шахсларнинг устав капиталларига жойлаштирган активларининг умумий суммаси</t>
  </si>
  <si>
    <t>Суғурталовчи (қайта суғурталовчи) активларини битта ер участкаси ёки кўчмас мулкнинг бошқа объектига ёхуд битта объект сифатида кўрилиши мумкин бўлган ер участкалари ва кўчмас мулк объектлари мажмуига жойлаштиришининг энг кўп миқдори</t>
  </si>
  <si>
    <t xml:space="preserve">Битта тижорат банкига жойлаштирилган энг кўп омонат (депозит) </t>
  </si>
  <si>
    <t xml:space="preserve">Кредит ташкилотларига (тижорат банкларидан ташқари) жойлаштирилган омонатларнинг (депозитларнинг) умумий суммаси </t>
  </si>
  <si>
    <t>Суғурталовчи (қайта суғурталовчи) активларини битта юридик шахснинг устав капиталига жойлаштириш ёки битта юридик шахсда бошқа иштирок этиш ҳуқуқи</t>
  </si>
  <si>
    <t>Жалб этилган қарзнинг (молиявий ёрдамнинг) энг кўп миқдори</t>
  </si>
  <si>
    <t>Суғурталовчининг (қайта суғурталовчининг) касса ва/ёки ҳисоб (валюта) ва бошқа банк рақамларидаги пул маблағлари, шунингдек, уларга тенглашитирилган маблағлар</t>
  </si>
  <si>
    <t>1806_4</t>
  </si>
  <si>
    <t>№</t>
  </si>
  <si>
    <t xml:space="preserve">Юридик шахснинг номи </t>
  </si>
  <si>
    <t xml:space="preserve">Юридик шахснинг устав капитали миқдори (минг сўм) </t>
  </si>
  <si>
    <t xml:space="preserve">Устав капиталда суғурталовчининг (қайта суғурталовчининг) иштирок этиш миқдори (минг сўм) </t>
  </si>
  <si>
    <t>Устав капиталда суғурталовчининг (қайта суғурталовчининг) иштирок этиш улуши (%)</t>
  </si>
  <si>
    <t>1806_5</t>
  </si>
  <si>
    <t xml:space="preserve">Боғлиқ шахс (номи ёки Ф.И.Ш.) </t>
  </si>
  <si>
    <t>Жойлаштириш тури</t>
  </si>
  <si>
    <t>Қўйилманинг даромадлилиги (йиллик фоизларда)</t>
  </si>
  <si>
    <t>Жойлаштирилган активлар суммаси</t>
  </si>
  <si>
    <t>Суғурталовчининг (қайта суғурталовчининг)боғлиқ шахслар билан фаолиятининг кўрсаткичи (%)</t>
  </si>
  <si>
    <t>Норматив (%)</t>
  </si>
  <si>
    <t>1806_6</t>
  </si>
  <si>
    <t>1-жадвал</t>
  </si>
  <si>
    <t>Кўрсаткичнинг номи</t>
  </si>
  <si>
    <t>Қатор рақами</t>
  </si>
  <si>
    <t xml:space="preserve">Миқдор, минг сўм, АҚШ доллари, бошқа </t>
  </si>
  <si>
    <t>Изоҳ</t>
  </si>
  <si>
    <t>Ўзида қолдирилган улушнинг энг кам миқдори (мажбуриятлар чет эл суғурта ташкилотларида қайта суғурталанганда), экспорт контрактларини сиёсий ва тижорат таваккалчиликларидан суғурта қилиш ва чет элга чиқувчи шахсларни суғурта қилиш шартномалари бундан мустасно</t>
  </si>
  <si>
    <t>Суғурталовчининг (қайта суғурталовчининг) ўтган чоракдаги тўлов қобилияти маржасининг ҳақиқий миқдори</t>
  </si>
  <si>
    <t>1-қаторнинг 2-қаторга нисбати (%)</t>
  </si>
  <si>
    <t xml:space="preserve">Йўл қўйиладиган энг кам миқдор 5% </t>
  </si>
  <si>
    <t>Ўзбекистон Республикаси ташқарисига қайта суғуртага берилган ҳар бир алоҳида суғурта (қайта суғурта қилиш) шартномаси бўйича мажбуриятларнинг энг кўп ҳажми</t>
  </si>
  <si>
    <t xml:space="preserve">Йўл қўйиладиган энг кўп миқдор 95% </t>
  </si>
  <si>
    <t>* Суғурта брокери орқали қайта суғурта қилинганда унинг номи ва улуши кўрсатилади, қайта суғурталовчилар тўғрисидаги маълумот ушбу жадвалга, мазкур шаклга мувофиқ илова қилинади.</t>
  </si>
  <si>
    <t>2-жадвал</t>
  </si>
  <si>
    <t>Суғурталовчининг/ қайта суғурталовчининг номи (кимга қайта суғурта қилишга берилган)*</t>
  </si>
  <si>
    <t>Молиявий барқарорлик рейтинги (рейтинг агентлигининг номини кўрсатган ҳолда)</t>
  </si>
  <si>
    <t>Суғурталовчи (қайта суғурталовчи) мамлакати</t>
  </si>
  <si>
    <t>Қайта суғуртага берилган суғурта мажбуриятлари ҳажми (минг сўм, АҚШ доллари, бошқа)</t>
  </si>
  <si>
    <t>Қайта суғуртага берилган шартномалар бўйича суғурта мукофотлари ҳажми (минг сўм, АҚШ доллари, бошқа)</t>
  </si>
  <si>
    <t>Қайта суғуртага берилган суғурта мажбуриятлари умумий ҳажмидаги қайта суғурталовчининг улуши (%)</t>
  </si>
  <si>
    <t>1882_1</t>
  </si>
  <si>
    <t>Сатр т/р</t>
  </si>
  <si>
    <t>Кўрсаткич номи</t>
  </si>
  <si>
    <t>Миқдори (минг сўм)</t>
  </si>
  <si>
    <t>Ҳисобот даврида ҳисобланган суғурта брутто-мукофоти</t>
  </si>
  <si>
    <t>Ҳисобот даврида суғурталовчининг тўловларни кафолатлаш Жамғармасига мажбурий бадаллари</t>
  </si>
  <si>
    <t xml:space="preserve">Ҳисобот даври бошига ИМЗ </t>
  </si>
  <si>
    <t>Ҳисобот даври охирига (ҳисобот санасига) ИМЗ</t>
  </si>
  <si>
    <t>Ҳисобот даври бошига ХЗЗ</t>
  </si>
  <si>
    <t>Ҳисобот даври охирига (ҳисобот санасига) ХЗЗ</t>
  </si>
  <si>
    <t xml:space="preserve">Ҳисобот даври бошига СХЗЗ </t>
  </si>
  <si>
    <t>Ҳисобот даври охирига (ҳисобот санасига) СХЗЗ</t>
  </si>
  <si>
    <t>Ҳисобот даврида амалга оширилган суғурта тўловлари</t>
  </si>
  <si>
    <t xml:space="preserve">Шартномаларнинг муддатидан олдин тугатилиши (шартларининг ўзгартирилиши) муносабати билан ҳисобот даврида суғурта қилдирувчиларга қайтарилган суғурта мукофотлари (бадаллари) </t>
  </si>
  <si>
    <t xml:space="preserve">Ҳисобот даврида ИМЗ, ХЗЗ ва СХЗЗ ўзгариши (12 сатр = 4 сатр – 3 сатр + 6 сатр – 5 сатр + 8 сатр – 7 сатр) </t>
  </si>
  <si>
    <t xml:space="preserve">Жами — даромадлар (агар 12 сатр &gt; = 0, бу ҳолда 13 сатр = 1 сатр; агар 12 сатр &lt; 0, бу ҳолда 13 сатр = 1 сатр – 12 сатр.) </t>
  </si>
  <si>
    <t xml:space="preserve">Жами — харажатлар (агар 12 сатр &gt; = 0, бу ҳолда 14 сатр = 2 сатр + 9 сатр + 10 сатр + 11 сатр + 12 сатр; агар 12 сатр &lt; 0, бу ҳолда 14 сатр = 2 сатр + 9 сатр + 10 сатр + 11 сатр.) </t>
  </si>
  <si>
    <t>Молиявий натижа (даромадларнинг харажатлардан ёки харажатларнинг даромадлардан юқорилиги) (15 сатр = 13 сатр – 14 сатр)</t>
  </si>
  <si>
    <t>Транспорт воситалари эгаларининг фуқаролик жавобгарлигини мажбурий суғурта қилиш бўйича барқарорлаштириш захирасининг ҳисоб-китоби</t>
  </si>
  <si>
    <t xml:space="preserve">Даромадлар (1-жадвалнинг 13 сатри маълумотларига кўра) </t>
  </si>
  <si>
    <t xml:space="preserve">Молиявий натижа (даромадларнинг харажатлардан ёки харажатларнинг даромадлардан ошганлиги) (1-жадвалнинг 15 сатри маълумотларига кўра) </t>
  </si>
  <si>
    <t xml:space="preserve">Ҳисобот даври бошига транспорт воситалари эгаларининг фуқаролик жавобгарлигини мажбурий суғурта қилиш бўйича барқарорлаштириш захираси (ФЖМС БЗ) </t>
  </si>
  <si>
    <t xml:space="preserve">ФЖМС БЗ нинг кўпайиши/камайиши (агар 2 сатр &gt; = 0,05 х 1 сатр, бу ҳолда 4 сатр = 2 сатр – 0,05 х 1 сатр; агар 0 &lt; = 2 сатр &lt; 0,05 х 1 сатр, бу ҳолда 4 сатр = 0; агар 2 сатр &lt; 0, бу ҳолда 4 сатр = 2 сатр.) </t>
  </si>
  <si>
    <t>Оралиқ якун (3 сатр + 4 сатр)</t>
  </si>
  <si>
    <t>51.</t>
  </si>
  <si>
    <t>Транспорт воситалари эгаларининг фуқаролик жавобгарлигини мажбурий суғурта қилиш шартномалари бўйича ҳисобот санасига қадар ўттиз олти ой даврида амалга оширилган суғурта тўловлари суммаси</t>
  </si>
  <si>
    <t xml:space="preserve">Ҳисобот санасига транспорт воситалари эгаларининг фуқаролик жавобгарлигини мажбурий суғурта қилиш бўйича барқарорлаштириш захираси (агар 5-сатр &lt; 0, бу ҳолда 6-сатр = 0; агар 51-сатр &gt; 5-сатр &gt;= 0, бу ҳолда 6-сатр = 5-сатр; агар 5-сатр &gt; 51-сатр, бу ҳолда 6-сатр = 51-сатр.) </t>
  </si>
  <si>
    <t>* Фақатгина суғурталовчи томонидан транспорт воситалари эгаларининг фуқаролик жавобгарлигини мажбурий суғурта қилиш бўйича фаолият олиб борилган тақдирда тўлдирилади. Мазкур жадвалдаги даромадлар, харажатлар ва молиявий натижани аниқлашда қўлланилувчи барча миқдорлар транспорт воситалари эгаларининг фуқаролик жавобгарлигини мажбурий суғурта қилишга тааллуқлидир.</t>
  </si>
  <si>
    <t>1882_2</t>
  </si>
  <si>
    <t>Сатр №</t>
  </si>
  <si>
    <t>Ҳисобот даври бошига ИМЗ</t>
  </si>
  <si>
    <t>Ҳисобот даври бошига СХЗЗ</t>
  </si>
  <si>
    <t>Шартномаларнинг муддатидан олдин тугатилиши (шартларининг ўзгартирилиши) муносабати билан ҳисобот даврида суғурта қилдирувчиларга қайтарилган суғурта мукофотлари (бадаллари)</t>
  </si>
  <si>
    <t xml:space="preserve">Ҳисобот даврида ИМЗ, ХЗЗ ва СХЗЗ ўзгариши (11 сатр = 3 сатр – 2 сатр + 5 сатр – 4 сатр + 7 сатр – 6 сатр) </t>
  </si>
  <si>
    <t>Жами — даромадлар (агар 11 сатр &gt; = 0, бу ҳолда 12 сатр = 1 сатр; агар 11 сатр &lt; 0, бу ҳолда 12 сатр = 1 сатр – 11 сатр)</t>
  </si>
  <si>
    <t>Жами — харажатлар (агар 11 сатр &gt; = 0, бу ҳолда 13 сатр = 8 сатр + 9 сатр + 10 сатр + 11 сатр; агар 11 сатр &lt; 0, бу ҳолда 13 сатр = 8 сатр + 9 сатр + 10 сатр)</t>
  </si>
  <si>
    <t>Молиявий натижа (даромадларнинг харажатлардан ёки харажатларнинг даромадлардан юқорилиги) (14 сатр = 12 сатр – 13 сатр)</t>
  </si>
  <si>
    <t>Иш берувчининг фуқаролик жавобгарлигини мажбурий суғурта қилиш бўйича барқарорлаштириш захирасининг ҳисоб-китоби</t>
  </si>
  <si>
    <t>Даромадлар (1-жадвалнинг 12 сатри маълумотларига кўра)</t>
  </si>
  <si>
    <t>Молиявий натижа (даромадларнинг харажатлардан ёки харажатларнинг даромадлардан ошганлиги) (1-жадвалнинг 14 сатри маълумотларига кўра)</t>
  </si>
  <si>
    <t>Ҳисобот даври бошига иш берувчининг фуқаролик жавобгарлигини мажбурий суғурта қилиш бўйича барқарорлаштириш захираси (ИФЖМС БЗ)</t>
  </si>
  <si>
    <t>ИФЖМС БЗ нинг кўпайиши/камайиши (агар 2 сатр &gt; = 0,05 х 1 сатр, бу ҳолда 4 сатр = 2 сатр – 0,05 х 1 сатр; агар 0 &lt; = 2 сатр &lt; 0,05 х 1 сатр, бу ҳолда 4 сатр = 0; агар 2 сатр &lt; 0, бу ҳолда 4 сатр = 2 сатр)</t>
  </si>
  <si>
    <t>Ҳисобот санасига иш берувчининг фуқаролик жавобгарлигини мажбурий суғурта қилиш бўйича барқарорлаштириш захираси (агар 5 сатр &lt; 0, бу ҳолда 6 сатр = 0; агар 5 сатр &gt; = 0, бу ҳолда 6 сатр = 5 сатр)</t>
  </si>
  <si>
    <t>* Фақатгина суғурталовчи томонидан иш берувчининг фуқаролик жавобгарлигини мажбурий суғурта қилиш бўйича фаолият олиб борилган тақдирда тўлдирилади. Мазкур жадвалдаги даромадлар, харажатлар ва молиявий натижани аниқлашда қўлланилувчи барча миқдорлар иш берувчининг фуқаролик жавобгарлигини мажбурий суғурта қилишга тааллуқлидир.</t>
  </si>
  <si>
    <t>1882_3</t>
  </si>
  <si>
    <t>Сатр Т/р</t>
  </si>
  <si>
    <t>Ҳисобот даврида ИМЗ, ХЗЗ ва СХЗЗ ўзгариши (11 сатр = 3 сатр — 2 сатр + 5 сатр — 4 сатр + 7 сатр — 6 сатр)</t>
  </si>
  <si>
    <t>Жами — даромадлар (агар 11 сатр &gt; = 0, бу ҳолда 12 сатр = 1 сатр; агар 11 сатр &lt; 0, бу ҳолда 12 сатр = 1 сатр — 11 сатр)</t>
  </si>
  <si>
    <t>Жами — харажатлар (агар 11 сатр &gt;= 0, бу ҳолда 13 сатр = 8 сатр + 9 сатр + 10 сатр + 11 сатр; агар 11 сатр &lt; 0, бу ҳолда 13 сатр = 8 сатр + 9 сатр + 10 сатр)</t>
  </si>
  <si>
    <t>Молиявий натижа (даромадларнинг харажатлардан ёки харажатларнинг даромадлардан юқорилиги) (14 сатр = 12 сатр — 13 сатр)</t>
  </si>
  <si>
    <t>Ташувчининг фуқаролик жавобгарлигини мажбурий суғурта қилиш бўйича барқарорлаштириш захирасининг ҳисоб-китоби</t>
  </si>
  <si>
    <t>Молиявий натижа (даромадларнинг харажатларданёки харажатларнинг даромадлардан ошганлиги) (1-жадвалнинг 14 сатри маълумотларига кўра)</t>
  </si>
  <si>
    <t>Ҳисобот даври бошига ташувчининг фуқаролик жавобгарлигини мажбурий суғурта қилиш бўйича барқарорлаштириш захираси (ТФЖМС БЗ)</t>
  </si>
  <si>
    <t>ТФЖМС БЗ нинг кўпайиши/камайиши (агар 2 сатр &gt; = 0,05 х 1 сатр, бу ҳолда 4 сатр = 2 сатр — 0,05 х 1 сатр; агар 0 &lt; = 2 сатр &lt; 0,05 х 1 сатр, бу ҳолда 4 сатр = 0; агар 2 сатр &lt; 0, бу ҳолда 4 сатр = 2 сатр)</t>
  </si>
  <si>
    <t>Ҳисобот санасига ташувчининг фуқаролик жавобгарлигини мажбурий суғурта қилиш бўйича барқарорлаштириш захираси (агар 5 сатр &lt; 0, бу ҳолда 6 сатр = 0; агар 5 сатр &gt; = 0, бу ҳолда 6 сатр = 5 сатр)</t>
  </si>
  <si>
    <t>* Фақатгина суғурталовчи томонидан ташувчининг фуқаролик жавобгарлигини мажбурий суғурта қилиш бўйича фаолият олиб борилган тақдирда тўлдирилади. Мазкур жадвалдаги даромадлар, харажатлар ва молиявий натижани аниқлашда қўлланилувчи барча миқдорлар ташувчининг фуқаролик жавобгарлигини мажбурий суғурта қилишга тааллуқлидир.</t>
  </si>
  <si>
    <t>1882_4</t>
  </si>
  <si>
    <t>Захиралар</t>
  </si>
  <si>
    <t>Жами (минг сўм)</t>
  </si>
  <si>
    <t>Шулардан хорижий валютада</t>
  </si>
  <si>
    <t>АҚШ доллари</t>
  </si>
  <si>
    <t>евро</t>
  </si>
  <si>
    <t>бошқа</t>
  </si>
  <si>
    <t>жами (минг сўм экв.)</t>
  </si>
  <si>
    <t>Ишлаб топилмаган мукофот захираси (жами)</t>
  </si>
  <si>
    <t>1-ҳисоб гуруҳи, шу жумладан:</t>
  </si>
  <si>
    <t>ФЖМС бўйича ИМЗ</t>
  </si>
  <si>
    <t>ИФЖМС бўйича ИМЗ</t>
  </si>
  <si>
    <t>ТФЖМС бўйича ИМЗ</t>
  </si>
  <si>
    <t>2-ҳисоб гуруҳи</t>
  </si>
  <si>
    <t>3-ҳисоб гуруҳи</t>
  </si>
  <si>
    <t>4-ҳисоб гуруҳи</t>
  </si>
  <si>
    <t>Қайта суғурталовчиларнинг ИМЗдаги улуши</t>
  </si>
  <si>
    <t>Хабар қилинган, лекин бартараф этилмаган зарарлар захираси (жами), шу жумладан:</t>
  </si>
  <si>
    <t>ФЖМС бўйича ХЗЗ</t>
  </si>
  <si>
    <t>ИФЖМС бўйича ХЗЗ</t>
  </si>
  <si>
    <t>ТФЖМС бўйича ХЗЗ</t>
  </si>
  <si>
    <t>Қайта суғурталовчиларнинг ХЗЗдаги улуши</t>
  </si>
  <si>
    <t>Содир бўлган, лекин хабар қилинмаган зарарлар захираси (жами), шу жумладан:</t>
  </si>
  <si>
    <t>ФЖМС бўйича СХЗЗ</t>
  </si>
  <si>
    <t>ИФЖМС бўйича СХЗЗ</t>
  </si>
  <si>
    <t>ТФЖМС бўйича СХЗЗ</t>
  </si>
  <si>
    <t>Қайта суғурталовчиларнинг СХЗЗдаги улуши</t>
  </si>
  <si>
    <t>Транспорт воситалари эгаларининг фуқаролик жавобгарлигини мажбурий суғурта қилиш бўйича барқарорлаштириш захираси (ФЖМС БЗ)</t>
  </si>
  <si>
    <t>Иш берувчининг фуқаролик жавобгарлигини мажбурий суғурта қилиш бўйича барқарорлаштириш захираси (ИФЖМС БЗ)</t>
  </si>
  <si>
    <t>Ташувчининг фуқаролик жавобгарлигини мажбурий суғурта қилиш бўйича барқарорлаштириш захираси (ТФЖМС БЗ)</t>
  </si>
  <si>
    <t>Мукофотлар захираси (жами)</t>
  </si>
  <si>
    <t>жумладан, ҳаётни суғурта қилишнинг жамғарилиб борувчи турлари бўйича захира</t>
  </si>
  <si>
    <t>Қайта суғурталовчиларнинг ҲЖЗдаги улуши</t>
  </si>
  <si>
    <t>Ҳаётни суғурта қилишнинг бошқа турлари (жамғарилиб борувчи турларидан ташқари) бўйича захира</t>
  </si>
  <si>
    <t>Қайта суғурталовчиларнинг ҲЗдаги улуши</t>
  </si>
  <si>
    <t>Қайта суғурталовчиларнинг мукофотлар захирасидаги улуши</t>
  </si>
  <si>
    <t>Техник захираларнинг умумий миқдори</t>
  </si>
  <si>
    <t>Қайта суғурталовчиларнинг техник захираларда умумий улуши</t>
  </si>
  <si>
    <t>Огоҳлантириш чора-тадбирлари захираси (жами), шу жумладан:</t>
  </si>
  <si>
    <t>ФЖМС ОЧЗ</t>
  </si>
  <si>
    <t>ИФЖМС ОЧЗ</t>
  </si>
  <si>
    <t>ТФЖМС ОЧЗ</t>
  </si>
  <si>
    <t>Суғуртанинг бошқа турлари бўйича ОЧЗ</t>
  </si>
  <si>
    <t>Бошқа суғурта захиралари</t>
  </si>
  <si>
    <t>...</t>
  </si>
  <si>
    <t>Қайта суғурталовчиларнинг суғурта захираларидаги умумий улуши</t>
  </si>
  <si>
    <t>1882_5</t>
  </si>
  <si>
    <t>Активлар</t>
  </si>
  <si>
    <t>Жами активлар</t>
  </si>
  <si>
    <t>Улардан ажратилган активлар</t>
  </si>
  <si>
    <t>Ўзбекистон Республикаси ҳудудида</t>
  </si>
  <si>
    <t>Ўзбекистон Республикаси ҳудудидан ташқарида</t>
  </si>
  <si>
    <t>Асосий воситалар</t>
  </si>
  <si>
    <t xml:space="preserve">Улардан, кўчмас мулк </t>
  </si>
  <si>
    <t xml:space="preserve">Номоддий активлар </t>
  </si>
  <si>
    <t xml:space="preserve">Инвестициялар, жами </t>
  </si>
  <si>
    <t xml:space="preserve">Тижорат банкларидаги депозитлар (банк омонатлари) </t>
  </si>
  <si>
    <t>Кредит ташкилотларидаги депозитлар (тижорат банкларидан ташқари)</t>
  </si>
  <si>
    <t xml:space="preserve">Ходимларга берилган қарзлар, (боғлиқ шахслар ҳисобланувчи ходимлардан ташқари) </t>
  </si>
  <si>
    <t>Суғурталовчининг боғлиқ шахслари ҳисобланмайдиган таъсисчилари ва акциядорларига қарзлар</t>
  </si>
  <si>
    <t>Боғлиқ шахсларга берилган қарзлар</t>
  </si>
  <si>
    <t xml:space="preserve">Бошқа қарзлар </t>
  </si>
  <si>
    <t xml:space="preserve">Шўъба корхоналарига қўйилмалар </t>
  </si>
  <si>
    <t xml:space="preserve">Боғлиқ шахсларга қўйилмалар </t>
  </si>
  <si>
    <t xml:space="preserve">Давлат қимматли қоғозлари </t>
  </si>
  <si>
    <t xml:space="preserve">Акциялар </t>
  </si>
  <si>
    <t xml:space="preserve">Облигациялар </t>
  </si>
  <si>
    <t xml:space="preserve">Бошқа қимматли қоғозлар </t>
  </si>
  <si>
    <t xml:space="preserve">Бошқа инвестициялар </t>
  </si>
  <si>
    <t xml:space="preserve">Пул маблағлари, жами </t>
  </si>
  <si>
    <t xml:space="preserve">Ҳисоб рақамидаги пул маблағлари </t>
  </si>
  <si>
    <t xml:space="preserve">Кассадаги пул маблағлари </t>
  </si>
  <si>
    <t xml:space="preserve">Хорижий валютадаги пул маблағлари </t>
  </si>
  <si>
    <t>Бошқа пул маблағлари ва эквивалентлар</t>
  </si>
  <si>
    <t xml:space="preserve">Бошқа айланма активлар, жами </t>
  </si>
  <si>
    <t>Ишлаб чиқариш захиралари (материаллар)</t>
  </si>
  <si>
    <t>Тугалланмаган ишлаб чиқариш (хизматлар)</t>
  </si>
  <si>
    <t xml:space="preserve">Сотиб олинган хусусий акциялар </t>
  </si>
  <si>
    <t>Дебиторлик қарзлар, жами</t>
  </si>
  <si>
    <t xml:space="preserve">Суғурта қилдирувчилар билан ҳисоб-китоблар </t>
  </si>
  <si>
    <t xml:space="preserve">Қайта суғурталовчилар билан ҳисоб-китоблар </t>
  </si>
  <si>
    <t xml:space="preserve">Бўнак тўловлари </t>
  </si>
  <si>
    <t xml:space="preserve">Таъсисчилар билан ҳисоб-китоблар </t>
  </si>
  <si>
    <t xml:space="preserve">Бюджет билан ҳисоб-китоблар </t>
  </si>
  <si>
    <t xml:space="preserve">Бошқалар </t>
  </si>
  <si>
    <t xml:space="preserve">Бошқа активлар, жами </t>
  </si>
  <si>
    <t xml:space="preserve">Бошқа активлар (кўрсатинг) </t>
  </si>
  <si>
    <t xml:space="preserve">… </t>
  </si>
  <si>
    <t xml:space="preserve">ЖАМИ АКТИВЛАР </t>
  </si>
  <si>
    <t>1945_1</t>
  </si>
  <si>
    <t>Кўрсаткичлар номи</t>
  </si>
  <si>
    <t>Сатр коди</t>
  </si>
  <si>
    <t>Ҳисобот даври бошига</t>
  </si>
  <si>
    <t xml:space="preserve">Ҳисобот даври охирига </t>
  </si>
  <si>
    <t>Актив</t>
  </si>
  <si>
    <t>I. Узоқ муддатли активлар</t>
  </si>
  <si>
    <t>Асосий воситалар:</t>
  </si>
  <si>
    <t>Бошланғич (қайта тиклаш) қиймати (0100, 0300)</t>
  </si>
  <si>
    <t>Эскириш суммаси (0200)</t>
  </si>
  <si>
    <t>Қолдиқ (баланс) қиймати (сатр. 010 — 011)</t>
  </si>
  <si>
    <t>Номоддий активлар:</t>
  </si>
  <si>
    <t>Бошланғич қиймати (0400)</t>
  </si>
  <si>
    <t>Амортизация суммаси (0500)</t>
  </si>
  <si>
    <t>Қолдиқ (баланс) қиймати (сатр. 020 — 021)</t>
  </si>
  <si>
    <r>
      <t>Узоқ муддатли инвестициялар,</t>
    </r>
    <r>
      <rPr>
        <sz val="12"/>
        <color rgb="FF000000"/>
        <rFont val="Times New Roman"/>
        <family val="1"/>
        <charset val="204"/>
      </rPr>
      <t xml:space="preserve"> жами (сатр.040 + 050 + 060 + 070 + 080), шу жумладан:</t>
    </r>
  </si>
  <si>
    <t>Қимматли қоғозлар (0610)</t>
  </si>
  <si>
    <t>Шўъба хўжалик жамиятларига инвестициялар (0620)</t>
  </si>
  <si>
    <t>Қарам хўжалик жамиятларига инвестициялар (0630)</t>
  </si>
  <si>
    <t>Чет эл капитали мавжуд бўлган корхоналарга инвестициялар (0640)</t>
  </si>
  <si>
    <t>Бошқа узоқ муддатли инвестициялар (0690)</t>
  </si>
  <si>
    <t>Ўрнатиладиган асбоб-ускуналар (0700)</t>
  </si>
  <si>
    <t>Капитал қўйилмалар (0800)</t>
  </si>
  <si>
    <t>Узоқ муддатли дебиторлик қарзлари (0910, 0920, 0930, 0940)</t>
  </si>
  <si>
    <t>Узоқ муддатли кечиктирилган харажатлар (0950, 0960, 0990)</t>
  </si>
  <si>
    <r>
      <t>I бўлим бўйича жами (сатр.</t>
    </r>
    <r>
      <rPr>
        <sz val="12"/>
        <color rgb="FF000000"/>
        <rFont val="Times New Roman"/>
        <family val="1"/>
        <charset val="204"/>
      </rPr>
      <t xml:space="preserve"> 012 + 022 + 030 + 090 + 100 + 110 + 120)</t>
    </r>
  </si>
  <si>
    <t>II. Жорий активлар</t>
  </si>
  <si>
    <r>
      <t>Товар-моддий захиралари,</t>
    </r>
    <r>
      <rPr>
        <sz val="12"/>
        <color rgb="FF000000"/>
        <rFont val="Times New Roman"/>
        <family val="1"/>
        <charset val="204"/>
      </rPr>
      <t xml:space="preserve"> жами (сатр.150 + 160), шу жумладан:</t>
    </r>
  </si>
  <si>
    <t>Материаллар (1000, 1500, 1600)</t>
  </si>
  <si>
    <t>Тугалланмаган хизматлар (2000, 2300, 2700)</t>
  </si>
  <si>
    <t>Келгуси давр харажатлари (3100)</t>
  </si>
  <si>
    <t>Кечиктирилган харажатлар (3200)</t>
  </si>
  <si>
    <r>
      <t>Дебиторлар,</t>
    </r>
    <r>
      <rPr>
        <sz val="12"/>
        <color rgb="FF000000"/>
        <rFont val="Times New Roman"/>
        <family val="1"/>
        <charset val="204"/>
      </rPr>
      <t xml:space="preserve"> жами (сатр. 200 + 310 + 320 + 330 + 340 + 350 + 360 + 370 + 38 0+ 390)</t>
    </r>
  </si>
  <si>
    <t>шундан: муддати ўтган*</t>
  </si>
  <si>
    <r>
      <t>Тўланадиган счётлар</t>
    </r>
    <r>
      <rPr>
        <sz val="12"/>
        <color rgb="FF000000"/>
        <rFont val="Times New Roman"/>
        <family val="1"/>
        <charset val="204"/>
      </rPr>
      <t>, жами (сатр. 210 + 220 - 400)</t>
    </r>
  </si>
  <si>
    <t>Харидорлар ва буюртмачиларнинг қарзи (4010, 4020)</t>
  </si>
  <si>
    <r>
      <t>Суғурта операциялари бўйича дебиторлар,</t>
    </r>
    <r>
      <rPr>
        <sz val="12"/>
        <color rgb="FF000000"/>
        <rFont val="Times New Roman"/>
        <family val="1"/>
        <charset val="204"/>
      </rPr>
      <t xml:space="preserve"> жами (сатр. 230 + 240 + 250 + 260 + 270 + 280 + 290 + 300)</t>
    </r>
  </si>
  <si>
    <t>Суғурта қилдирувчиларнинг қарзлари (4030)</t>
  </si>
  <si>
    <t>Суғурта агентлари ва брокерларининг қарзлари (4040)</t>
  </si>
  <si>
    <t>Қайта суғурта қилдирувчиларнинг қарзлари (4050)</t>
  </si>
  <si>
    <t>Қайта суғурталовчиларнинг комиссион мукофотлар, тантьема ва бошқа мукофотлар бўйича қарзлари (4051)</t>
  </si>
  <si>
    <t>Қайта суғурталовчиларнинг қарзлари (4060)</t>
  </si>
  <si>
    <t>Ҳаёт суғуртаси бўйича ссудалар (4070)</t>
  </si>
  <si>
    <t>Суғурталовчининг бошқа суғурталовчилардаги депо зарари (4080)</t>
  </si>
  <si>
    <t>Суғурталовчининг бошқа суғурталовчилардаги депо мукофотлари (4090)</t>
  </si>
  <si>
    <t>Алоҳида бўлинмаларнинг қарзи (4110)</t>
  </si>
  <si>
    <t>Шўъба ва қарам хўжалик жамиятларининг қарзи (4120)</t>
  </si>
  <si>
    <t>Ходимларга берилган бўнаклар (4200)</t>
  </si>
  <si>
    <t>Мол етказиб берувчилар ва пудратчиларга берилган бўнаклар (4300)</t>
  </si>
  <si>
    <t>Бюджетга бўнак тўловлари (4400)</t>
  </si>
  <si>
    <t>Мақсадли давлат жамғармалари ва суғурталар бўйича бўнак тўловлари (4500)</t>
  </si>
  <si>
    <t>Таъсисчиларнинг устав капиталига улушлар бўйича қарзи (4600)</t>
  </si>
  <si>
    <t>Ходимларнинг бошқа операциялар бўйича қарзи (4700)</t>
  </si>
  <si>
    <t>Бошқа дебиторлик қарзлари (4800)</t>
  </si>
  <si>
    <t>Ишончсиз қарзлар бўйича резерв (4900)</t>
  </si>
  <si>
    <r>
      <t>Пул маблағлари,</t>
    </r>
    <r>
      <rPr>
        <sz val="12"/>
        <color rgb="FF000000"/>
        <rFont val="Times New Roman"/>
        <family val="1"/>
        <charset val="204"/>
      </rPr>
      <t xml:space="preserve"> жами (сатр.420 + 430 + 440 + 450), шу жумладан:</t>
    </r>
  </si>
  <si>
    <t>Кассадаги пул маблағлари (5000)</t>
  </si>
  <si>
    <t>Ҳисоб-китоб счётидаги пул маблағлари (5100)</t>
  </si>
  <si>
    <t>Чет эл валютасидаги пул маблағлари (5200)</t>
  </si>
  <si>
    <t>Бошқа пул маблағлари ва эквивалентлари (5500, 5600, 5700)</t>
  </si>
  <si>
    <t>Қисқа муддатли инвестициялар (5800)</t>
  </si>
  <si>
    <t>Бошқа жорий активлар (5900)</t>
  </si>
  <si>
    <t>II бўлим бўйича жами (сатр. 140 + 170 + 180 + 190 + 410 + 460 + 470).</t>
  </si>
  <si>
    <t>Баланс активи бўйича жами (сатр.130 + 480)</t>
  </si>
  <si>
    <t>Пассив</t>
  </si>
  <si>
    <t xml:space="preserve">I. Ўз маблағлари манбалари </t>
  </si>
  <si>
    <t>Устав капитали (8300)</t>
  </si>
  <si>
    <t>Қўшилган капитал (8400)</t>
  </si>
  <si>
    <t>Захира капитали (8500)</t>
  </si>
  <si>
    <t>Сотиб олинган хусусий акциялар (8600)</t>
  </si>
  <si>
    <t>Тақсимланмаган фойда (қопланмаган зарар) (8700)</t>
  </si>
  <si>
    <t>Мақсадли тушумлар (8800)</t>
  </si>
  <si>
    <t>Келгуси давр харажатлари ва тўловлари учун захиралар (8900)</t>
  </si>
  <si>
    <r>
      <t>I бўлим бўйича жами</t>
    </r>
    <r>
      <rPr>
        <sz val="12"/>
        <color rgb="FF000000"/>
        <rFont val="Times New Roman"/>
        <family val="1"/>
        <charset val="204"/>
      </rPr>
      <t xml:space="preserve"> (сатр. 500 + 510 + 520 - 530 + 540 + 550 + 560)</t>
    </r>
  </si>
  <si>
    <t>II. Суғурта захиралари</t>
  </si>
  <si>
    <r>
      <t>Суғурта захиралари,</t>
    </r>
    <r>
      <rPr>
        <sz val="12"/>
        <color rgb="FF000000"/>
        <rFont val="Times New Roman"/>
        <family val="1"/>
        <charset val="204"/>
      </rPr>
      <t xml:space="preserve"> жами (сатр. 590 + 600 + 610 + 620 + 630 + 640 + 650 + 660)</t>
    </r>
  </si>
  <si>
    <t>Ишлаб топилмаган мукофотлар захираси (8010)</t>
  </si>
  <si>
    <t>Содир бўлган, лекин хабар қилинмаган зарарлар захираси (8020)</t>
  </si>
  <si>
    <t>Хабар қилинган, лекин бартараф этилмаган зарарлар захираси (8030)</t>
  </si>
  <si>
    <t>Огоҳлантириш чора -тадбирлари захираси (8040)</t>
  </si>
  <si>
    <t>Активларнинг номувофиқлиги захираси (8050)</t>
  </si>
  <si>
    <t>Фалокатлар захираси (8060)</t>
  </si>
  <si>
    <t>Зарарлиликнинг тебраниши захираси (8070)</t>
  </si>
  <si>
    <t>Ҳаёт суғуртаси бўйича захиралар (8090)</t>
  </si>
  <si>
    <r>
      <t>Қайта суғурталовчиларнинг суғурта захираларидаги улуши,</t>
    </r>
    <r>
      <rPr>
        <sz val="12"/>
        <color rgb="FF000000"/>
        <rFont val="Times New Roman"/>
        <family val="1"/>
        <charset val="204"/>
      </rPr>
      <t xml:space="preserve"> жами (сатр. 680 + 690 + 700 + 710)</t>
    </r>
  </si>
  <si>
    <t>Ишлаб топилмаган мукофотлар захирасидаги қайта суғурталовчиларнинг улуши (8110)</t>
  </si>
  <si>
    <t>Хабар қилинган, лекин бартараф этилмаган зарарлар захирасидаги қайта суғурталовчиларнинг улуши (8120)</t>
  </si>
  <si>
    <t>Содир бўлган, лекин хабар қилинмаган зарарлар захирасидаги қайта суғурталовчиларнинг улуши (8130)</t>
  </si>
  <si>
    <t>Ҳаёт суғуртаси бўйича захиралардаги қайта суғурталовчиларнинг улуши (8140)</t>
  </si>
  <si>
    <r>
      <t xml:space="preserve">II бўлим бўйича жами </t>
    </r>
    <r>
      <rPr>
        <sz val="12"/>
        <color rgb="FF000000"/>
        <rFont val="Times New Roman"/>
        <family val="1"/>
        <charset val="204"/>
      </rPr>
      <t>(сатр.580 - 670)</t>
    </r>
  </si>
  <si>
    <t>III. Мажбуриятлар</t>
  </si>
  <si>
    <r>
      <t>Узоқ муддатли мажбуриятлар,</t>
    </r>
    <r>
      <rPr>
        <sz val="12"/>
        <color rgb="FF000000"/>
        <rFont val="Times New Roman"/>
        <family val="1"/>
        <charset val="204"/>
      </rPr>
      <t xml:space="preserve"> жами (сатр. 740 + 750 + 850 + 860 + 870 + 880 + 890 + 900 + 910 + 920)</t>
    </r>
  </si>
  <si>
    <t>шу жумладан: узоқ муддатли кредиторлик қарзлари (сатр.740 + 760 + 770 + 780 + 790 + 800 + 820 + 830 + 850 + 870 + 890 + 920)</t>
  </si>
  <si>
    <t>Мол етказиб берувчилар ва пудратчиларга узоқ муддатли қарз (7010, 7020)</t>
  </si>
  <si>
    <r>
      <t>Суғурта операциялари бўйича узоқ муддатли мажбуриятлар,</t>
    </r>
    <r>
      <rPr>
        <sz val="12"/>
        <color rgb="FF000000"/>
        <rFont val="Times New Roman"/>
        <family val="1"/>
        <charset val="204"/>
      </rPr>
      <t xml:space="preserve"> жами (сатр. 760 + 770 + 780 + 790 + 800 + 810 + 820 + 830)</t>
    </r>
  </si>
  <si>
    <t>Огоҳлантириш чора -тадбирларини амалга оширувчи пудратчиларга узоқ муддатли қарзлар (7011)</t>
  </si>
  <si>
    <t>Суғурта қилдирувчиларга узоқ муддатли қарзлар (7030)</t>
  </si>
  <si>
    <t>Суғурта агентлари ва брокерларига узоқ муддатли қарзлар (7040)</t>
  </si>
  <si>
    <t>Қайта суғурта қилдирувчиларга узоқ муддатли қарзлар (7050)</t>
  </si>
  <si>
    <t>Қайта суғурталовчиларга узоқ муддатли қарзлар (7060)</t>
  </si>
  <si>
    <t>Қайта суғурталовчиларнинг депо мукофотлари (7070)</t>
  </si>
  <si>
    <t>Қайта суғурта қилдирувчиларга комиссион мукофотлар, тантьема ва бошқа мукофотлар бўйича узоқ муддатли қарзлар (7080)</t>
  </si>
  <si>
    <t>Актуарийлар, аджастерлар, сюрвейерлар ва ассистансларга узоқ муддатли қарзлар (7090)</t>
  </si>
  <si>
    <t>Алоҳида бўлинмаларга узоқ муддатли қарз (7110)</t>
  </si>
  <si>
    <t>Шўъба ва қарам хўжалик жамиятларга узоқ муддатли қарз (7120)</t>
  </si>
  <si>
    <t>Узоқ муддатли кечиктирилган даромадлар (7210, 7220, 7230)</t>
  </si>
  <si>
    <t>Солиқ ва бошқа мажбурий тўловлар бўйича узоқ муддатли кечиктирилган мажбуриятлар (7240)</t>
  </si>
  <si>
    <t>Бошқа узоқ муддатли кечиктирилган мажбуриятлар (7250, 7290)</t>
  </si>
  <si>
    <t>Харидорлар ва буюртмачилардан олинган бўнаклар (7300)</t>
  </si>
  <si>
    <t>Узоқ муддатли банк кредитлари (7810)</t>
  </si>
  <si>
    <t>Узоқ муддатли қарзлар (7820, 7830, 7840)</t>
  </si>
  <si>
    <t>Бошқа узоқ муддатли кредиторлик қарзлар (7900)</t>
  </si>
  <si>
    <r>
      <t>Жорий мажбуриятлар,</t>
    </r>
    <r>
      <rPr>
        <sz val="12"/>
        <color rgb="FF000000"/>
        <rFont val="Times New Roman"/>
        <family val="1"/>
        <charset val="204"/>
      </rPr>
      <t xml:space="preserve"> жами (сатр. 940 + 950 +1050 + 1060 + 1070 + 1080 + 1090 + 1100 + 1110 + 1120 +1130 + 1140 + 1150 + 1160 + 1170 + 1180)</t>
    </r>
  </si>
  <si>
    <t>шу жумладан: жорий кредиторлик қарзлари (сатр. 940 + 960 + 970 + 980 + 990 + 1000 + 1020 + 1030 + 1050 + 1070 + 1090 + 1100 +1110 + 1120 + 1130 + 1140 + 1180)</t>
  </si>
  <si>
    <t>шундан: муддати ўтган жорий кредиторлик қарзлари*</t>
  </si>
  <si>
    <t>Мол етказиб берувчилар ва пудратчиларга қарз (6010, 6020)</t>
  </si>
  <si>
    <r>
      <t>Суғурта операциялари бўйича мажбуриятлар,</t>
    </r>
    <r>
      <rPr>
        <sz val="12"/>
        <color rgb="FF000000"/>
        <rFont val="Times New Roman"/>
        <family val="1"/>
        <charset val="204"/>
      </rPr>
      <t xml:space="preserve"> жами (сатр. 960 + 970 + 980 + 990 + 1000 + 1010 + 1020 + 1030)</t>
    </r>
  </si>
  <si>
    <t xml:space="preserve">Огоҳлантириш чора -тадбирларини амалга оширувчи пудратчиларга қарзлар (6011) </t>
  </si>
  <si>
    <t>Суғурта қилдирувчиларга қарзлар (6030)</t>
  </si>
  <si>
    <t>Суғурта агентлари ва брокерларига қарзлар (6040)</t>
  </si>
  <si>
    <t>Қайта суғурта қилдирувчиларга қарзлар (6050)</t>
  </si>
  <si>
    <t>Қайта суғурталовчиларга қарзлар (6060)</t>
  </si>
  <si>
    <t>Қайта суғурталовчиларнинг депо мукофотлари (6070)</t>
  </si>
  <si>
    <t>Қайта суғурта қилдирувчиларга комиссион мукофотлар, тантъема ва бошқа мукофотлар бўйича қарзлари (6080)</t>
  </si>
  <si>
    <t>Актуарийлар, аджастерлар, сюрвейерлар ва ассистансларга қарзлар (6090)</t>
  </si>
  <si>
    <t>Алоҳида бўлинмаларга қарз (6110)</t>
  </si>
  <si>
    <t>Шўъба ва қарам хўжалик жамиятларига қарз (6120)</t>
  </si>
  <si>
    <t>Кечиктирилган даромадлар (6210, 6220, 6230)</t>
  </si>
  <si>
    <t>Солиқлар ва бошқа мажбурий тўловлар бўйича кечиктирилган мажбуриятлар (6240)</t>
  </si>
  <si>
    <t>Бошқа кечиктирилган мажбуриятлар (6250, 6290)</t>
  </si>
  <si>
    <t>Олинган бўнаклар (6300)</t>
  </si>
  <si>
    <t>Бюджетга тўловлар бўйича қарз (6400)</t>
  </si>
  <si>
    <t>Суғурта бўйича қарз (6510)</t>
  </si>
  <si>
    <t>Мақсадли давлат жамғармаларига тўловлар бўйича қарз (6520)</t>
  </si>
  <si>
    <t>Таъсисчиларга бўлган қарзлар (6600)</t>
  </si>
  <si>
    <t>Меҳнатга ҳақ тўлаш бўйича қарз (6700)</t>
  </si>
  <si>
    <t>Қисқа муддатли банк кредитлари (6810)</t>
  </si>
  <si>
    <t>Қисқа муддатли қарзлар (6820, 6830, 6840)</t>
  </si>
  <si>
    <t>Узоқ муддатли мажбуриятларнинг жорий қисми (6950)</t>
  </si>
  <si>
    <t>Бошқа кредиторлик қарзлар (6950 дан ташқари 6900)</t>
  </si>
  <si>
    <r>
      <t>III бўлим бўйича жами</t>
    </r>
    <r>
      <rPr>
        <sz val="12"/>
        <color rgb="FF000000"/>
        <rFont val="Times New Roman"/>
        <family val="1"/>
        <charset val="204"/>
      </rPr>
      <t xml:space="preserve"> (сатр.730 + 930)</t>
    </r>
  </si>
  <si>
    <t>Баланс пассиви бўйича жами (сатр.570 + 720 + 1190)</t>
  </si>
  <si>
    <t xml:space="preserve">* Муддати ўтган дебиторлик ва кредиторлик қарзлари мавжуд бўлган ҳолларда уларнинг расшифровкаси Бухгалтерия баланси — 1-сонли шакл — суғуртанинг иловасига мувофиқ келтирилади. </t>
  </si>
  <si>
    <t>1945_2</t>
  </si>
  <si>
    <t xml:space="preserve">Сатр коди </t>
  </si>
  <si>
    <t>Қисқа муддатли ижарага олинган асосий воситалар (001)</t>
  </si>
  <si>
    <t>Масъул сақлашга қабул қилинган товар-моддий қийматликлар (002)</t>
  </si>
  <si>
    <t>Қайта ишлашга қабул қилинган материаллар (003)</t>
  </si>
  <si>
    <t>Комиссияга қабул қилинган товарлар (004)</t>
  </si>
  <si>
    <t>Ўрнатиш учун қабул қилинган асбоб-ускуналар (005)</t>
  </si>
  <si>
    <t>Қатъий ҳисобот бланкалари (006)</t>
  </si>
  <si>
    <t>Тўловга қобилиятсиз дебиторларнинг зарарга ҳисобдан чиқарилган қарзи (007)</t>
  </si>
  <si>
    <t>Олинган мажбуриятлар ва тўловларнинг таъминоти (008)</t>
  </si>
  <si>
    <t>Берилган мажбуриятлар ва тўловларнинг таъминоти (009)</t>
  </si>
  <si>
    <t>Узоқ муддатли ижара шартномасига асосан берилган асосий воситалар (010)</t>
  </si>
  <si>
    <t>Ссуда шартномаси бўйича олинган мулк (011)</t>
  </si>
  <si>
    <t>Келгуси даврларда солиқ солинадиган базадан чиқариладиган харажатлар (012)</t>
  </si>
  <si>
    <t>Вақтинчалик солиқ имтиёзлари (турлари бўйича) (013)</t>
  </si>
  <si>
    <t>Фойдаланишдаги инвентарь ва хўжалик жиҳозлари (014)</t>
  </si>
  <si>
    <t>1945_3</t>
  </si>
  <si>
    <t>Ўтган йилнинг шу даврида</t>
  </si>
  <si>
    <t>Ҳисобот даврида</t>
  </si>
  <si>
    <t>Даромад лар (фойда)</t>
  </si>
  <si>
    <t xml:space="preserve">Харажат лар (зарарлар) </t>
  </si>
  <si>
    <t>Харажат лар (зарарлар)</t>
  </si>
  <si>
    <t>Суғурта хизматларини кўрсатишдан даромадлар, (сатр.011-012+013+/-014+/-015+/-016+/-017+/-018+019), шу жумладан:</t>
  </si>
  <si>
    <t>Тўғридан-тўғри суғурта қилиш ва биргаликда суғурта қилиш бўйича (биргаликда суғурта қилиш шартномасида суғурталовчининг белгиланган улуши қисмида) суғурта мукофотлари</t>
  </si>
  <si>
    <t>Қайта суғурта қилишга берилган шартномалар бўйича суғурта мукофотлари</t>
  </si>
  <si>
    <t>Қайта суғурта қилишга қабул қилинган шартномалар бўйича суғурта мукофотлари</t>
  </si>
  <si>
    <t>Ишлаб топилмаган мукофотлар захирасидаги қайта суғурталовчиларнинг улушини ҳисобга олган ҳолдаги, ишлаб топилмаган мукофотлар захираси ўзгаришининг натижаси</t>
  </si>
  <si>
    <t>Хабар қилинган, лекин бартараф этилмаган зарарлар захирасидаги қайта суғурталовчиларнинг улушини ҳисобга олган ҳолдаги, хабар қилинган, лекин бартараф этилмаган зарарлар захираси ўзгаришининг натижаси</t>
  </si>
  <si>
    <t>Содир бўлган, лекин хабар қилинмаган зарарлар захирасидаги қайта суғурталовчиларнинг улушини ҳисобга олган ҳолдаги, содир бўлган, лекин хабар қилинмаган зарарлар захираси ўзгаришининг натижаси</t>
  </si>
  <si>
    <t>Ҳаёт суғуртаси бўйича захиралардаги қайта суғурталовчиларнинг улушини ҳисобга олган ҳолдаги, ҳаёт суғуртаси бўйича захиралар ўзгаришининг натижаси</t>
  </si>
  <si>
    <t>Бошқа техник захиралардаги қайта суғурталовчиларнинг улушини ҳисобга олган ҳолдаги, тегишли захиралар ўзгаришининг натижаси</t>
  </si>
  <si>
    <t>Суғурта хизматларини кўрсатишдан бошқа даромадлар</t>
  </si>
  <si>
    <t>Воситачилик хизматини кўрсатишдан даромадлар</t>
  </si>
  <si>
    <t>Қайта суғурта бўйича зарарлар улушининг қопланиши бўйича даромадлар</t>
  </si>
  <si>
    <t>Қайта суғурта бўйича комиссион мукофотлар, тантьемалар ва йиғимлар бўйича даромадлар</t>
  </si>
  <si>
    <t>Аджастер ва сюрвейер хизматларини кўрсатишдан олинган даромадлар</t>
  </si>
  <si>
    <t>Суғурта хизматларини кўрсатишдан соф тушум (сатр. 010+020+030+040+050)</t>
  </si>
  <si>
    <t>Кўрсатилган суғурта хизматларининг таннархи</t>
  </si>
  <si>
    <t>Суғурта хизматларини кўрсатишдан ялпи фойда (зарар) (сатр.060-070)</t>
  </si>
  <si>
    <t>Давр харажатлари, жами (сатр.100+110+120+130), шу жумладан:</t>
  </si>
  <si>
    <t>Сотиш харажатлари</t>
  </si>
  <si>
    <t>Маъмурий харажатлар</t>
  </si>
  <si>
    <t>Бошқа операцион харажатлар</t>
  </si>
  <si>
    <t>Келгусида солиққа тортиладиган базадан чиқариладиган ҳисобот даври харажатлари</t>
  </si>
  <si>
    <t>Асосий фаолиятнинг бошқа даромадлари</t>
  </si>
  <si>
    <t>Асосий фаолиятнинг фойдаси (зарари) (сатр.080-090+140)</t>
  </si>
  <si>
    <t>Молиявий фаолиятнинг даромадлари, жами (сатр.170+180+190+200+210), шу жумладан:</t>
  </si>
  <si>
    <t>Дивидендлар кўринишидаги даромадлар</t>
  </si>
  <si>
    <t>Фоизлар кўринишидаги даромадлар</t>
  </si>
  <si>
    <t>Узоқ муддатли ижара (лизинг) дан даромадлар</t>
  </si>
  <si>
    <t>Валюта курси фарқларидан даромадлар</t>
  </si>
  <si>
    <t>Молиявий фаолиятнинг бошқа даромадлари</t>
  </si>
  <si>
    <t>Молиявий фаолият бўйича харажатлар, жами (сатр.230+240+250+260), шу жумладан:</t>
  </si>
  <si>
    <t>Фоизлар кўринишидаги харажатлар</t>
  </si>
  <si>
    <t>Узоқ муддатли ижара (лизинг) бўйича фоизлар кўринишидаги харажатлар</t>
  </si>
  <si>
    <t>Валюта курси фарқларидан зарарлар</t>
  </si>
  <si>
    <t>Молиявий фаолият бўйича бошқа харажатлар</t>
  </si>
  <si>
    <t>Умумхўжалик фаолиятининг фойдаси (зарари) (сатр.150+160-220)</t>
  </si>
  <si>
    <t>Фавқулоддаги фойда ва зарарлар</t>
  </si>
  <si>
    <t>Фойда солиғини тўлагунга қадар фойда (зарар) (сатр.270+/-280)</t>
  </si>
  <si>
    <t>Фойда солиғи</t>
  </si>
  <si>
    <t>Фойдадан бошқа солиқлар ва бошқа мажбурий тўловлар</t>
  </si>
  <si>
    <t>Ҳисобот даврининг соф фойдаси (зарари) (сатр.290-300-310)</t>
  </si>
  <si>
    <t>1945_4</t>
  </si>
  <si>
    <t>Ҳисобот даври учун ҳисоб-китоб бўйича тўланади</t>
  </si>
  <si>
    <t>Ҳисобот даври учун ҳисоб-китоб бўйича тўланадигандан ҳақиқатда тўлангани</t>
  </si>
  <si>
    <t>Юридик шахслардан олинадиган фойда солиғи</t>
  </si>
  <si>
    <t>Жисмоний шахслардан олинадиган даромад солиғи</t>
  </si>
  <si>
    <t>шу жумладан: шахсий жамғариб бориладиган пенсия ҳисобварақларига ажратмалар</t>
  </si>
  <si>
    <t>Қўшилган қиймат солиғи</t>
  </si>
  <si>
    <t>Акциз солиғи</t>
  </si>
  <si>
    <t>Ер қаъридан фойдаланганлик учун солиқ</t>
  </si>
  <si>
    <t>Сув ресурсларидан фойдаланганлик учун солиқ</t>
  </si>
  <si>
    <t>Юридик шахсларнинг мол-мулкига солинадиган солиқ</t>
  </si>
  <si>
    <t>Юридик шахслардан олинадиган ер солиғи</t>
  </si>
  <si>
    <t>Ягона солиқ тўлови</t>
  </si>
  <si>
    <t>Ягона ер солиғи</t>
  </si>
  <si>
    <t>Қатъий белгиланган солиқ</t>
  </si>
  <si>
    <t>Бошқа солиқлар</t>
  </si>
  <si>
    <t>Давлат мақсадли жамғармаларига мажбурий ажратмалар</t>
  </si>
  <si>
    <t>Ягона ижтимоий тўлов</t>
  </si>
  <si>
    <t>Импорт бўйича божхона божи</t>
  </si>
  <si>
    <t>Маҳаллий мажбурий тўловлар</t>
  </si>
  <si>
    <t>Бюджетга тўловларнинг кечиктирилганлиги учун молиявий санкциялар</t>
  </si>
  <si>
    <t>Жами бюджетга тўловлар суммаси (330 дан 520 сатргача 341 сатрдан ташқари)</t>
  </si>
  <si>
    <t>1945_5</t>
  </si>
  <si>
    <t>Кирим</t>
  </si>
  <si>
    <t>Чиқим</t>
  </si>
  <si>
    <t>Операцион фаолият</t>
  </si>
  <si>
    <t>Суғурта операциялари бўйича пул тушумлари, жами (сатр 020+030+040+050+060), шу жумладан:</t>
  </si>
  <si>
    <t>Суғурта ва биргаликда суғурта қилиш шартномалари бўйича суғурта мукофотлари кўринишида келиб тушган пул маблағлари</t>
  </si>
  <si>
    <t>Қайта суғурта қилиш шартномалари бўйича суғурта мукофотлари кўринишида келиб тушган пул маблағлари</t>
  </si>
  <si>
    <t>Суғурта воситачиси, аджастери, сюрвейери хизматларини кўрсатишдан келиб тушган пул маблағлари</t>
  </si>
  <si>
    <t>Қайта суғурта қилиш бўйича комиссион мукофотлар, тантьемалар ва йиғимлар кўринишида келиб тушган пул маблағлари</t>
  </si>
  <si>
    <t>Қайта суғурта қилиш ва ретроцессияга берилган таваккалчиликлар бўйича зарарлар улушини қоплаш бўйича келиб тушган пул маблағлари</t>
  </si>
  <si>
    <t>Суғурта операциялари бўйича пул тўловлари, жами (сатр 080+090+100+110+120+130), шу жумладан:</t>
  </si>
  <si>
    <t>Қайта суғурта ва ретроцессия шартномалари бўйича суғурта мукофотлари кўринишида тўланган пул маблағлари</t>
  </si>
  <si>
    <t>Суғурта ва биргаликда суғурта қилиш шартномалари бўйича суғурта товонлари кўринишида тўланган пул маблағлари</t>
  </si>
  <si>
    <t>Қайта суғурта қилиш ва ретроцессия бўйича қабул қилинган таваккалчиликлар бўйича зарарлар улушини қоплаш кўринишида тўланган пул маблағлари</t>
  </si>
  <si>
    <t>Суғурта воситачиларига суғурта, биргаликда суғурта қилиш ва қайта суғурта қилиш шартномаларини тузганлик учун мукофотлар кўринишида тўланган пул маблағлари</t>
  </si>
  <si>
    <t>Актуарийлар, аджастерлар, сюрвейерлар, ассистанслар томонидан кўрсатилган хизматлар учун тўланган пул маблағлари</t>
  </si>
  <si>
    <t>Огоҳлантириш чора - тадбирларини молиялаштиришга тўланган пул маблағлари</t>
  </si>
  <si>
    <t>Ходимларга ва улар номидан тўланган пул маблағлари</t>
  </si>
  <si>
    <t>Операцион фаолиятнинг бошқа пул тушумлари ва тўловлари</t>
  </si>
  <si>
    <t>Жами: операцион фаолиятнинг соф пул кирими/чиқими (сатр. 010-070-140+/-150)</t>
  </si>
  <si>
    <t xml:space="preserve">Инвестиция фаолияти </t>
  </si>
  <si>
    <t>Асосий воситаларни сотиб олиш ва сотиш</t>
  </si>
  <si>
    <t>Номоддий активларни сотиб олиш ва сотиш</t>
  </si>
  <si>
    <t>Узоқ ва қиска муддатли инвестицияларни сотиб олиш ва сотиш</t>
  </si>
  <si>
    <t>Инвестицион фаолиятнинг бошқа пул тушумлари ва тўловлари</t>
  </si>
  <si>
    <t>Жами: инвестицион фаолиятнинг соф пул кирими/чиқими (сатр. 170+/-180+/-190+/-200)</t>
  </si>
  <si>
    <t xml:space="preserve">Молиявий фаолият </t>
  </si>
  <si>
    <t>Олинган ва тўланган фоизлар</t>
  </si>
  <si>
    <t>Олинган ва тўланган дивидендлар</t>
  </si>
  <si>
    <t>Акциялар чиқаришдан ёки хусусий капитал билан боғлиқ бўлган бошқа инструментлардан тушган пул тушумлари</t>
  </si>
  <si>
    <t>Хусусий акцияларни сотиб олганда ва уларни сотганда пул тўловлари ва тушумлари</t>
  </si>
  <si>
    <t>Узоқ ва қисқа муддатли кредит ва қарзлар бўйича пул тушумлари ва тўловлари</t>
  </si>
  <si>
    <t>Узоқ муддатли ижара (лизинг) бўйича пул тушумлари ва тўловлари</t>
  </si>
  <si>
    <t>Молиявий фаолиятнинг бошқа пул тушумлари ва тўловлари</t>
  </si>
  <si>
    <t>Жами: молиявий фаолиятнинг соф пул кирими/чиқими (сатр 220+/-230+240+/-250+/-260+/-270+/-280)</t>
  </si>
  <si>
    <t xml:space="preserve">Солиққа тортиш </t>
  </si>
  <si>
    <t>Тўланган фойда солиғи</t>
  </si>
  <si>
    <t>Тўланган бошқа солиқлар</t>
  </si>
  <si>
    <t>Жами: тўланган солиқлар (сатр 300+310)</t>
  </si>
  <si>
    <t>Жами: молиявий-хўжалик фаолиятининг соф пул кирими/чиқими (сатр 160+/-210+/-290-320)</t>
  </si>
  <si>
    <t>Чет эл валютасидаги пул маблағларини қайта баҳолашдан юзага келган курс фарқлари сальдоси.</t>
  </si>
  <si>
    <t>Йил бошидаги пул маблағлари</t>
  </si>
  <si>
    <t>Йил охиридаги пул маблағлари</t>
  </si>
  <si>
    <t>1945_6</t>
  </si>
  <si>
    <t>Миқдори</t>
  </si>
  <si>
    <t>Йил бошига қолдиқ</t>
  </si>
  <si>
    <t>Келиб тушган валюта маблағлари, жами (сатр 371+372+373+374), шу жумладан</t>
  </si>
  <si>
    <t>Сотишдан олинган тушум</t>
  </si>
  <si>
    <t>Конвертация қилинган</t>
  </si>
  <si>
    <t>Молиявий фаолият бўйича</t>
  </si>
  <si>
    <t>Бошқа манбалар</t>
  </si>
  <si>
    <t>Сарфланган валюта маблағлари, жами (сатр 381+382+383), шу жумладан</t>
  </si>
  <si>
    <t>Мол етказиб берувчилар ва пудратчиларга тўловлар</t>
  </si>
  <si>
    <t>Молиявий фаолият бўйича тўловлар</t>
  </si>
  <si>
    <t>Бошқа мақсадлар учун</t>
  </si>
  <si>
    <t>Чет эл валютасидаги пул маблағларини қайта баҳолашдан юзага келган курс фарқлари сальдоси</t>
  </si>
  <si>
    <t>Йил охиридаги қолдиқ (сатр. 360+370-380+/-390)</t>
  </si>
  <si>
    <t>1945_7</t>
  </si>
  <si>
    <t>Устав капитали</t>
  </si>
  <si>
    <t>Қўшилган капитал</t>
  </si>
  <si>
    <t>Захира капитали</t>
  </si>
  <si>
    <t>Тақсимланмаган фойда (қопланмаган зарар)</t>
  </si>
  <si>
    <t>Сотиб олинган хусусий акциялар</t>
  </si>
  <si>
    <t>Мақсадли тушумлар ва бошқалар</t>
  </si>
  <si>
    <t>Жами</t>
  </si>
  <si>
    <t>Йил бошидаги қолдиқ</t>
  </si>
  <si>
    <t>Қимматли қоғозлар эмиссияси</t>
  </si>
  <si>
    <t>Узоқ муддатли активларни қайта баҳолаш</t>
  </si>
  <si>
    <t>Устав капиталини шакллантиришда пайдо бўлган валюта курси фарқлари</t>
  </si>
  <si>
    <t>Захира капиталига ажратмалар</t>
  </si>
  <si>
    <t>Ҳисобот йилининг тақсимланмаган фойдаси (қопланмаган зарари)</t>
  </si>
  <si>
    <t>Текинга олинган мол-мулк</t>
  </si>
  <si>
    <t>Мақсадли фойдаланиш учун олинган маблағлар</t>
  </si>
  <si>
    <t>Тўланган дивидендлар</t>
  </si>
  <si>
    <t>Хусусий капитал шаклланишининг бошқа манбалари</t>
  </si>
  <si>
    <t>Йил охиридаги қолдиқ</t>
  </si>
  <si>
    <t>Хусусий капиталининг кўпайиши (+) ёки камайиши (-)</t>
  </si>
  <si>
    <t>МАЪЛУМОТ УЧУН:</t>
  </si>
  <si>
    <t>Чиқарилган акциялар сони, дона</t>
  </si>
  <si>
    <t>шу жумладан:</t>
  </si>
  <si>
    <t>имтиёзли</t>
  </si>
  <si>
    <t>оддий</t>
  </si>
  <si>
    <t>Акциянинг номинал қиймати</t>
  </si>
  <si>
    <t>Муомаладаги акциялар сони, дона</t>
  </si>
  <si>
    <t>Рег. номер</t>
  </si>
  <si>
    <t>Список таблиц</t>
  </si>
  <si>
    <t>Наим. док-та</t>
  </si>
  <si>
    <t>Номер прил-я</t>
  </si>
  <si>
    <t>Наим. прил-я</t>
  </si>
  <si>
    <t>Код прил-я</t>
  </si>
  <si>
    <t>№ п/п</t>
  </si>
  <si>
    <t>Наименование норматива</t>
  </si>
  <si>
    <t>Величина (тыс. сум.)</t>
  </si>
  <si>
    <t>Минимальный размер уставного капитала, установленный для страховщика в соответствии с законодательством о страховой деятельности</t>
  </si>
  <si>
    <t>Сумма начисленных страховых возмещений, за вычетом доли перестраховщиков в течение предыдущих 36 месяцев</t>
  </si>
  <si>
    <t>Сумма начисленных страховых возмещений в течение предыдущих 36 месяцев</t>
  </si>
  <si>
    <t>Поправочный коэффициент для отрасли общего страхования (отношение строки 2 к строке 3, но не менее 0,5)</t>
  </si>
  <si>
    <t>Сумма начисленных страховых премий по всем договорам страхования (перестрахования) в течение предыдущих 12 месяцев</t>
  </si>
  <si>
    <t xml:space="preserve">50% от суммы начисленных страховых премий по договорам страхования (перестрахования) в течение предыдущих 12 месяцев по классам страхования 11 и 13 </t>
  </si>
  <si>
    <t>Сумма страховых премий, возвращенных страхователям (перестрахователям) в связи с расторжением (изменением условий) договоров страхования (перестрахования), заключенных в течение предыдущих 12 месяцев</t>
  </si>
  <si>
    <t xml:space="preserve">20% от суммы строк 5 и 6 за вычетом величины строки 7 </t>
  </si>
  <si>
    <t>Величина, рассчитанная по «методу премий» (величина, рассчитанная путем умножения величины строки 4 на величину строки 8)</t>
  </si>
  <si>
    <t xml:space="preserve">50% от суммы начисленных страховых возмещений по договорам страхования (перестрахования) в течение предыдущих 36 месяцев по классам страхования 11 и 13 </t>
  </si>
  <si>
    <t xml:space="preserve">Величина резерва заявленных, но неурегулированных убытков на отчетную дату </t>
  </si>
  <si>
    <t xml:space="preserve">50% от величины резерва заявленных, но неурегулированных убытков на отчетную дату по классам страхования 11 и 13 </t>
  </si>
  <si>
    <t xml:space="preserve">10% от суммы строк 3, 10, 11 и 12 </t>
  </si>
  <si>
    <t>Величина, рассчитанная по «методу выплат» (величина, рассчитанная путем умножения величины строки 4 на величину строки 13)</t>
  </si>
  <si>
    <t xml:space="preserve">Нормативный размер маржи платежеспособности (наибольшая величина из строк 1, 9 и 14) </t>
  </si>
  <si>
    <t>Сумма источников собственных средств (сумма по итогу раздела I пассива бухгалтерского баланса)</t>
  </si>
  <si>
    <t>Сумма нематериальных активов, за исключением программного обеспечения, приобретенного для целей основной деятельности страховщика, но не более 10% от активов страховщика</t>
  </si>
  <si>
    <t>Сумма задолженности учредителей по вкладам в уставный капитал</t>
  </si>
  <si>
    <t>Сумма целевых поступлений и резервов предстоящих расходов и платежей</t>
  </si>
  <si>
    <t>Сумма части нераспределенной прибыли, предназначенная для распределения между учредителями (акционерами)</t>
  </si>
  <si>
    <t>Сумма задолженности дебиторов — связанных лиц</t>
  </si>
  <si>
    <t>Сумма страховых премий, не оплаченных страхователями (перестрахователями) в течение более чем трех месяцев с даты оплаты, установленной договором страхования (перестрахования)</t>
  </si>
  <si>
    <t>Сумма дебиторской задолженности по налогам и другим обязательным платежам</t>
  </si>
  <si>
    <t>Суммы по гарантиям</t>
  </si>
  <si>
    <t>Сумма величин строк с 17 по 25</t>
  </si>
  <si>
    <t>Фактический размер маржи платежеспособности (разница величин строк 16 и 26)</t>
  </si>
  <si>
    <t>Норматив достаточности маржи платежеспособности (отношение величины строки 27 к величине строки 15)</t>
  </si>
  <si>
    <t>Величина резерва премий, за вычетом доли перестраховщиков в резерве премий</t>
  </si>
  <si>
    <t>Величина резерва премий</t>
  </si>
  <si>
    <t>Поправочный коэффициент для отрасли страхования жизни (отношение строки 2 к строке 3, но не менее 0,85)</t>
  </si>
  <si>
    <t xml:space="preserve">Результат произведения 5% от величины строки 3 на величину строки 4 </t>
  </si>
  <si>
    <t>Сумма начисленных страховых возмещений по договорам страхования (перестрахования) по классам 1 и 2 отрасли общего страхования, за вычетом доли перестраховщиков в течение предыдущих 36 месяцев</t>
  </si>
  <si>
    <t>Сумма начисленных страховых возмещений по договорам страхования (перестрахования) по классам 1 и 2 отрасли общего страхования в течение предыдущих 36 месяцев</t>
  </si>
  <si>
    <t>Поправочный коэффициент для классов 1 и 2 отрасли общего страхования (отношение строки 6 к строке 7, но не менее 0,5)</t>
  </si>
  <si>
    <t>Сумма начисленных страховых премий по договорам страхования (перестрахования) по классам 1 и 2 отрасли общего страхования в течение предыдущих 12 месяцев</t>
  </si>
  <si>
    <t>Сумма страховых премий по договорам страхования (перестрахования) по классам 1 и 2 отрасли общего страхования, возвращенных страхователям (перестрахователям) в связи с расторжением (изменением условий) договоров страхования (перестрахования), заключенных в течение предыдущих 12 месяцев</t>
  </si>
  <si>
    <t xml:space="preserve">20% от результата вычитания от величины строки 9 величины строки 10 </t>
  </si>
  <si>
    <t xml:space="preserve">Величина резерва заявленных, но неурегулированных убытков по классам 1 и 2 отрасли общего страхования на отчетную дату </t>
  </si>
  <si>
    <t xml:space="preserve">10% от суммы строк 7 и 12 </t>
  </si>
  <si>
    <t>Наибольшая величина из строк 11 и 13</t>
  </si>
  <si>
    <t>Величина, рассчитанная путем умножения величины строки 8 на величину строки 14</t>
  </si>
  <si>
    <t>Сумма строк 5 и 15*</t>
  </si>
  <si>
    <t xml:space="preserve">Нормативный размер маржи платежеспособности (наибольшая величина из строк 1 и 16) </t>
  </si>
  <si>
    <t>Сумма строк с 19 по 27</t>
  </si>
  <si>
    <t>Фактический размер маржи платежеспособности (разница величин строк 18 и 28)</t>
  </si>
  <si>
    <t>Норматив достаточности маржи платежеспособности (отношение величины строки 29 к величине строки 17)</t>
  </si>
  <si>
    <t>* Строки с 5 по 15 используются только в случае, если страховщик, осуществляющий деятельность в отрасли страхования жизни, дополнительно осуществляет деятельность по классам 1 и 2 отрасли общего страхования.</t>
  </si>
  <si>
    <t>факт.</t>
  </si>
  <si>
    <t>Максимальный объем обязательств страховщика (перестраховщика) по отдельным рискам, за исключением страхования экспортных контрактов от политических и коммерческих рисков</t>
  </si>
  <si>
    <t>Максимальный объем обязательств страховщика (перестраховщика) по отдельным рискам по страхованию экспортных контрактов от политических и коммерческих рисков</t>
  </si>
  <si>
    <t>Максимальный объем обязательств страховщика (перестраховщика) по пяти наиболее крупным отдельным рискам</t>
  </si>
  <si>
    <t>Максимальный объем обязательств страховщика (перестраховщика) по пяти наиболее крупным отдельным рискам по страхованию экспортных контрактов от политических и коммерческих рисков</t>
  </si>
  <si>
    <t>Общая сумма активов страховщика (перестраховщика), размещенных в уставные капиталы других юридических лиц</t>
  </si>
  <si>
    <t>Максимальное размещение активов страховщика (перестраховщика) в один земельный участок или иной объект недвижимого имущества, или совокупность земельных участков и объектов недвижимого имущества, которые могут рассматриваться как один объект</t>
  </si>
  <si>
    <t>Максимальный вклад (депозит) в один коммерческий банк</t>
  </si>
  <si>
    <t xml:space="preserve">Общая сумма вкладов (депозитов) в кредитных организациях (кроме коммерческих банков) </t>
  </si>
  <si>
    <t>Максимальное размещение активов страховщика (перестраховщика) в уставный капитал одного юридического лица или другие права участия в одно юридическое лицо</t>
  </si>
  <si>
    <t>Максимальный размер привлеченного займа (финансовой помощи)</t>
  </si>
  <si>
    <t>Денежные средства в кассе и/или на расчетных (валютных) и иных банковских счетах, а также приравниваемые к ним средства</t>
  </si>
  <si>
    <t xml:space="preserve">Наименование юридического лица </t>
  </si>
  <si>
    <t>Размер уставного капитала юридического лица (тыс. сум.)</t>
  </si>
  <si>
    <t>Величина участия страховщика (перестраховщика) в уставном капитале (тыс. сум.)</t>
  </si>
  <si>
    <t>Доля участия страховщика (перестраховщика) в уставном капитале (%)</t>
  </si>
  <si>
    <t xml:space="preserve">Связанное лицо (наименование или Ф.И.О.) </t>
  </si>
  <si>
    <t>Вид размещения</t>
  </si>
  <si>
    <t xml:space="preserve">Доходность вложения (в% годовых) </t>
  </si>
  <si>
    <t>Сумма размещенных активов</t>
  </si>
  <si>
    <t>Показатель деятельности страховщика (перестраховщика) со связанными лицами (%)</t>
  </si>
  <si>
    <t>Таблица 1</t>
  </si>
  <si>
    <t>Наименование показателя</t>
  </si>
  <si>
    <t>Номер строки</t>
  </si>
  <si>
    <t xml:space="preserve">Величина: тыс. сум., долл. США, иное </t>
  </si>
  <si>
    <t>Примечание</t>
  </si>
  <si>
    <t>Минимальный размер собственного удержания (при перестраховании обязательств у иностранных страховых организаций), за исключением договоров страхования экспортных контрактов от политических и коммерческих рисков и договоров страхования лиц, выезжающих зарубеж</t>
  </si>
  <si>
    <t>Величина фактического размера маржи платежеспособности страховщика (перестраховщика) за предыдущий квартал</t>
  </si>
  <si>
    <t>Отношение строки 1 к строке 2 (%)</t>
  </si>
  <si>
    <t xml:space="preserve">Минимально допустимая величина 5% </t>
  </si>
  <si>
    <t>Максимальный объем обязательств, переданный в перестрахование за пределы Республики Узбекистан по каждому отдельному договору страхования (перестрахования)</t>
  </si>
  <si>
    <t xml:space="preserve">Максимально допустимая величина 95% </t>
  </si>
  <si>
    <t>* При перестраховании через страхового брокера указывается его наименование и доля, информация о перестраховщиках прилагается к данной таблице согласно настоящей форме.</t>
  </si>
  <si>
    <t>Таблица 2</t>
  </si>
  <si>
    <t>Наименование страховщика/ перестраховщика (кому передано в перестрахование)*</t>
  </si>
  <si>
    <t>Рейтинг финансовой надежности (с указанием наименования рейтингового агентства)</t>
  </si>
  <si>
    <t>Страна страховщика (перестраховщика)</t>
  </si>
  <si>
    <t>Объем переданных в перестрахование страховых обязательств (тыс. сум., долл. США, иное)</t>
  </si>
  <si>
    <t>Объем страховых премий по договорам, переданным в перестрахование (тыс. сум., долл. США, иное)</t>
  </si>
  <si>
    <t>Доля перестраховщика в общем объеме переданных в перестрахование страховых обязательств (%)</t>
  </si>
  <si>
    <t>Таблица 1.</t>
  </si>
  <si>
    <t>№ строки</t>
  </si>
  <si>
    <t>Страховая брутто-премия, начисленная в отчетном периоде</t>
  </si>
  <si>
    <t>Обязательные взносы страховщика в Фонд гарантирования выплат за отчетный период</t>
  </si>
  <si>
    <t>РНП на начало отчетного периода</t>
  </si>
  <si>
    <t xml:space="preserve">РНП на конец отчетного периода (на отчетную дату) </t>
  </si>
  <si>
    <t>РЗУ на начало отчетного периода</t>
  </si>
  <si>
    <t xml:space="preserve">РЗУ на конец отчетного периода (на отчетную дату) </t>
  </si>
  <si>
    <t>РПНУ на начало отчетного периода</t>
  </si>
  <si>
    <t xml:space="preserve">РПНУ на конец отчетного периода (на отчетную дату) </t>
  </si>
  <si>
    <t>Страховые выплаты, произведенные за отчетный период</t>
  </si>
  <si>
    <t xml:space="preserve">Страховые премии (взносы), возвращенные страхователям за отчетный период в связи с досрочным прекращением (изменением условий) договоров </t>
  </si>
  <si>
    <t xml:space="preserve">Изменение РНП, РЗУ и РПНУ за отчетный период (стр. 12 = стр. 4 – стр. 3 + стр. 6 – стр. 5 + стр. 8 – стр. 7) </t>
  </si>
  <si>
    <t xml:space="preserve">Итого — доходы (если стр. 12 &gt; = 0, то стр. 13 = стр. 1; если стр. 12 &lt; 0, то стр. 13 = стр. 1 – стр. 12.) </t>
  </si>
  <si>
    <t xml:space="preserve">Итого — расходы (если стр. 12 &gt; = 0, то стр. 14 = стр. 2 + стр. 9 + стр. 10 + стр. 11 + стр. 12; если стр. 12 &lt; 0, то стр. 14 = стр. 2 + стр. 9 + стр. 10 + стр. 11.) </t>
  </si>
  <si>
    <t>Финансовый результат (превышение доходов над расходами или расходов над доходами) (стр. 15 = стр. 13 – стр. 14)</t>
  </si>
  <si>
    <t>Расчет стабилизационного резерва по обязательному страхованию гражданской ответственности владельцев транспортных средств</t>
  </si>
  <si>
    <t>Таблица 2.</t>
  </si>
  <si>
    <t xml:space="preserve">Доходы (согласно данным стр. 13 таблицы № 1) </t>
  </si>
  <si>
    <t xml:space="preserve">Финансовый результат (превышение доходов над расходами или расходов над доходами) (согласно данным стр. 15 таблицы № 1) </t>
  </si>
  <si>
    <t>Стабилизационный резерв по обязательному страхованию гражданской ответственности владельцев транспортных средств (СР ОСГО) на начало отчетного периода</t>
  </si>
  <si>
    <t xml:space="preserve">Увеличение / уменьшение СР ОСГО (если стр. 2 &gt; = 0,05 х стр. 1, то стр. 4 = стр. 2 – 0,05 х стр. 1; если 0 &lt; = стр. 2&lt; 0,05 х стр. 1, то стр. 4 = 0; если стр. 2 &lt; 0, то стр. 4 = стр. 2.) </t>
  </si>
  <si>
    <t>Промежуточный итог (стр. 3 + стр. 4)</t>
  </si>
  <si>
    <t>5.1.</t>
  </si>
  <si>
    <t xml:space="preserve">Сумма страховых выплат, произведенных за период 36 месяцев до отчетной даты по договорам обязательного страхования гражданской ответственности владельцев транспортных средств </t>
  </si>
  <si>
    <t xml:space="preserve">Стабилизационный резерв по обязательному страхованию гражданской ответственности владельцев транспортных средств на отчетную дату (если стр. 5 &lt; 0, то стр. 6 = 0; если стр. 5.1 &gt; стр. 5 &gt;= 0, то стр. 6 = стр. 5; если стр. 5 &gt; стр. 5.1, то стр. 6 = стр. 5.1.) </t>
  </si>
  <si>
    <t>* Заполняется только в случае, если страховщик, осуществляет деятельность по обязательному страхованию гражданской ответственности владельцев транспортных средств. Все величины, используемые для определения доходов, расходов и финансового результата, в данной таблице относятся к обязательному страхованию гражданской ответственности владельцев транспортных средств.</t>
  </si>
  <si>
    <t>РНП на конец отчетного периода (на отчетную дату)</t>
  </si>
  <si>
    <t>РЗУ на конец отчетного периода (на отчетную дату)</t>
  </si>
  <si>
    <t>РПНУ на конец отчетного периода (на отчетную дату)</t>
  </si>
  <si>
    <t>Страховые премии (взносы), возвращенные страхователям за отчетный период в связи с досрочным прекращением (изменением условий) договоров</t>
  </si>
  <si>
    <t xml:space="preserve">Изменение РНП, РЗУ и РПНУ за отчетный период (стр. 11 = стр. 3 – стр. 2 + стр. 5 – стр. 4 + стр. 7 – стр. 6) </t>
  </si>
  <si>
    <t xml:space="preserve">Итого — доходы (если стр. 11 &gt; = 0, то стр. 12 = стр. 1; если стр. 11&lt; 0, то стр. 12 = стр. 1 – стр. 11.) </t>
  </si>
  <si>
    <t>Итого — расходы (если стр. 11 &gt; = 0, то стр. 13 = стр. 8 + стр. 9 + стр. 10+ стр. 11; если стр. 11 &lt; 0, то стр. 13 = стр. 8 + стр. 9 + стр. 10.)</t>
  </si>
  <si>
    <t>Финансовый результат (превышение доходов над расходами или расходов над доходами) (стр. 14 = стр. 12 – стр. 13)</t>
  </si>
  <si>
    <t>Расчет стабилизационного резерва по обязательному страхованию гражданской ответственности работодателя</t>
  </si>
  <si>
    <t>Доходы (согласно данным стр. 12 таблицы № 1)</t>
  </si>
  <si>
    <t>Финансовый результат (превышение доходов над расходами или расходов над доходами) (согласно данным стр. 14 таблицы № 1)</t>
  </si>
  <si>
    <t>Стабилизационный резерв по обязательному страхованию гражданской ответственности работодателя (СР ОСГОР) на начало отчетного периода</t>
  </si>
  <si>
    <t>Увеличение / уменьшение СР ОСГОР (если стр. 2 &gt; = 0,05 х стр. 1, то стр. 4 = стр. 2 – 0,05 х стр. 1; если 0 &lt; = стр. 2 &lt; 0,05 х стр. 1, то стр. 4 = 0; если стр. 2 &lt; 0, то стр. 4 = стр. 2.)</t>
  </si>
  <si>
    <t>Стабилизационный резерв по обязательному страхованию гражданской ответственности работодателя на отчетную дату (если стр. 5 &lt; 0, то стр. 6 = 0; если стр. 5 &gt; = 0, то стр. 6 = стр. 5.)</t>
  </si>
  <si>
    <t>* Заполняется только в случае, если страховщик осуществляет деятельность по обязательному страхованию гражданской ответственности работодателя. Все величины, используемые для определения доходов, расходов и финансового результата, в данной таблице относятся к обязательному страхованию гражданской ответственности работодателя.</t>
  </si>
  <si>
    <t>Величина (тыс. сум)</t>
  </si>
  <si>
    <t>Изменение РНП, РЗУ и РПНУ за отчетный период (стр. 11 = стр. 3 — стр. 2 + стр. 5 — стр. 4 + стр. 7 — стр. 6)</t>
  </si>
  <si>
    <t>Итого — доходы (если стр. 11 &gt; = 0, то стр. 12 = стр. 1; если стр. 11 &lt; 0, то стр. 12 = стр. 1 — стр. 11)</t>
  </si>
  <si>
    <t>Итого — расходы (если стр. 11 &gt;= 0, то стр. 13 = стр. 8 + стр. 9 + стр. 10+стр. 11; если стр. 11 &lt; 0, то стр. 13 = стр. 8 + стр. 9 + стр. 10)</t>
  </si>
  <si>
    <t>Финансовый результат (превышение доходов над расходами или расходов над доходами) (стр. 14 = стр. 12 — стр. 13)</t>
  </si>
  <si>
    <t>Расчет стабилизационного резерва по обязательному страхованию гражданской ответственности перевозчика</t>
  </si>
  <si>
    <t>Стабилизационный резерв по обязательному страхованию гражданской ответственности перевозчика (СР ОСГОП) на начало отчетного периода</t>
  </si>
  <si>
    <t>Увеличение / уменьшение СР ОСГОП (если стр. 2 &gt; = 0,05 х стр. 1, то стр. 4 = стр. 2 — 0,05 х стр. 1; если 0 &lt; = стр. 2 &lt; 0,05 х стр. 1, то стр. 4 = 0; если стр. 2 &lt; 0, то стр. 4 = стр. 2)</t>
  </si>
  <si>
    <t>Стабилизационный резерв по обязательному страхованию гражданской ответственности перевозчика на отчетную дату (если стр. 5 &lt; 0, то стр. 6 = 0; если стр. 5 &gt;= 0, то стр. 6 = стр. 5)</t>
  </si>
  <si>
    <t>* Заполняется только в случае, если страховщик осуществляет деятельность по обязательному страхованию гражданской ответственности перевозчика. Все величины, используемые для определения доходов, расходов и финансового результата, в данной таблице относятся к обязательному страхованию гражданской ответственности перевозчика.</t>
  </si>
  <si>
    <t>Резервы</t>
  </si>
  <si>
    <t>Всего, (тыс. сум)</t>
  </si>
  <si>
    <t>Из них в иностранной валюте</t>
  </si>
  <si>
    <t>доллары США</t>
  </si>
  <si>
    <t>другая</t>
  </si>
  <si>
    <t>Всего, (тыс. сум экв.)</t>
  </si>
  <si>
    <t>Резерв незаработанной премии (итого)</t>
  </si>
  <si>
    <t>1-я учетная группа, в том числе:</t>
  </si>
  <si>
    <t>РНП по ОСГО</t>
  </si>
  <si>
    <t>РНП по ОСГОР</t>
  </si>
  <si>
    <t>РНП по ОСГОП</t>
  </si>
  <si>
    <t>2-я учетная группа</t>
  </si>
  <si>
    <t>3-я учетная группа</t>
  </si>
  <si>
    <t>4-я учетная группа</t>
  </si>
  <si>
    <t>Доля перестраховщиков в РНП</t>
  </si>
  <si>
    <t>Резерв заявленных, но не урегулированных убытков (итого), в том числе:</t>
  </si>
  <si>
    <t xml:space="preserve">РЗУ по ОСГО </t>
  </si>
  <si>
    <t>РЗУ по ОСГОР</t>
  </si>
  <si>
    <t>РЗУ по ОСГОП</t>
  </si>
  <si>
    <t>Доля перестраховщиков в РЗУ</t>
  </si>
  <si>
    <t>Резерв произошедших, но не заявленных убытков (итого), в том числе:</t>
  </si>
  <si>
    <t>РПНУ по ОСГО</t>
  </si>
  <si>
    <t>РПНУ по ОСГОР</t>
  </si>
  <si>
    <t>РПНУ по ОСГОП</t>
  </si>
  <si>
    <t>Доля перестраховщиков в РПНУ</t>
  </si>
  <si>
    <t>Стабилизационный резерв по обязательному страхованию гражданской ответственности владельцев транспортных средств (СР ОСГО)</t>
  </si>
  <si>
    <t>Стабилизационный резерв по обязательному страхованию гражданской ответственности работодателя (СР ОСГОР)</t>
  </si>
  <si>
    <t>Стабилизационный резерв по обязательному страхованию гражданской ответственности перевозчика (СР ОСГОП)</t>
  </si>
  <si>
    <t>Резерв премий (итого)</t>
  </si>
  <si>
    <t>в том числе, резерв по накопительным видам страхования жизни</t>
  </si>
  <si>
    <t>Доля перестраховщиков в РНЖ</t>
  </si>
  <si>
    <t>Резерв по другим видам (кроме накопительных видов) страхования жизни</t>
  </si>
  <si>
    <t>Доля перестраховщиков в РЖ</t>
  </si>
  <si>
    <t>Доля перестраховщиков в резерве премий</t>
  </si>
  <si>
    <t>Общая величина технических резервов</t>
  </si>
  <si>
    <t>Общая доля перестраховщиков в технических резервах</t>
  </si>
  <si>
    <t>Резерв предупредительных мероприятий (итого), в том числе:</t>
  </si>
  <si>
    <t>РПМ ОСГО</t>
  </si>
  <si>
    <t>РПМ ОСГОР</t>
  </si>
  <si>
    <t>РПМ ОСГОП</t>
  </si>
  <si>
    <t>РПМ по другим видам страхования</t>
  </si>
  <si>
    <t>Прочие страховые резервы</t>
  </si>
  <si>
    <t>…</t>
  </si>
  <si>
    <t>Общая величина страховых резервов</t>
  </si>
  <si>
    <t>Общая доля перестраховщиков в страховых резервах</t>
  </si>
  <si>
    <t>Активы</t>
  </si>
  <si>
    <t>Всего активов</t>
  </si>
  <si>
    <t>Из них выделенные активы</t>
  </si>
  <si>
    <t>в пределах Республики Узбекистан</t>
  </si>
  <si>
    <t>за пределами Республики Узбекистан</t>
  </si>
  <si>
    <t>Всего (тыс. сум. экв.)</t>
  </si>
  <si>
    <t xml:space="preserve">Основные средства </t>
  </si>
  <si>
    <t>Из них, недвижимость</t>
  </si>
  <si>
    <t xml:space="preserve">Нематериальные активы </t>
  </si>
  <si>
    <t xml:space="preserve">Инвестиции, всего </t>
  </si>
  <si>
    <t xml:space="preserve">Депозиты в коммерческих банках (банковские вклады) </t>
  </si>
  <si>
    <t>Депозиты в кредитных организациях (кроме коммерческих банков)</t>
  </si>
  <si>
    <t xml:space="preserve">Займы работникам (кроме работников, которые являются связанными лицами) </t>
  </si>
  <si>
    <t>Займы учредителям и акционерам страховщика, которые не являются связанными лицами</t>
  </si>
  <si>
    <t xml:space="preserve">Займы связанным лицам </t>
  </si>
  <si>
    <t xml:space="preserve">Прочие займы </t>
  </si>
  <si>
    <t xml:space="preserve">Вклады в дочерние предприятия </t>
  </si>
  <si>
    <t xml:space="preserve">Вклады в связанные лица </t>
  </si>
  <si>
    <t xml:space="preserve">Государственные ценные бумаги </t>
  </si>
  <si>
    <t xml:space="preserve">Акции </t>
  </si>
  <si>
    <t xml:space="preserve">Облигации </t>
  </si>
  <si>
    <t xml:space="preserve">Прочие ценные бумаги </t>
  </si>
  <si>
    <t xml:space="preserve">Прочие инвестиции </t>
  </si>
  <si>
    <t xml:space="preserve">Денежные средства, всего </t>
  </si>
  <si>
    <t xml:space="preserve">Денежные средства на расчетном счете </t>
  </si>
  <si>
    <t xml:space="preserve">Денежные средства в кассе </t>
  </si>
  <si>
    <t xml:space="preserve">Денежные средства в иностранной валюте </t>
  </si>
  <si>
    <t>Прочие денежные средства и эквиваленты</t>
  </si>
  <si>
    <t xml:space="preserve">Прочие оборотные активы, всего </t>
  </si>
  <si>
    <t>Производственные запасы (материалы)</t>
  </si>
  <si>
    <t>Незавершенное производство (услуги)</t>
  </si>
  <si>
    <t xml:space="preserve">Выкупленные собственные акции </t>
  </si>
  <si>
    <t xml:space="preserve">Дебиторская задолженность, всего </t>
  </si>
  <si>
    <t xml:space="preserve">Расчеты со страхователями </t>
  </si>
  <si>
    <t xml:space="preserve">Расчеты с перестраховщиками </t>
  </si>
  <si>
    <t xml:space="preserve">Авансовые платежи </t>
  </si>
  <si>
    <t xml:space="preserve">Расчеты с учредителями </t>
  </si>
  <si>
    <t xml:space="preserve">Расчеты с бюджетом </t>
  </si>
  <si>
    <t xml:space="preserve">Прочие </t>
  </si>
  <si>
    <t xml:space="preserve">Прочие активы, всего </t>
  </si>
  <si>
    <t xml:space="preserve">Прочие активы (укажите) </t>
  </si>
  <si>
    <t>Наименование показателей</t>
  </si>
  <si>
    <t>Код стр.</t>
  </si>
  <si>
    <t>На начало отчетного периода</t>
  </si>
  <si>
    <t>На конец отчетного периода</t>
  </si>
  <si>
    <t>I. Долгосрочные активы</t>
  </si>
  <si>
    <t>Основные средства:</t>
  </si>
  <si>
    <t>Первоначальная (восстановительная) стоимость (0100, 0300)</t>
  </si>
  <si>
    <t>Сумма износа (0200)</t>
  </si>
  <si>
    <t>Остаточная (балансовая) стоимость (стр. 010 – 011)</t>
  </si>
  <si>
    <t>Нематериальные активы:</t>
  </si>
  <si>
    <t>Первоначальная стоимость (0400)</t>
  </si>
  <si>
    <t>Сумма амортизации (0500)</t>
  </si>
  <si>
    <t>Остаточная (балансовая) стоимость (стр. 020 – 021)</t>
  </si>
  <si>
    <r>
      <t>Долгосрочные инвестиции,</t>
    </r>
    <r>
      <rPr>
        <sz val="12"/>
        <color rgb="FF000000"/>
        <rFont val="Times New Roman"/>
        <family val="1"/>
        <charset val="204"/>
      </rPr>
      <t xml:space="preserve"> всего (стр.040+050+060+070+080), в том числе:</t>
    </r>
  </si>
  <si>
    <t>Ценные бумаги (0610)</t>
  </si>
  <si>
    <t>Инвестиции в дочерние хозяйственные общества (0620)</t>
  </si>
  <si>
    <t>Инвестиции в зависимые хозяйственные общества (0630)</t>
  </si>
  <si>
    <t>Инвестиции в предприятия с иностранным капиталом (0640)</t>
  </si>
  <si>
    <t>Прочие долгосрочные инвестиции (0690)</t>
  </si>
  <si>
    <t>Оборудование к установке (0700)</t>
  </si>
  <si>
    <t>Капитальные вложения (0800)</t>
  </si>
  <si>
    <t>Долгосрочная дебиторская задолженность (0910, 0920, 0930, 0940)</t>
  </si>
  <si>
    <t>Долгосрочные отсроченные расходы (0950, 0960, 0990)</t>
  </si>
  <si>
    <r>
      <t xml:space="preserve">Итого по разделу I </t>
    </r>
    <r>
      <rPr>
        <sz val="12"/>
        <color rgb="FF000000"/>
        <rFont val="Times New Roman"/>
        <family val="1"/>
        <charset val="204"/>
      </rPr>
      <t>(стр. 012+022+030+090+100+110+120)</t>
    </r>
  </si>
  <si>
    <t>II. Текущие активы</t>
  </si>
  <si>
    <r>
      <t>Товарно - материальные запасы,</t>
    </r>
    <r>
      <rPr>
        <sz val="12"/>
        <color rgb="FF000000"/>
        <rFont val="Times New Roman"/>
        <family val="1"/>
        <charset val="204"/>
      </rPr>
      <t xml:space="preserve"> всего (стр.150+160), в том числе:</t>
    </r>
  </si>
  <si>
    <t>Материалы (1000, 1500, 1600)</t>
  </si>
  <si>
    <t>Незавершенные услуги (2000, 2300, 2700)</t>
  </si>
  <si>
    <t>Расходы будущих периодов (3100)</t>
  </si>
  <si>
    <t>Отсроченные расходы (3200)</t>
  </si>
  <si>
    <r>
      <t>Дебиторы,</t>
    </r>
    <r>
      <rPr>
        <sz val="12"/>
        <color rgb="FF000000"/>
        <rFont val="Times New Roman"/>
        <family val="1"/>
        <charset val="204"/>
      </rPr>
      <t xml:space="preserve"> всего (стр. 200 + 310 + 320 + 330 + 340 + 350 + 360 + 370 + 380 + 390)</t>
    </r>
  </si>
  <si>
    <t>из нее: просроченная*</t>
  </si>
  <si>
    <r>
      <t>Счета к оплате,</t>
    </r>
    <r>
      <rPr>
        <sz val="12"/>
        <color rgb="FF000000"/>
        <rFont val="Times New Roman"/>
        <family val="1"/>
        <charset val="204"/>
      </rPr>
      <t xml:space="preserve"> всего (стр. 210 + 220 – 400)</t>
    </r>
  </si>
  <si>
    <t>Задолженность покупателей и заказчиков (4010, 4020)</t>
  </si>
  <si>
    <r>
      <t>Дебиторы по страховым операциям,</t>
    </r>
    <r>
      <rPr>
        <sz val="12"/>
        <color rgb="FF000000"/>
        <rFont val="Times New Roman"/>
        <family val="1"/>
        <charset val="204"/>
      </rPr>
      <t xml:space="preserve"> всего (стр. 230 + 240 + 250 + 260 + 270 + 280 + 290 + 300)</t>
    </r>
  </si>
  <si>
    <t>Задолженность страхователей (4030)</t>
  </si>
  <si>
    <t>Задолженность страховых агентов и брокеров (4040)</t>
  </si>
  <si>
    <t>Задолженность перестрахователей (4050)</t>
  </si>
  <si>
    <t>Задолженность перестраховщиков по комиссионным вознаграждениям, тантьемам и другим вознаграждениям (4051)</t>
  </si>
  <si>
    <t>Задолженность перестраховщиков (4060)</t>
  </si>
  <si>
    <t>Ссуды по страхованию жизни (4070)</t>
  </si>
  <si>
    <t>Депо убытков страховщика у других страховщиков (4080)</t>
  </si>
  <si>
    <t>Депо премий страховщика у других страховщиков (4090)</t>
  </si>
  <si>
    <t>Задолженность обособленных подразделений (4110)</t>
  </si>
  <si>
    <t>Задолженность дочерних и зависимых хозяйственных обществ (4120)</t>
  </si>
  <si>
    <t>Авансы, выданные персоналу (4200)</t>
  </si>
  <si>
    <t>Авансы, выданные поставщикам и подрядчикам (4300)</t>
  </si>
  <si>
    <t>Авансовые платежи в бюджет (4400)</t>
  </si>
  <si>
    <t>Авансовые платежи в государственные целевые фонды и по страхованию (4500)</t>
  </si>
  <si>
    <t>Задолженность учредителей по вкладам в уставный капитал (4600)</t>
  </si>
  <si>
    <t>Задолженность персонала по прочим операциям (4700)</t>
  </si>
  <si>
    <t>Прочие дебиторские задолженности (4800)</t>
  </si>
  <si>
    <t>Резервы по сомнительным долгам (4900)</t>
  </si>
  <si>
    <r>
      <t>Денежные средства,</t>
    </r>
    <r>
      <rPr>
        <sz val="12"/>
        <color rgb="FF000000"/>
        <rFont val="Times New Roman"/>
        <family val="1"/>
        <charset val="204"/>
      </rPr>
      <t xml:space="preserve"> всего (стр. 420 + 430 + 440 + 450), в том числе:</t>
    </r>
  </si>
  <si>
    <t>Денежные средства в кассе (5000)</t>
  </si>
  <si>
    <t>Денежные средства на расчетном счете (5100)</t>
  </si>
  <si>
    <t>Денежные средства в иностранной валюте (5200)</t>
  </si>
  <si>
    <t>Прочие денежные средства и эквиваленты (5500, 5600, 5700)</t>
  </si>
  <si>
    <t>Краткосрочные инвестиции (5800)</t>
  </si>
  <si>
    <t>Прочие текущие активы (5900)</t>
  </si>
  <si>
    <r>
      <t>Итого по разделу II</t>
    </r>
    <r>
      <rPr>
        <sz val="12"/>
        <color rgb="FF000000"/>
        <rFont val="Times New Roman"/>
        <family val="1"/>
        <charset val="204"/>
      </rPr>
      <t xml:space="preserve"> (стр. 140 + 170 + 180 + 190 + 410 + 460 + 470)</t>
    </r>
  </si>
  <si>
    <r>
      <t>Всего по активу баланса</t>
    </r>
    <r>
      <rPr>
        <sz val="12"/>
        <color rgb="FF000000"/>
        <rFont val="Times New Roman"/>
        <family val="1"/>
        <charset val="204"/>
      </rPr>
      <t xml:space="preserve"> (стр.130 + 480)</t>
    </r>
  </si>
  <si>
    <t xml:space="preserve">I. Источники собственных средств </t>
  </si>
  <si>
    <t xml:space="preserve">Уставный капитал (8300) </t>
  </si>
  <si>
    <t xml:space="preserve">Добавленный капитал (8400) </t>
  </si>
  <si>
    <t xml:space="preserve">Резервный капитал (8500) </t>
  </si>
  <si>
    <t xml:space="preserve">Выкупленные собственные акции (8600) </t>
  </si>
  <si>
    <t xml:space="preserve">Нераспределенная прибыль (непокрытый убыток) (8700) </t>
  </si>
  <si>
    <t xml:space="preserve">Целевые поступления (8800) </t>
  </si>
  <si>
    <t xml:space="preserve">Резервы предстоящих расходов и платежей (8900) </t>
  </si>
  <si>
    <r>
      <t>Итого по разделу I</t>
    </r>
    <r>
      <rPr>
        <sz val="12"/>
        <color rgb="FF000000"/>
        <rFont val="Times New Roman"/>
        <family val="1"/>
        <charset val="204"/>
      </rPr>
      <t xml:space="preserve"> (стр. 500 + 510 + 520 – 530 + 540 + 550 + 560) </t>
    </r>
  </si>
  <si>
    <t xml:space="preserve">II. Страховые резервы </t>
  </si>
  <si>
    <r>
      <t>Страховые резервы,</t>
    </r>
    <r>
      <rPr>
        <sz val="12"/>
        <color rgb="FF000000"/>
        <rFont val="Times New Roman"/>
        <family val="1"/>
        <charset val="204"/>
      </rPr>
      <t xml:space="preserve"> всего (стр. 590 + 600 + 610 + 620 + 630 + 640 + 650 + 660) </t>
    </r>
  </si>
  <si>
    <t xml:space="preserve">Резерв незаработанной премии (8010) </t>
  </si>
  <si>
    <t xml:space="preserve">Резерв произошедших, но не заявленных убытков (8020) </t>
  </si>
  <si>
    <t xml:space="preserve">Резерв заявленных, но неурегулированных убытков (8030) </t>
  </si>
  <si>
    <t xml:space="preserve">Резерв предупредительных мероприятий (8040) </t>
  </si>
  <si>
    <t xml:space="preserve">Резерв несоответствия активов (8050) </t>
  </si>
  <si>
    <t xml:space="preserve">Резерв катастроф (8060) </t>
  </si>
  <si>
    <t xml:space="preserve">Резерв колебания убыточности (8070) </t>
  </si>
  <si>
    <t xml:space="preserve">Резервы по страхованию жизни (8090) </t>
  </si>
  <si>
    <r>
      <t>Доля перестраховщиков в страховых резервах,</t>
    </r>
    <r>
      <rPr>
        <sz val="12"/>
        <color rgb="FF000000"/>
        <rFont val="Times New Roman"/>
        <family val="1"/>
        <charset val="204"/>
      </rPr>
      <t xml:space="preserve"> всего (стр. 680 + 690 + 700 + 710) </t>
    </r>
  </si>
  <si>
    <t xml:space="preserve">Доля перестраховщиков в резерве незаработанной премии (8110) </t>
  </si>
  <si>
    <t xml:space="preserve">Доля перестраховщиков в резерве заявленных, но неурегулированных убытков (8120) </t>
  </si>
  <si>
    <t xml:space="preserve">Доля перестраховщиков в резерве произошедших, но не заявленных убытков (8130) </t>
  </si>
  <si>
    <t xml:space="preserve">Доля перестраховщиков в резервах по страхованию жизни (8140) </t>
  </si>
  <si>
    <r>
      <t>Итого по разделу II</t>
    </r>
    <r>
      <rPr>
        <sz val="12"/>
        <color rgb="FF000000"/>
        <rFont val="Times New Roman"/>
        <family val="1"/>
        <charset val="204"/>
      </rPr>
      <t xml:space="preserve"> (стр.580 – 670) </t>
    </r>
  </si>
  <si>
    <t>III. Обязательства</t>
  </si>
  <si>
    <r>
      <t>Долгосрочные обязательства,</t>
    </r>
    <r>
      <rPr>
        <sz val="12"/>
        <color rgb="FF000000"/>
        <rFont val="Times New Roman"/>
        <family val="1"/>
        <charset val="204"/>
      </rPr>
      <t xml:space="preserve"> всего (стр. 740 + 750 + 850 + 860 + 870 + 880 + 890 + 900 + 910 + 920) </t>
    </r>
  </si>
  <si>
    <t xml:space="preserve">в том числе: долгосрочная кредиторская задолженность (стр. 740 + 760 + 770 + 780 + 790 + 800 + 820 + 830 + 850 + 870 + 890 + 920) </t>
  </si>
  <si>
    <t xml:space="preserve">Долгосрочная задолженость поставщикам и подрядчикам (7010, 7020) </t>
  </si>
  <si>
    <r>
      <t xml:space="preserve">Долгосрочные обязательства по страховым операциям, </t>
    </r>
    <r>
      <rPr>
        <sz val="12"/>
        <color rgb="FF000000"/>
        <rFont val="Times New Roman"/>
        <family val="1"/>
        <charset val="204"/>
      </rPr>
      <t xml:space="preserve">всего (стр. 760 + 770 + 780 + 790 + 800 + 810 + 820 + 830) </t>
    </r>
  </si>
  <si>
    <t xml:space="preserve">Долгосрочная задолженность подрядчикам, осуществляющим предупредительные мероприятия (7011) </t>
  </si>
  <si>
    <t xml:space="preserve">Долгосрочная задолженность страхователям (7030) </t>
  </si>
  <si>
    <t xml:space="preserve">Долгосрочная задолженность страховым агентам и брокерам (7040) </t>
  </si>
  <si>
    <t xml:space="preserve">Долгосрочная задолженность перестрахователям (7050) </t>
  </si>
  <si>
    <t xml:space="preserve">Долгосрочная задолженность перестраховщикам (7060) </t>
  </si>
  <si>
    <t xml:space="preserve">Депо премии перестраховщиков (7070) </t>
  </si>
  <si>
    <t xml:space="preserve">Долгосрочная задолженность перестрахователям по комиссионным вознаграждениям, тантьемам и другим вознаграждениям (7080) </t>
  </si>
  <si>
    <t xml:space="preserve">Долгосрочная задолженность актуариям, аджастерам, сюрвейерам и ассистансам (7090) </t>
  </si>
  <si>
    <t xml:space="preserve">Долгосрочная задолженность обособленным подразделениям (7110) </t>
  </si>
  <si>
    <t xml:space="preserve">Долгосрочная задолженность дочерним и зависимым хозяйственным обществам (7120) </t>
  </si>
  <si>
    <t xml:space="preserve">Долгосрочные отсроченные доходы (7210, 7220, 7230) </t>
  </si>
  <si>
    <t xml:space="preserve">Долгосрочные отсроченные обязательства по налогам и другим обязательным платежам (7240) </t>
  </si>
  <si>
    <t xml:space="preserve">Прочие долгосрочные отсроченные обязательства (7250, 7290) </t>
  </si>
  <si>
    <t xml:space="preserve">Авансы, полученные от покупателей и заказчиков (7300) </t>
  </si>
  <si>
    <t xml:space="preserve">Долгосрочные банковские кредиты (7810) </t>
  </si>
  <si>
    <t xml:space="preserve">Долгосрочные займы (7820, 7830, 7840) </t>
  </si>
  <si>
    <t xml:space="preserve">Прочие долгосрочные кредиторские задолженности (7900) </t>
  </si>
  <si>
    <r>
      <t>Текущие обязательства,</t>
    </r>
    <r>
      <rPr>
        <sz val="12"/>
        <color rgb="FF000000"/>
        <rFont val="Times New Roman"/>
        <family val="1"/>
        <charset val="204"/>
      </rPr>
      <t xml:space="preserve"> всего (стр. 940 + 950 + 1050 + 1060 + 1070 + 1080 + 1090 + 1100 + 1110 + 1120 + + 1130 + 1140 + 1150 + 1160 + 1170 + 1180) </t>
    </r>
  </si>
  <si>
    <t xml:space="preserve">в том числе: текущая кредиторская задолженность (стр. 940 + 960 + 970 + 980 + 990 + 1000 + 1020 + 1030 + 1050 + 1070 + 1090 + 1100 + 1110 + 1120 + 1130 + 1140 + 1180) </t>
  </si>
  <si>
    <t>из нее: просроченная текущая кредиторская задолженность*</t>
  </si>
  <si>
    <t xml:space="preserve">Задолженность поставщикам и подрядчикам (6010, 6020) </t>
  </si>
  <si>
    <r>
      <t>Обязательства по страховым операциям,</t>
    </r>
    <r>
      <rPr>
        <sz val="12"/>
        <color rgb="FF000000"/>
        <rFont val="Times New Roman"/>
        <family val="1"/>
        <charset val="204"/>
      </rPr>
      <t xml:space="preserve"> всего (стр. 960 + 970 + 980 + 990 + 1000 + 1010 + 1020 + 1030) </t>
    </r>
  </si>
  <si>
    <t xml:space="preserve">Задолженность подрядчикам, осуществляющим предупредительные мероприятия (6011) </t>
  </si>
  <si>
    <t xml:space="preserve">Задолженность страхователям (6030) </t>
  </si>
  <si>
    <t xml:space="preserve">Задолженность страховым агентам и брокерам (6040) </t>
  </si>
  <si>
    <t xml:space="preserve">Задолженность перестрахователям (6050) </t>
  </si>
  <si>
    <t xml:space="preserve">Задолженность перестраховщикам (6060) </t>
  </si>
  <si>
    <t xml:space="preserve">Депо премии перестраховщиков (6070) </t>
  </si>
  <si>
    <t xml:space="preserve">Задолженность перестрахователям по комиссионным вознаграждениям, тантьемам и другим вознаграждениям (6080) </t>
  </si>
  <si>
    <t xml:space="preserve">Задолженность актуариям, аджастерам, сюрвейерам и ассистансам (6090) </t>
  </si>
  <si>
    <t xml:space="preserve">Задолженность обособленным подразделениям (6110) </t>
  </si>
  <si>
    <t xml:space="preserve">Задолженность дочерним и зависимым хозяйственным обществам (6120) </t>
  </si>
  <si>
    <t xml:space="preserve">Отсроченные доходы (6210, 6220, 6230) </t>
  </si>
  <si>
    <t xml:space="preserve">Отсроченные обязательства по налогам и другим обязательным платежам (6240) </t>
  </si>
  <si>
    <t xml:space="preserve">Прочие отсроченные обязательства (6250, 6290) </t>
  </si>
  <si>
    <t xml:space="preserve">Полученные авансы (6300) </t>
  </si>
  <si>
    <t xml:space="preserve">Задолженность по платежам в бюджет (6400) </t>
  </si>
  <si>
    <t xml:space="preserve">Задолженность по страхованию (6510) </t>
  </si>
  <si>
    <t xml:space="preserve">Задолженность по платежам в государственные целевые фонды (6520) </t>
  </si>
  <si>
    <t xml:space="preserve">Задолженность учредителям (6600) </t>
  </si>
  <si>
    <t xml:space="preserve">Задолженность по оплате труда (6700) </t>
  </si>
  <si>
    <t xml:space="preserve">Краткосрочные банковские кредиты (6810) </t>
  </si>
  <si>
    <t xml:space="preserve">Краткосрочные займы (6820, 6830, 6840) </t>
  </si>
  <si>
    <t xml:space="preserve">Текущая часть долгосрочных обязательств (6950) </t>
  </si>
  <si>
    <t xml:space="preserve">Прочие кредиторские задолженности (6900 кроме 6950) </t>
  </si>
  <si>
    <r>
      <t>Итого по разделу III</t>
    </r>
    <r>
      <rPr>
        <sz val="12"/>
        <color rgb="FF000000"/>
        <rFont val="Times New Roman"/>
        <family val="1"/>
        <charset val="204"/>
      </rPr>
      <t xml:space="preserve"> (стр.730 + 930) </t>
    </r>
  </si>
  <si>
    <r>
      <t>Всего по пассиву баланса</t>
    </r>
    <r>
      <rPr>
        <sz val="12"/>
        <color rgb="FF000000"/>
        <rFont val="Times New Roman"/>
        <family val="1"/>
        <charset val="204"/>
      </rPr>
      <t xml:space="preserve"> (стр. 570 + 720 + 1190) </t>
    </r>
  </si>
  <si>
    <t>* При наличии просроченной дебиторской и кредиторской задолженности их расшифровка приводится согласно приложению к Бухгалтерскому балансу — форма № 1 — страхование.</t>
  </si>
  <si>
    <t xml:space="preserve">Наименование показателей </t>
  </si>
  <si>
    <t xml:space="preserve">На начало отчетного периода </t>
  </si>
  <si>
    <t xml:space="preserve">Основные средства, полученные по краткосрочной аренде (001) </t>
  </si>
  <si>
    <t xml:space="preserve">Товарно-материальные ценности, принятые на ответственное хранение (002) </t>
  </si>
  <si>
    <t xml:space="preserve">Материалы, принятые в переработку (003) </t>
  </si>
  <si>
    <t xml:space="preserve">Товары, принятые на комиссию (004) </t>
  </si>
  <si>
    <t xml:space="preserve">Оборудование, принятое для монтажа (005) </t>
  </si>
  <si>
    <t xml:space="preserve">Бланки строгой отчетности (006) </t>
  </si>
  <si>
    <t xml:space="preserve">Списанная в убыток задолженность неплатежеспособных дебиторов (007) </t>
  </si>
  <si>
    <t xml:space="preserve">Обеспечение обязательств и платежей — полученные (008) </t>
  </si>
  <si>
    <t xml:space="preserve">Обеспечение обязательств и платежей — выданные (009) </t>
  </si>
  <si>
    <t xml:space="preserve">Основные средства, сданные по договору долгосрочной аренды (010) </t>
  </si>
  <si>
    <t xml:space="preserve">Имущество, полученное по договору ссуды (011) </t>
  </si>
  <si>
    <t xml:space="preserve">Расходы, исключаемые из налогооблагаемой базы следующих периодов (012) </t>
  </si>
  <si>
    <t xml:space="preserve">Временные налоговые льготы (по видам) (013) </t>
  </si>
  <si>
    <t xml:space="preserve">Инвентарь и хозяйственные принадлежности в эксплуатации (014) </t>
  </si>
  <si>
    <t>Код строки</t>
  </si>
  <si>
    <t>За соответствующий период прошлого года</t>
  </si>
  <si>
    <t>За отчетный период</t>
  </si>
  <si>
    <t xml:space="preserve">Доходы (прибыль) </t>
  </si>
  <si>
    <t xml:space="preserve">Расходы (убытки) </t>
  </si>
  <si>
    <t>Доходы от оказания страховых услуг, (стр. 011 – 012 + 013 + / – 014 + / – 015 + / – 016 + / – 017 + / – 018 + 019), в том числе:</t>
  </si>
  <si>
    <t xml:space="preserve">Страховые премии по прямому страхованию и сострахованию (в части доли страховщика, установленной в договоре сострахования) </t>
  </si>
  <si>
    <t xml:space="preserve">Страховые премии по договорам, переданным в перестрахование </t>
  </si>
  <si>
    <t xml:space="preserve">Страховые премии по договорам, принятым в перестрахование </t>
  </si>
  <si>
    <t xml:space="preserve">Результат изменения резерва незаработанной премии, скорректированный на долю перестраховщиков в резерве незаработанной премии </t>
  </si>
  <si>
    <t xml:space="preserve">Результат изменения резерва заявленных, но не урегулированных убытков, скорректированный на долю перестраховщиков в резерве заявленных, но не урегулированных убытков </t>
  </si>
  <si>
    <t xml:space="preserve">Результат изменения резерва произошедших, но не заявленных убытков, скорректированный на долю перестраховщиков в резерве произошедших, но не заявленных убытков </t>
  </si>
  <si>
    <t xml:space="preserve">Результат изменения резервов по страхованию жизни, скорректированный на долю перестраховщиков в резервах по страхованию жизни </t>
  </si>
  <si>
    <t xml:space="preserve">Результат изменения других технических резервов, скорректированный на долю перестраховщиков в соответствующих резервах </t>
  </si>
  <si>
    <t xml:space="preserve">Другие доходы от оказания страховых услуг </t>
  </si>
  <si>
    <t xml:space="preserve">Доходы от оказания услуг посредника </t>
  </si>
  <si>
    <t xml:space="preserve">Доходы по возмещениям доли убытков по перестрахованию </t>
  </si>
  <si>
    <t xml:space="preserve">Доходы по комиссионным вознаграждениям, тантьемам и сборам по перестрахованию </t>
  </si>
  <si>
    <t xml:space="preserve">Доходы от оказания услуг сюрвейера и аджастера </t>
  </si>
  <si>
    <t xml:space="preserve">Чистая выручка от оказания страховых услуг (стр. 010 + 020 + 030 + 040 + 050) </t>
  </si>
  <si>
    <t xml:space="preserve">Себестоимость оказанных страховых услуг </t>
  </si>
  <si>
    <t xml:space="preserve">Валовая прибыль (убыток) от оказания страховых услуг (стр.060 – 070) </t>
  </si>
  <si>
    <t xml:space="preserve">Расходы периода, всего (стр.100 + 110 + 120 + 130), в том числе: </t>
  </si>
  <si>
    <t xml:space="preserve">Расходы по реализации </t>
  </si>
  <si>
    <t xml:space="preserve">Административные расходы </t>
  </si>
  <si>
    <t xml:space="preserve">Прочие операционные расходы </t>
  </si>
  <si>
    <t xml:space="preserve">Расходы отчетного периода, исключаемые из налогооблагаемой базы в будущем </t>
  </si>
  <si>
    <t xml:space="preserve">Прочие доходы от основной деятельности </t>
  </si>
  <si>
    <t xml:space="preserve">Прибыль (убыток) от основной деятельности (стр. 080 – 090 + 140) </t>
  </si>
  <si>
    <t xml:space="preserve">Доходы от финансовой деятельности, всего (стр.170 + 180 + 190 + 200 + 210), в том числе: </t>
  </si>
  <si>
    <t xml:space="preserve">Доходы в виде дивидендов </t>
  </si>
  <si>
    <t xml:space="preserve">Доходы в виде процентов </t>
  </si>
  <si>
    <t xml:space="preserve">Доходы от долгосрочной аренды (лизинга) </t>
  </si>
  <si>
    <t xml:space="preserve">Доходы от валютных курсовых разниц </t>
  </si>
  <si>
    <t xml:space="preserve">Прочие доходы от финансовой деятельности </t>
  </si>
  <si>
    <t xml:space="preserve">Расходы по финансовой деятельности, всего (стр.230 + 240 + 250 + 260), в том числе: </t>
  </si>
  <si>
    <t xml:space="preserve">Расходы в виде процентов </t>
  </si>
  <si>
    <t xml:space="preserve">Расходы в виде процентов по долгосрочной аренде (лизингу) </t>
  </si>
  <si>
    <t xml:space="preserve">Убытки от валютных курсовых разниц </t>
  </si>
  <si>
    <t xml:space="preserve">Прочие расходы по финансовой деятельности </t>
  </si>
  <si>
    <t xml:space="preserve">Прибыль (убыток) от общехозяйственной деятельности (стр. 150 + 160 – 220) </t>
  </si>
  <si>
    <t xml:space="preserve">Чрезвычайные прибыли и убытки </t>
  </si>
  <si>
    <t xml:space="preserve">Прибыль (убыток) до уплаты налога на прибыль (стр.270 + / – 280) </t>
  </si>
  <si>
    <t xml:space="preserve">Налог на прибыль </t>
  </si>
  <si>
    <t xml:space="preserve">Прочие налоги и другие обязательные платежи от прибыли </t>
  </si>
  <si>
    <t xml:space="preserve">Чистая прибыль (убыток) отчетного периода (стр.290 – 300 – 310) </t>
  </si>
  <si>
    <t xml:space="preserve">Код строки </t>
  </si>
  <si>
    <t xml:space="preserve">Причитается по расчёту за отчетный период </t>
  </si>
  <si>
    <t xml:space="preserve">Фактически внесено из причитающихся по расчёту за отчетный период </t>
  </si>
  <si>
    <t xml:space="preserve">Налог на прибыль юридических лиц </t>
  </si>
  <si>
    <t xml:space="preserve">Налог на доходы физических лиц </t>
  </si>
  <si>
    <t xml:space="preserve">в том числе: отчисления на индивидуальные накопительные пенсионные счета граждан </t>
  </si>
  <si>
    <t xml:space="preserve">Налог на добавленную стоимость </t>
  </si>
  <si>
    <t xml:space="preserve">Акцизный налог </t>
  </si>
  <si>
    <t xml:space="preserve">Налог за пользование недрами </t>
  </si>
  <si>
    <t xml:space="preserve">Налог за пользование водными ресурсами </t>
  </si>
  <si>
    <t xml:space="preserve">Налог на имущество юридических лиц </t>
  </si>
  <si>
    <t xml:space="preserve">Земельный налог с юридических лиц </t>
  </si>
  <si>
    <t xml:space="preserve">Единый налоговый платеж </t>
  </si>
  <si>
    <t xml:space="preserve">Единый земельный налог </t>
  </si>
  <si>
    <t xml:space="preserve">Фиксированный налог </t>
  </si>
  <si>
    <t xml:space="preserve">Прочие налоги </t>
  </si>
  <si>
    <t xml:space="preserve">Обязательные отчисления в государственные целевые фонды </t>
  </si>
  <si>
    <t xml:space="preserve">Единый социальный платеж </t>
  </si>
  <si>
    <t xml:space="preserve">Импортные таможенные пошлины </t>
  </si>
  <si>
    <t xml:space="preserve">Местные обязательные платежы </t>
  </si>
  <si>
    <t xml:space="preserve">Финансовые санкции за просроченные платежи в бюджет </t>
  </si>
  <si>
    <t>Всего сумма платежей в бюджет (стр. с 330 по 520 кроме стр. 341)</t>
  </si>
  <si>
    <t xml:space="preserve">Код стр. </t>
  </si>
  <si>
    <t xml:space="preserve">Приход </t>
  </si>
  <si>
    <t xml:space="preserve">Расход </t>
  </si>
  <si>
    <t>Операционная деятельность</t>
  </si>
  <si>
    <t xml:space="preserve">Денежные поступления по страховым операциям, всего (стр. 020 + 030 + 040 + 050 + 060), в том числе: </t>
  </si>
  <si>
    <t>Денежные поступления в виде страховых премий по договорам страхования и сострахования</t>
  </si>
  <si>
    <t>Денежные поступления в виде страховых премий по договорам перестрахования</t>
  </si>
  <si>
    <t>Денежные поступления от оказания услуг страхового посредника, аджастера, сюрвейера</t>
  </si>
  <si>
    <t>Денежные поступления в виде комиссионных вознаграждений, тантъем и сборов по перестрахованию</t>
  </si>
  <si>
    <t>Денежные поступления по возмещениям долей убытков по рискам, переданным в перестрахование и ретроцессию</t>
  </si>
  <si>
    <t>Денежные выплаты по страховым операциям, всего (стр. 080 + 090 + 100 + 110 + 120 + 130), в том числе:</t>
  </si>
  <si>
    <t>Денежные средства, выплаченные в виде страховых премий по договорам перестрахования и ретроцесии</t>
  </si>
  <si>
    <t xml:space="preserve">Денежные средства, выплаченные в виде страховых возмещений по договорам страхования и сострахования </t>
  </si>
  <si>
    <t>Денежные средства, выплаченные в виде возмещений доли убытков по рискам, полученным по перестрахованию и ретроцессии</t>
  </si>
  <si>
    <t xml:space="preserve">Денежные средства, выплаченные страховым посредникам в виде вознаграждений за заключение договоров страхования, сострахования и перестрахования </t>
  </si>
  <si>
    <t xml:space="preserve">Денежные средства, выплаченные за услуги, оказанные актуариями, аджастерами, сюрвейерами, ассистансами </t>
  </si>
  <si>
    <t xml:space="preserve">Денежные средства, выплаченные на финансирование предупредительных мероприятий </t>
  </si>
  <si>
    <t xml:space="preserve">Денежные средства, выплаченные работникам и от их имени </t>
  </si>
  <si>
    <t>Другие денежные поступления и выплаты от операционной деятельности</t>
  </si>
  <si>
    <t xml:space="preserve">Итого: чистый денежный приток/ отток от операционной деятельности (стр. 010-070-140 + /-150) </t>
  </si>
  <si>
    <t>Инвестиционная деятельность</t>
  </si>
  <si>
    <t>Приобретение и продажа основных средств</t>
  </si>
  <si>
    <t>Приобретение и продажа нематериальных активов</t>
  </si>
  <si>
    <t xml:space="preserve">Приобретение и продажа долгосрочных и краткосрочных инвестиций </t>
  </si>
  <si>
    <t xml:space="preserve">Другие денежные поступления и выплаты от инвестиционной деятельности </t>
  </si>
  <si>
    <t>Итого: чистый денежный приток/отток от инвестиционной деятельности (стр. 170 + /-180 + /-190 + /-200)</t>
  </si>
  <si>
    <t>Финансовая деятельность</t>
  </si>
  <si>
    <t xml:space="preserve">Полученные и выплаченные проценты </t>
  </si>
  <si>
    <t xml:space="preserve">Полученные и выплаченные дивиденды </t>
  </si>
  <si>
    <t xml:space="preserve">Денежные поступления от выпуска акций или других инструментов, связанных с собственным капиталом </t>
  </si>
  <si>
    <t xml:space="preserve">Денежные выплаты и поступления при выкупе и реализации собственных акций </t>
  </si>
  <si>
    <t>Денежные поступления и выплаты по долгосрочным и краткосрочным кредитам и займам</t>
  </si>
  <si>
    <t>Денежные поступления и выплаты по долгосрочной аренде (лизингу)</t>
  </si>
  <si>
    <t>Другие денежные поступления и выплаты от финансовой деятельности</t>
  </si>
  <si>
    <t xml:space="preserve">Итого: Чистый денежный приток/отток от финансовой деятельности (стр. 220 + / – 230 + 240 + / – 250 + / – 260 + / – 270 + / – 280) </t>
  </si>
  <si>
    <t>Налогообложение</t>
  </si>
  <si>
    <t xml:space="preserve">Уплаченный налог на прибыль </t>
  </si>
  <si>
    <t xml:space="preserve">Уплаченные прочие налоги </t>
  </si>
  <si>
    <t xml:space="preserve">Итого: уплаченные налоги (стр. 300 + 310) </t>
  </si>
  <si>
    <t xml:space="preserve">Итого: чистый денежный приток/отток от финансово – хозяйственной деятельности (стр. 160 + / – 210 + / – 290 – 320) </t>
  </si>
  <si>
    <t xml:space="preserve">Сальдо курсовых разниц, образовавшихся от переоценки денежных средств в иностранной валюте </t>
  </si>
  <si>
    <t xml:space="preserve">Денежные средства на начало года </t>
  </si>
  <si>
    <t>Денежные средства на конец года</t>
  </si>
  <si>
    <t>Сумма</t>
  </si>
  <si>
    <t>Остаток на начало года</t>
  </si>
  <si>
    <t>Поступило валютных средств, всего (стр. 371 + 372 + 373 + 374), в том числе</t>
  </si>
  <si>
    <t xml:space="preserve">Выручка от реализации </t>
  </si>
  <si>
    <t>Проконвертировано</t>
  </si>
  <si>
    <t>По финансовой деятельности</t>
  </si>
  <si>
    <t xml:space="preserve">Другие источники </t>
  </si>
  <si>
    <t xml:space="preserve">Израсходовано валютных средств, всего (стр. 381 + 382 + 383), в том числе </t>
  </si>
  <si>
    <t>Выплаты поставщикам и подрядчикам</t>
  </si>
  <si>
    <t>Выплаты по финансовой деятельности</t>
  </si>
  <si>
    <t xml:space="preserve">На другие цели </t>
  </si>
  <si>
    <t>Сальдо курсовых разниц, образовавшихся от переоценки денежных средств в иностранной валюте</t>
  </si>
  <si>
    <t>Остаток на конец года (стр. 360 + 370 – 380 + /– 390)</t>
  </si>
  <si>
    <t xml:space="preserve">Уставный капитал </t>
  </si>
  <si>
    <t>Добавленный капитал</t>
  </si>
  <si>
    <t>Резервный капитал</t>
  </si>
  <si>
    <t>Нераспределенная прибыль (непокрытый убыток)</t>
  </si>
  <si>
    <t>Выкупленные собственные акции</t>
  </si>
  <si>
    <t>Целевые поступления и прочие</t>
  </si>
  <si>
    <t>Итого</t>
  </si>
  <si>
    <t>Эмиссия ценных бумаг</t>
  </si>
  <si>
    <t>Переоценка долгосрочных активов</t>
  </si>
  <si>
    <t>Валютная курсовая разница при формировании уставного капитала</t>
  </si>
  <si>
    <t>Отчисления в резервный капитал</t>
  </si>
  <si>
    <t>Нераспределенная прибыль (непокрытый убыток) отчётного года</t>
  </si>
  <si>
    <t>Безвозмездно полученное имущество</t>
  </si>
  <si>
    <t>Полученные средства по целевому назначению</t>
  </si>
  <si>
    <t xml:space="preserve">Дивиденды уплаченные </t>
  </si>
  <si>
    <t>Прочие источники формирования собственного капитала</t>
  </si>
  <si>
    <t>Остаток на конец года</t>
  </si>
  <si>
    <t>Увеличение (+) или уменьшение (–) собственного капитала</t>
  </si>
  <si>
    <t>СПРАВОЧНО:</t>
  </si>
  <si>
    <t>Количество выпущенных акций, шт.</t>
  </si>
  <si>
    <t>в том числе:</t>
  </si>
  <si>
    <t>привилегированные</t>
  </si>
  <si>
    <t>простые</t>
  </si>
  <si>
    <t>Номинальная стоимость акции</t>
  </si>
  <si>
    <t>Количество акций в обращении, шт.</t>
  </si>
  <si>
    <t xml:space="preserve">привилегированные </t>
  </si>
  <si>
    <t xml:space="preserve">простые </t>
  </si>
  <si>
    <t>"NEO INSURANCE CORP" AJ</t>
  </si>
  <si>
    <t>0043</t>
  </si>
  <si>
    <t>"MOSAIC INSURANCE GROUP" AJ XK</t>
  </si>
  <si>
    <t>Ўзбекистон Республикаси Истиқболли лойиҳалар миллий агентлиги</t>
  </si>
  <si>
    <t>Таъсисчиларга, акциядорларга, лизинг ташкилотларига (молиявий ёрдам) ва ходимларга берилган қарзлар, шунингдек ушбу қарзлар бўйича жамғарилган фоизлар суммаси</t>
  </si>
  <si>
    <t>Суғурталовчи (қайта суғурталовчи) таъсисчилари, акциядорлари, лизинг ташкилотлари (молиявий ёрдам) ва ходимларига берилган, шунингдек, у билан ҳаёт суғуртаси шартномасини тузган суғурта қилдирувчиларга берилган ушбу шартномалар билан кафолатланган қарзларнинг умумий суммаси</t>
  </si>
  <si>
    <t>Сумма займов, выданных учредителям, акционерам, лизинговым организациям (финансовая помощь) и работникам, а также накопленные проценты по ним</t>
  </si>
  <si>
    <t xml:space="preserve">	Общая сумма предоставленных займов учредителям, акционерам, лизинговым организациям (финансовая помощь) и работникам страховщика (перестраховщика), а также займов, гарантированных договорами страхования жизни</t>
  </si>
  <si>
    <t>Расходы на осуществление обязательного страхования гражданской ответственности владельцев транспортных средств (в том числе отчисления в резерв предупредительных мероприятий по предотвращению и предупреждению наступления страховых случаев), произведенные за отчетный период (стр. 11 = стр. 1 х 20%)</t>
  </si>
  <si>
    <t>Расходы на осуществление обязательного страхования гражданской ответственности работодателя (в том числе отчисления в резерв предупредительных мероприятий по предотвращению и предупреждению наступления страховых случаев), произведенные за отчетный период (стр. 10 = стр. 1 х 25%)</t>
  </si>
  <si>
    <t>Расходы на осуществление обязательного страхования гражданской ответственности перевозчика (в том числе отчисления в резерв предупредительных мероприятий по предотвращению и предупреждению наступления страховых случаев), произведенные за отчетный период (стр. 10 = стр. 1 х 25%)</t>
  </si>
  <si>
    <t>"INFINITY INSURANCE" AJ</t>
  </si>
  <si>
    <t>Ҳисобот даврида транспорт воситалари эгаларининг фуқаролик жавобгарлигини мажбурий суғурта қилишни амалга ошириш учун амалга оширилган харажатлар (шу жумладан, суғурта ҳодисалари содир бўлишининг олдини олиш ва огоҳлантириш бўйича огоҳлантириш чора-тадбирлари захирасига ажратмалар) (11 сатр = 1 сатр х 20%)</t>
  </si>
  <si>
    <t>Ҳисобот даврида иш берувчининг фуқаролик жавобгарлигини мажбурий суғурта қилишни амалга ошириш учун амалга оширилган харажатлар (шу жумладан, суғурта ҳодисалари содир бўлишининг олдини олиш ва огоҳлантириш бўйича огоҳлантириш чора-тадбирлари захирасига ажратмалар) (10 сатр = 1сатр х 25%)</t>
  </si>
  <si>
    <t>Ҳисобот даврида ташувчининг фуқаролик жавобгарлигини мажбурий суғурта қилишни амалга ошириш учун амалга оширилган харажатлар (шу жумладан, суғурта ҳодисалари содир бўлишининг олдини олиш ва огоҳлантириш бўйича огоҳлантириш чора-тадбирлари захирасига ажратмалар) (10 сатр = 1 сатр х 25%)</t>
  </si>
  <si>
    <t>31.03.2025</t>
  </si>
  <si>
    <t>0044</t>
  </si>
  <si>
    <t>"TBC SUG‘URTA" AJ</t>
  </si>
  <si>
    <r>
      <rPr>
        <b/>
        <u/>
        <sz val="11"/>
        <color rgb="FF002060"/>
        <rFont val="Calibri"/>
        <family val="2"/>
        <charset val="204"/>
        <scheme val="minor"/>
      </rPr>
      <t xml:space="preserve">ЭСЛАТМА </t>
    </r>
    <r>
      <rPr>
        <b/>
        <sz val="11"/>
        <color rgb="FF002060"/>
        <rFont val="Calibri"/>
        <family val="2"/>
        <charset val="204"/>
        <scheme val="minor"/>
      </rPr>
      <t xml:space="preserve"> </t>
    </r>
    <r>
      <rPr>
        <sz val="11"/>
        <color rgb="FF002060"/>
        <rFont val="Calibri"/>
        <family val="2"/>
        <charset val="204"/>
        <scheme val="minor"/>
      </rPr>
      <t xml:space="preserve">
Электрон ҳисобот тўлдирилаётгганда унинг шаклига </t>
    </r>
    <r>
      <rPr>
        <b/>
        <sz val="11"/>
        <color rgb="FF002060"/>
        <rFont val="Calibri"/>
        <family val="2"/>
        <charset val="204"/>
        <scheme val="minor"/>
      </rPr>
      <t xml:space="preserve">ўзгартиришлар киритилмаслиги лозим. </t>
    </r>
    <r>
      <rPr>
        <sz val="11"/>
        <color rgb="FF002060"/>
        <rFont val="Calibri"/>
        <family val="2"/>
        <charset val="204"/>
        <scheme val="minor"/>
      </rPr>
      <t xml:space="preserve">
Ушбу файл </t>
    </r>
    <r>
      <rPr>
        <b/>
        <sz val="11"/>
        <color rgb="FF002060"/>
        <rFont val="Calibri"/>
        <family val="2"/>
        <charset val="204"/>
        <scheme val="minor"/>
      </rPr>
      <t xml:space="preserve">макрослар билан сақланиши шарт. </t>
    </r>
    <r>
      <rPr>
        <sz val="11"/>
        <color rgb="FF002060"/>
        <rFont val="Calibri"/>
        <family val="2"/>
        <charset val="204"/>
        <scheme val="minor"/>
      </rPr>
      <t xml:space="preserve">
Қўшимча қаторларни қўшиш фақатгина керакли жадвалларда</t>
    </r>
    <r>
      <rPr>
        <b/>
        <sz val="11"/>
        <color rgb="FF002060"/>
        <rFont val="Calibri"/>
        <family val="2"/>
        <charset val="204"/>
        <scheme val="minor"/>
      </rPr>
      <t xml:space="preserve"> "Қўшимча қатор қўшиш" тугмаси</t>
    </r>
    <r>
      <rPr>
        <sz val="11"/>
        <color rgb="FF002060"/>
        <rFont val="Calibri"/>
        <family val="2"/>
        <charset val="204"/>
        <scheme val="minor"/>
      </rPr>
      <t xml:space="preserve"> ёрдамида амалга оширишга рухсат берилади. 
Ушбу ҳисоботнинг электрон шакли қуйидаги ҳавола орқали жўнатилиши лозим: 
</t>
    </r>
    <r>
      <rPr>
        <b/>
        <sz val="11"/>
        <color rgb="FF002060"/>
        <rFont val="Calibri"/>
        <family val="2"/>
        <charset val="204"/>
        <scheme val="minor"/>
      </rPr>
      <t xml:space="preserve">https://napp.uz/hisobot/ 
</t>
    </r>
    <r>
      <rPr>
        <sz val="11"/>
        <color rgb="FF002060"/>
        <rFont val="Calibri"/>
        <family val="2"/>
        <charset val="204"/>
        <scheme val="minor"/>
      </rPr>
      <t>Барча саволлар бўйича ушбу телефон рақами орқали мурожаат қилишингиз мумкин: 71 231-18-07</t>
    </r>
    <r>
      <rPr>
        <sz val="11"/>
        <color theme="2" tint="-0.499984740745262"/>
        <rFont val="Calibri"/>
        <family val="2"/>
        <charset val="204"/>
        <scheme val="minor"/>
      </rPr>
      <t xml:space="preserve">
</t>
    </r>
    <r>
      <rPr>
        <b/>
        <u/>
        <sz val="11"/>
        <color theme="2" tint="-0.499984740745262"/>
        <rFont val="Calibri"/>
        <family val="2"/>
        <charset val="204"/>
        <scheme val="minor"/>
      </rPr>
      <t>ПРИМЕЧАНИЕ</t>
    </r>
    <r>
      <rPr>
        <sz val="11"/>
        <color theme="2" tint="-0.499984740745262"/>
        <rFont val="Calibri"/>
        <family val="2"/>
        <charset val="204"/>
        <scheme val="minor"/>
      </rPr>
      <t xml:space="preserve">
При заполнении форм электронной отчетности не допускается внесение в них изменений. 
Тип файла должен оставаться с поддержкой макросов. 
Допускается только вставлять дополнительные строки в соответствующих таблицах при помощи кнопки "Добавить строку". 
</t>
    </r>
    <r>
      <rPr>
        <sz val="11"/>
        <color theme="0" tint="-0.499984740745262"/>
        <rFont val="Calibri"/>
        <family val="2"/>
        <charset val="204"/>
        <scheme val="minor"/>
      </rPr>
      <t xml:space="preserve">Отправка электронной формы отчетности осушествляется по следующей ссылке: </t>
    </r>
    <r>
      <rPr>
        <b/>
        <sz val="11"/>
        <color theme="0" tint="-0.499984740745262"/>
        <rFont val="Calibri"/>
        <family val="2"/>
        <charset val="204"/>
        <scheme val="minor"/>
      </rPr>
      <t xml:space="preserve">https://napp.uz/hisobot/	</t>
    </r>
    <r>
      <rPr>
        <sz val="11"/>
        <color theme="0" tint="-0.499984740745262"/>
        <rFont val="Calibri"/>
        <family val="2"/>
        <charset val="204"/>
        <scheme val="minor"/>
      </rPr>
      <t xml:space="preserve">									
По всем вопросам обращайтесь по следущему телефонному номеру: 71 231-18-07</t>
    </r>
    <r>
      <rPr>
        <sz val="11"/>
        <color theme="2" tint="-0.499984740745262"/>
        <rFont val="Calibri"/>
        <family val="2"/>
        <charset val="204"/>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</si>
</sst>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 #,##0_-;\-* #,##0_-;_-* &quot;-&quot;??_-;_-@_-"/>
    <numFmt numFmtId="165" formatCode="#,##0.0_ ;\-#,##0.0\ "/>
    <numFmt numFmtId="166" formatCode="#,##0.00_ ;\-#,##0.00\ "/>
  </numFmts>
  <fonts count="49"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scheme val="minor"/>
    </font>
    <font>
      <b/>
      <sz val="11"/>
      <color theme="0"/>
      <name val="Calibri"/>
      <family val="2"/>
      <charset val="204"/>
      <scheme val="minor"/>
    </font>
    <font>
      <b/>
      <sz val="11"/>
      <color theme="1"/>
      <name val="Calibri"/>
      <family val="2"/>
      <charset val="204"/>
      <scheme val="minor"/>
    </font>
    <font>
      <sz val="11"/>
      <color theme="0"/>
      <name val="Calibri"/>
      <family val="2"/>
      <charset val="204"/>
      <scheme val="minor"/>
    </font>
    <font>
      <b/>
      <sz val="16"/>
      <color rgb="FF002060"/>
      <name val="Times New Roman"/>
      <family val="1"/>
      <charset val="204"/>
    </font>
    <font>
      <b/>
      <sz val="14"/>
      <color rgb="FF66FF33"/>
      <name val="Times New Roman"/>
      <family val="1"/>
      <charset val="204"/>
    </font>
    <font>
      <b/>
      <sz val="12"/>
      <color rgb="FF002060"/>
      <name val="Times New Roman"/>
      <family val="1"/>
      <charset val="204"/>
    </font>
    <font>
      <b/>
      <sz val="12"/>
      <color theme="2" tint="-0.499984740745262"/>
      <name val="Times New Roman"/>
      <family val="1"/>
      <charset val="204"/>
    </font>
    <font>
      <b/>
      <sz val="11"/>
      <color rgb="FF002060"/>
      <name val="Times New Roman"/>
      <family val="1"/>
      <charset val="204"/>
    </font>
    <font>
      <b/>
      <sz val="11"/>
      <color theme="2" tint="-0.499984740745262"/>
      <name val="Times New Roman"/>
      <family val="1"/>
      <charset val="204"/>
    </font>
    <font>
      <b/>
      <sz val="12"/>
      <color theme="0"/>
      <name val="Times New Roman"/>
      <family val="1"/>
      <charset val="204"/>
    </font>
    <font>
      <b/>
      <sz val="12"/>
      <color theme="1"/>
      <name val="Times New Roman"/>
      <family val="1"/>
      <charset val="204"/>
    </font>
    <font>
      <sz val="11"/>
      <color theme="2" tint="-0.499984740745262"/>
      <name val="Calibri"/>
      <family val="2"/>
      <charset val="204"/>
      <scheme val="minor"/>
    </font>
    <font>
      <b/>
      <u/>
      <sz val="11"/>
      <color rgb="FF002060"/>
      <name val="Calibri"/>
      <family val="2"/>
      <charset val="204"/>
      <scheme val="minor"/>
    </font>
    <font>
      <b/>
      <sz val="11"/>
      <color rgb="FF002060"/>
      <name val="Calibri"/>
      <family val="2"/>
      <charset val="204"/>
      <scheme val="minor"/>
    </font>
    <font>
      <sz val="11"/>
      <color rgb="FF002060"/>
      <name val="Calibri"/>
      <family val="2"/>
      <charset val="204"/>
      <scheme val="minor"/>
    </font>
    <font>
      <b/>
      <u/>
      <sz val="11"/>
      <color theme="2" tint="-0.499984740745262"/>
      <name val="Calibri"/>
      <family val="2"/>
      <charset val="204"/>
      <scheme val="minor"/>
    </font>
    <font>
      <sz val="12"/>
      <name val="Calibri"/>
      <family val="2"/>
      <charset val="204"/>
      <scheme val="minor"/>
    </font>
    <font>
      <sz val="12"/>
      <color rgb="FF000000"/>
      <name val="Calibri"/>
      <family val="2"/>
      <charset val="204"/>
      <scheme val="minor"/>
    </font>
    <font>
      <sz val="12"/>
      <color theme="1"/>
      <name val="Calibri"/>
      <family val="2"/>
      <charset val="204"/>
      <scheme val="minor"/>
    </font>
    <font>
      <sz val="12"/>
      <color theme="1"/>
      <name val="Times New Roman"/>
      <family val="1"/>
      <charset val="204"/>
    </font>
    <font>
      <sz val="12"/>
      <color theme="4" tint="0.79998168889431442"/>
      <name val="Times New Roman"/>
      <family val="1"/>
      <charset val="204"/>
    </font>
    <font>
      <sz val="12"/>
      <color theme="3" tint="0.79998168889431442"/>
      <name val="Times New Roman"/>
      <family val="1"/>
      <charset val="204"/>
    </font>
    <font>
      <sz val="12"/>
      <color theme="6" tint="0.79998168889431442"/>
      <name val="Times New Roman"/>
      <family val="1"/>
      <charset val="204"/>
    </font>
    <font>
      <u/>
      <sz val="11"/>
      <color theme="10"/>
      <name val="Calibri"/>
      <family val="2"/>
      <scheme val="minor"/>
    </font>
    <font>
      <u/>
      <sz val="11"/>
      <color theme="10"/>
      <name val="Calibri"/>
      <family val="2"/>
      <charset val="204"/>
      <scheme val="minor"/>
    </font>
    <font>
      <sz val="12"/>
      <color rgb="FF000000"/>
      <name val="Times New Roman"/>
      <family val="1"/>
      <charset val="204"/>
    </font>
    <font>
      <sz val="10"/>
      <color theme="1"/>
      <name val="Times New Roman"/>
      <family val="1"/>
      <charset val="204"/>
    </font>
    <font>
      <b/>
      <sz val="12"/>
      <color rgb="FF000000"/>
      <name val="Times New Roman"/>
      <family val="1"/>
      <charset val="204"/>
    </font>
    <font>
      <b/>
      <sz val="10"/>
      <color theme="1"/>
      <name val="Times New Roman"/>
      <family val="1"/>
      <charset val="204"/>
    </font>
    <font>
      <sz val="11.5"/>
      <color theme="1"/>
      <name val="Times New Roman"/>
      <family val="1"/>
      <charset val="204"/>
    </font>
    <font>
      <b/>
      <sz val="12"/>
      <color theme="0"/>
      <name val="Calibri"/>
      <family val="2"/>
      <charset val="204"/>
      <scheme val="minor"/>
    </font>
    <font>
      <b/>
      <sz val="12"/>
      <color theme="1"/>
      <name val="Calibri"/>
      <family val="2"/>
      <charset val="204"/>
      <scheme val="minor"/>
    </font>
    <font>
      <sz val="12"/>
      <color theme="1"/>
      <name val="Calibri"/>
      <family val="2"/>
      <scheme val="minor"/>
    </font>
    <font>
      <sz val="12"/>
      <name val="Times New Roman"/>
      <family val="1"/>
      <charset val="204"/>
    </font>
    <font>
      <sz val="10"/>
      <name val="Times New Roman"/>
      <family val="1"/>
      <charset val="204"/>
    </font>
    <font>
      <sz val="10"/>
      <color rgb="FF000000"/>
      <name val="Times New Roman"/>
      <family val="1"/>
      <charset val="204"/>
    </font>
    <font>
      <sz val="10"/>
      <color rgb="FF339966"/>
      <name val="Times New Roman"/>
      <family val="1"/>
      <charset val="204"/>
    </font>
    <font>
      <i/>
      <sz val="12"/>
      <color theme="1"/>
      <name val="Times New Roman"/>
      <family val="1"/>
      <charset val="204"/>
    </font>
    <font>
      <sz val="8"/>
      <name val="Calibri"/>
      <family val="2"/>
      <scheme val="minor"/>
    </font>
    <font>
      <sz val="11"/>
      <color theme="0" tint="-0.499984740745262"/>
      <name val="Calibri"/>
      <family val="2"/>
      <charset val="204"/>
      <scheme val="minor"/>
    </font>
    <font>
      <b/>
      <sz val="11"/>
      <color theme="0" tint="-0.499984740745262"/>
      <name val="Calibri"/>
      <family val="2"/>
      <charset val="204"/>
      <scheme val="minor"/>
    </font>
    <font>
      <sz val="12"/>
      <color rgb="FF000080"/>
      <name val="Times New Roman"/>
      <family val="1"/>
    </font>
    <font>
      <b/>
      <sz val="16"/>
      <color rgb="FF000080"/>
      <name val="Times New Roman"/>
      <family val="1"/>
    </font>
  </fonts>
  <fills count="13">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3"/>
        <bgColor indexed="64"/>
      </patternFill>
    </fill>
    <fill>
      <patternFill patternType="solid">
        <fgColor theme="3" tint="0.39997558519241921"/>
        <bgColor indexed="64"/>
      </patternFill>
    </fill>
    <fill>
      <patternFill patternType="solid">
        <fgColor rgb="FFFFFF00"/>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rgb="FFFFFFFF"/>
        <bgColor indexed="64"/>
      </patternFill>
    </fill>
    <fill>
      <patternFill patternType="solid">
        <fgColor theme="2"/>
        <bgColor indexed="64"/>
      </patternFill>
    </fill>
  </fills>
  <borders count="2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8">
    <xf numFmtId="0" fontId="0" fillId="0" borderId="0"/>
    <xf numFmtId="43" fontId="5" fillId="0" borderId="0" applyFont="0" applyFill="0" applyBorder="0" applyAlignment="0" applyProtection="0"/>
    <xf numFmtId="9" fontId="5" fillId="0" borderId="0" applyFont="0" applyFill="0" applyBorder="0" applyAlignment="0" applyProtection="0"/>
    <xf numFmtId="0" fontId="4" fillId="0" borderId="0"/>
    <xf numFmtId="0" fontId="29" fillId="0" borderId="0" applyNumberFormat="0" applyFill="0" applyBorder="0" applyAlignment="0" applyProtection="0"/>
    <xf numFmtId="0" fontId="30" fillId="0" borderId="0" applyNumberFormat="0" applyFill="0" applyBorder="0" applyAlignment="0" applyProtection="0"/>
    <xf numFmtId="43" fontId="5" fillId="0" borderId="0" applyFont="0" applyFill="0" applyBorder="0" applyAlignment="0" applyProtection="0"/>
    <xf numFmtId="9" fontId="5" fillId="0" borderId="0" applyFont="0" applyFill="0" applyBorder="0" applyAlignment="0" applyProtection="0"/>
  </cellStyleXfs>
  <cellXfs count="308">
    <xf numFmtId="0" fontId="0" fillId="0" borderId="0" xfId="0"/>
    <xf numFmtId="0" fontId="4" fillId="2" borderId="0" xfId="3" applyFill="1"/>
    <xf numFmtId="0" fontId="11" fillId="2" borderId="0" xfId="3" applyFont="1" applyFill="1" applyAlignment="1">
      <alignment horizontal="center" vertical="center" wrapText="1"/>
    </xf>
    <xf numFmtId="0" fontId="4" fillId="5" borderId="2" xfId="3" applyFill="1" applyBorder="1"/>
    <xf numFmtId="0" fontId="4" fillId="5" borderId="3" xfId="3" applyFill="1" applyBorder="1"/>
    <xf numFmtId="0" fontId="4" fillId="5" borderId="0" xfId="3" applyFill="1"/>
    <xf numFmtId="0" fontId="4" fillId="5" borderId="8" xfId="3" applyFill="1" applyBorder="1"/>
    <xf numFmtId="0" fontId="16" fillId="5" borderId="0" xfId="3" applyFont="1" applyFill="1" applyAlignment="1">
      <alignment vertical="center"/>
    </xf>
    <xf numFmtId="0" fontId="4" fillId="5" borderId="5" xfId="3" applyFill="1" applyBorder="1"/>
    <xf numFmtId="0" fontId="4" fillId="5" borderId="6" xfId="3" applyFill="1" applyBorder="1"/>
    <xf numFmtId="0" fontId="4" fillId="0" borderId="0" xfId="0" quotePrefix="1" applyFont="1" applyAlignment="1">
      <alignment horizontal="center" vertical="center"/>
    </xf>
    <xf numFmtId="0" fontId="0" fillId="0" borderId="0" xfId="0" applyAlignment="1">
      <alignment horizontal="center"/>
    </xf>
    <xf numFmtId="0" fontId="23" fillId="0" borderId="0" xfId="0" applyFont="1" applyAlignment="1">
      <alignment horizontal="left" vertical="center"/>
    </xf>
    <xf numFmtId="0" fontId="22" fillId="0" borderId="0" xfId="0" applyFont="1" applyAlignment="1">
      <alignment horizontal="left" vertical="center"/>
    </xf>
    <xf numFmtId="0" fontId="24" fillId="0" borderId="0" xfId="0" applyFont="1" applyAlignment="1">
      <alignment horizontal="left" vertical="center"/>
    </xf>
    <xf numFmtId="16" fontId="0" fillId="0" borderId="0" xfId="0" applyNumberFormat="1" applyAlignment="1">
      <alignment horizontal="center"/>
    </xf>
    <xf numFmtId="0" fontId="7" fillId="6" borderId="10" xfId="0" applyFont="1" applyFill="1" applyBorder="1" applyAlignment="1">
      <alignment horizontal="center"/>
    </xf>
    <xf numFmtId="0" fontId="0" fillId="6" borderId="11" xfId="0" applyFill="1" applyBorder="1" applyAlignment="1">
      <alignment horizontal="center"/>
    </xf>
    <xf numFmtId="0" fontId="0" fillId="6" borderId="12" xfId="0" applyFill="1" applyBorder="1" applyAlignment="1">
      <alignment horizontal="center"/>
    </xf>
    <xf numFmtId="0" fontId="0" fillId="6" borderId="13" xfId="0" applyFill="1" applyBorder="1" applyAlignment="1">
      <alignment horizontal="center"/>
    </xf>
    <xf numFmtId="0" fontId="0" fillId="6" borderId="14" xfId="0" applyFill="1" applyBorder="1" applyAlignment="1">
      <alignment horizontal="center"/>
    </xf>
    <xf numFmtId="0" fontId="0" fillId="6" borderId="15" xfId="0" applyFill="1" applyBorder="1" applyAlignment="1">
      <alignment horizontal="center"/>
    </xf>
    <xf numFmtId="0" fontId="15" fillId="7" borderId="0" xfId="3" applyFont="1" applyFill="1" applyAlignment="1">
      <alignment horizontal="center" vertical="center" wrapText="1"/>
    </xf>
    <xf numFmtId="0" fontId="4" fillId="0" borderId="0" xfId="3" applyAlignment="1">
      <alignment horizontal="center" vertical="center"/>
    </xf>
    <xf numFmtId="0" fontId="25" fillId="8" borderId="9" xfId="3" applyFont="1" applyFill="1" applyBorder="1" applyAlignment="1">
      <alignment horizontal="center" vertical="center"/>
    </xf>
    <xf numFmtId="0" fontId="25" fillId="8" borderId="16" xfId="3" applyFont="1" applyFill="1" applyBorder="1" applyAlignment="1">
      <alignment horizontal="center" vertical="center"/>
    </xf>
    <xf numFmtId="0" fontId="26" fillId="8" borderId="17" xfId="3" applyFont="1" applyFill="1" applyBorder="1" applyAlignment="1">
      <alignment horizontal="left" vertical="center" wrapText="1"/>
    </xf>
    <xf numFmtId="0" fontId="25" fillId="8" borderId="18" xfId="3" applyFont="1" applyFill="1" applyBorder="1" applyAlignment="1">
      <alignment horizontal="center" vertical="center"/>
    </xf>
    <xf numFmtId="0" fontId="25" fillId="8" borderId="9" xfId="3" applyFont="1" applyFill="1" applyBorder="1" applyAlignment="1">
      <alignment horizontal="left" vertical="center" wrapText="1"/>
    </xf>
    <xf numFmtId="0" fontId="4" fillId="0" borderId="0" xfId="3"/>
    <xf numFmtId="0" fontId="26" fillId="8" borderId="19" xfId="3" applyFont="1" applyFill="1" applyBorder="1" applyAlignment="1">
      <alignment horizontal="left" vertical="center" wrapText="1"/>
    </xf>
    <xf numFmtId="0" fontId="25" fillId="8" borderId="19" xfId="3" applyFont="1" applyFill="1" applyBorder="1" applyAlignment="1">
      <alignment horizontal="center" vertical="center" wrapText="1"/>
    </xf>
    <xf numFmtId="0" fontId="26" fillId="8" borderId="20" xfId="3" applyFont="1" applyFill="1" applyBorder="1" applyAlignment="1">
      <alignment horizontal="left" vertical="center" wrapText="1"/>
    </xf>
    <xf numFmtId="0" fontId="25" fillId="9" borderId="9" xfId="3" applyFont="1" applyFill="1" applyBorder="1" applyAlignment="1">
      <alignment horizontal="center" vertical="center"/>
    </xf>
    <xf numFmtId="0" fontId="25" fillId="9" borderId="16" xfId="3" applyFont="1" applyFill="1" applyBorder="1" applyAlignment="1">
      <alignment horizontal="center" vertical="center"/>
    </xf>
    <xf numFmtId="0" fontId="27" fillId="9" borderId="17" xfId="3" applyFont="1" applyFill="1" applyBorder="1" applyAlignment="1">
      <alignment horizontal="left" vertical="center" wrapText="1"/>
    </xf>
    <xf numFmtId="0" fontId="25" fillId="9" borderId="18" xfId="3" applyFont="1" applyFill="1" applyBorder="1" applyAlignment="1">
      <alignment horizontal="center" vertical="center"/>
    </xf>
    <xf numFmtId="0" fontId="25" fillId="9" borderId="9" xfId="3" applyFont="1" applyFill="1" applyBorder="1" applyAlignment="1">
      <alignment horizontal="left" vertical="center" wrapText="1"/>
    </xf>
    <xf numFmtId="0" fontId="25" fillId="9" borderId="19" xfId="3" applyFont="1" applyFill="1" applyBorder="1" applyAlignment="1">
      <alignment horizontal="center" vertical="center" wrapText="1"/>
    </xf>
    <xf numFmtId="0" fontId="27" fillId="9" borderId="19" xfId="3" applyFont="1" applyFill="1" applyBorder="1" applyAlignment="1">
      <alignment horizontal="left" vertical="center" wrapText="1"/>
    </xf>
    <xf numFmtId="0" fontId="25" fillId="9" borderId="18" xfId="3" applyFont="1" applyFill="1" applyBorder="1" applyAlignment="1">
      <alignment horizontal="center"/>
    </xf>
    <xf numFmtId="0" fontId="27" fillId="9" borderId="20" xfId="3" applyFont="1" applyFill="1" applyBorder="1" applyAlignment="1">
      <alignment horizontal="left" vertical="center" wrapText="1"/>
    </xf>
    <xf numFmtId="0" fontId="25" fillId="10" borderId="9" xfId="3" applyFont="1" applyFill="1" applyBorder="1" applyAlignment="1">
      <alignment horizontal="center" vertical="center"/>
    </xf>
    <xf numFmtId="0" fontId="25" fillId="10" borderId="16" xfId="3" applyFont="1" applyFill="1" applyBorder="1" applyAlignment="1">
      <alignment horizontal="center" vertical="center"/>
    </xf>
    <xf numFmtId="0" fontId="28" fillId="10" borderId="17" xfId="3" applyFont="1" applyFill="1" applyBorder="1" applyAlignment="1">
      <alignment horizontal="left" vertical="center" wrapText="1"/>
    </xf>
    <xf numFmtId="0" fontId="25" fillId="10" borderId="18" xfId="3" applyFont="1" applyFill="1" applyBorder="1" applyAlignment="1">
      <alignment horizontal="center" vertical="center"/>
    </xf>
    <xf numFmtId="0" fontId="25" fillId="10" borderId="9" xfId="3" applyFont="1" applyFill="1" applyBorder="1" applyAlignment="1">
      <alignment horizontal="left" vertical="center" wrapText="1"/>
    </xf>
    <xf numFmtId="0" fontId="28" fillId="10" borderId="19" xfId="3" applyFont="1" applyFill="1" applyBorder="1" applyAlignment="1">
      <alignment horizontal="left" vertical="center" wrapText="1"/>
    </xf>
    <xf numFmtId="0" fontId="25" fillId="10" borderId="19" xfId="3" applyFont="1" applyFill="1" applyBorder="1" applyAlignment="1">
      <alignment horizontal="center" vertical="center" wrapText="1"/>
    </xf>
    <xf numFmtId="0" fontId="28" fillId="10" borderId="20" xfId="3" applyFont="1" applyFill="1" applyBorder="1" applyAlignment="1">
      <alignment horizontal="left" vertical="center" wrapText="1"/>
    </xf>
    <xf numFmtId="0" fontId="4" fillId="0" borderId="0" xfId="3" applyAlignment="1">
      <alignment horizontal="left" vertical="center" wrapText="1"/>
    </xf>
    <xf numFmtId="0" fontId="4" fillId="0" borderId="0" xfId="3" applyAlignment="1">
      <alignment horizontal="center" vertical="center" wrapText="1"/>
    </xf>
    <xf numFmtId="0" fontId="15" fillId="7" borderId="0" xfId="3" applyFont="1" applyFill="1" applyAlignment="1">
      <alignment horizontal="center" vertical="center"/>
    </xf>
    <xf numFmtId="0" fontId="26" fillId="8" borderId="17" xfId="3" applyFont="1" applyFill="1" applyBorder="1" applyAlignment="1">
      <alignment horizontal="center" vertical="center" wrapText="1"/>
    </xf>
    <xf numFmtId="0" fontId="26" fillId="8" borderId="19" xfId="3" applyFont="1" applyFill="1" applyBorder="1" applyAlignment="1">
      <alignment horizontal="center" vertical="center" wrapText="1"/>
    </xf>
    <xf numFmtId="0" fontId="27" fillId="9" borderId="17" xfId="3" applyFont="1" applyFill="1" applyBorder="1" applyAlignment="1">
      <alignment vertical="center" wrapText="1"/>
    </xf>
    <xf numFmtId="0" fontId="27" fillId="9" borderId="19" xfId="3" applyFont="1" applyFill="1" applyBorder="1" applyAlignment="1">
      <alignment vertical="center" wrapText="1"/>
    </xf>
    <xf numFmtId="0" fontId="25" fillId="0" borderId="9" xfId="3" applyFont="1" applyBorder="1"/>
    <xf numFmtId="0" fontId="25" fillId="0" borderId="9" xfId="3" applyFont="1" applyBorder="1" applyAlignment="1">
      <alignment horizontal="center" vertical="center"/>
    </xf>
    <xf numFmtId="0" fontId="25" fillId="0" borderId="20" xfId="3" applyFont="1" applyBorder="1" applyAlignment="1">
      <alignment horizontal="left" vertical="center" wrapText="1"/>
    </xf>
    <xf numFmtId="0" fontId="25" fillId="0" borderId="9" xfId="3" applyFont="1" applyBorder="1" applyAlignment="1">
      <alignment horizontal="left" vertical="center" wrapText="1"/>
    </xf>
    <xf numFmtId="0" fontId="25" fillId="0" borderId="9" xfId="3" applyFont="1" applyBorder="1" applyAlignment="1">
      <alignment horizontal="center" vertical="center" wrapText="1"/>
    </xf>
    <xf numFmtId="0" fontId="7" fillId="8" borderId="8" xfId="3" applyFont="1" applyFill="1" applyBorder="1" applyAlignment="1">
      <alignment horizontal="left"/>
    </xf>
    <xf numFmtId="0" fontId="7" fillId="8" borderId="0" xfId="3" applyFont="1" applyFill="1" applyAlignment="1">
      <alignment horizontal="left"/>
    </xf>
    <xf numFmtId="0" fontId="29" fillId="0" borderId="0" xfId="4" applyFill="1" applyAlignment="1">
      <alignment horizontal="center"/>
    </xf>
    <xf numFmtId="0" fontId="7" fillId="8" borderId="8" xfId="3" applyFont="1" applyFill="1" applyBorder="1" applyAlignment="1">
      <alignment horizontal="left" vertical="center" wrapText="1"/>
    </xf>
    <xf numFmtId="0" fontId="7" fillId="8" borderId="0" xfId="3" applyFont="1" applyFill="1"/>
    <xf numFmtId="0" fontId="4" fillId="8" borderId="8" xfId="3" applyFill="1" applyBorder="1" applyAlignment="1">
      <alignment horizontal="left"/>
    </xf>
    <xf numFmtId="0" fontId="4" fillId="8" borderId="0" xfId="3" applyFill="1" applyAlignment="1">
      <alignment horizontal="left"/>
    </xf>
    <xf numFmtId="0" fontId="4" fillId="8" borderId="8" xfId="3" applyFill="1" applyBorder="1" applyAlignment="1">
      <alignment horizontal="left" vertical="center" wrapText="1"/>
    </xf>
    <xf numFmtId="0" fontId="4" fillId="8" borderId="0" xfId="3" applyFill="1" applyAlignment="1">
      <alignment horizontal="left" vertical="center" wrapText="1"/>
    </xf>
    <xf numFmtId="0" fontId="4" fillId="8" borderId="0" xfId="3" applyFill="1"/>
    <xf numFmtId="0" fontId="15" fillId="7" borderId="9" xfId="3" applyFont="1" applyFill="1" applyBorder="1" applyAlignment="1">
      <alignment horizontal="center" vertical="center" wrapText="1"/>
    </xf>
    <xf numFmtId="0" fontId="31" fillId="11" borderId="9" xfId="3" applyFont="1" applyFill="1" applyBorder="1" applyAlignment="1">
      <alignment horizontal="center" vertical="center" wrapText="1"/>
    </xf>
    <xf numFmtId="0" fontId="31" fillId="11" borderId="9" xfId="3" applyFont="1" applyFill="1" applyBorder="1" applyAlignment="1">
      <alignment vertical="center" wrapText="1"/>
    </xf>
    <xf numFmtId="0" fontId="33" fillId="9" borderId="9" xfId="3" applyFont="1" applyFill="1" applyBorder="1" applyAlignment="1">
      <alignment horizontal="center" vertical="center" wrapText="1"/>
    </xf>
    <xf numFmtId="0" fontId="33" fillId="9" borderId="9" xfId="3" applyFont="1" applyFill="1" applyBorder="1" applyAlignment="1">
      <alignment vertical="center" wrapText="1"/>
    </xf>
    <xf numFmtId="0" fontId="33" fillId="8" borderId="9" xfId="3" applyFont="1" applyFill="1" applyBorder="1" applyAlignment="1">
      <alignment horizontal="center" vertical="center" wrapText="1"/>
    </xf>
    <xf numFmtId="0" fontId="33" fillId="8" borderId="9" xfId="3" applyFont="1" applyFill="1" applyBorder="1" applyAlignment="1">
      <alignment vertical="center" wrapText="1"/>
    </xf>
    <xf numFmtId="0" fontId="7" fillId="8" borderId="8" xfId="3" applyFont="1" applyFill="1" applyBorder="1" applyAlignment="1">
      <alignment horizontal="left" vertical="center"/>
    </xf>
    <xf numFmtId="0" fontId="4" fillId="8" borderId="8" xfId="3" applyFill="1" applyBorder="1" applyAlignment="1">
      <alignment horizontal="left" vertical="center"/>
    </xf>
    <xf numFmtId="0" fontId="15" fillId="7" borderId="9" xfId="3" applyFont="1" applyFill="1" applyBorder="1" applyAlignment="1">
      <alignment horizontal="center" vertical="center"/>
    </xf>
    <xf numFmtId="43" fontId="32" fillId="11" borderId="9" xfId="1" applyFont="1" applyFill="1" applyBorder="1" applyAlignment="1">
      <alignment vertical="top" wrapText="1"/>
    </xf>
    <xf numFmtId="43" fontId="34" fillId="9" borderId="9" xfId="1" applyFont="1" applyFill="1" applyBorder="1" applyAlignment="1">
      <alignment vertical="top" wrapText="1"/>
    </xf>
    <xf numFmtId="43" fontId="34" fillId="8" borderId="9" xfId="1" applyFont="1" applyFill="1" applyBorder="1" applyAlignment="1">
      <alignment vertical="top" wrapText="1"/>
    </xf>
    <xf numFmtId="0" fontId="7" fillId="0" borderId="0" xfId="3" applyFont="1"/>
    <xf numFmtId="0" fontId="7" fillId="0" borderId="0" xfId="3" applyFont="1" applyAlignment="1">
      <alignment horizontal="left" vertical="center" wrapText="1"/>
    </xf>
    <xf numFmtId="0" fontId="15" fillId="7" borderId="17" xfId="3" applyFont="1" applyFill="1" applyBorder="1" applyAlignment="1">
      <alignment horizontal="center" vertical="center" wrapText="1"/>
    </xf>
    <xf numFmtId="0" fontId="31" fillId="7" borderId="20" xfId="3" applyFont="1" applyFill="1" applyBorder="1" applyAlignment="1">
      <alignment horizontal="center" vertical="center" wrapText="1"/>
    </xf>
    <xf numFmtId="0" fontId="31" fillId="7" borderId="20" xfId="3" applyFont="1" applyFill="1" applyBorder="1" applyAlignment="1">
      <alignment vertical="center" wrapText="1"/>
    </xf>
    <xf numFmtId="43" fontId="4" fillId="0" borderId="9" xfId="1" applyFont="1" applyBorder="1"/>
    <xf numFmtId="0" fontId="7" fillId="0" borderId="0" xfId="3" applyFont="1" applyAlignment="1">
      <alignment horizontal="center" vertical="center"/>
    </xf>
    <xf numFmtId="3" fontId="32" fillId="11" borderId="9" xfId="3" applyNumberFormat="1" applyFont="1" applyFill="1" applyBorder="1" applyAlignment="1">
      <alignment horizontal="center" vertical="center" wrapText="1"/>
    </xf>
    <xf numFmtId="0" fontId="4" fillId="0" borderId="9" xfId="3" applyBorder="1"/>
    <xf numFmtId="3" fontId="32" fillId="11" borderId="9" xfId="3" applyNumberFormat="1" applyFont="1" applyFill="1" applyBorder="1" applyAlignment="1">
      <alignment vertical="top" wrapText="1"/>
    </xf>
    <xf numFmtId="10" fontId="4" fillId="0" borderId="9" xfId="2" applyNumberFormat="1" applyFont="1" applyBorder="1" applyAlignment="1">
      <alignment horizontal="center"/>
    </xf>
    <xf numFmtId="43" fontId="32" fillId="11" borderId="9" xfId="1" applyFont="1" applyFill="1" applyBorder="1" applyAlignment="1">
      <alignment horizontal="center" vertical="center" wrapText="1"/>
    </xf>
    <xf numFmtId="43" fontId="4" fillId="0" borderId="9" xfId="1" applyFont="1" applyBorder="1" applyAlignment="1">
      <alignment horizontal="center"/>
    </xf>
    <xf numFmtId="0" fontId="30" fillId="0" borderId="0" xfId="5" applyFill="1" applyAlignment="1">
      <alignment horizontal="center"/>
    </xf>
    <xf numFmtId="0" fontId="31" fillId="11" borderId="0" xfId="3" applyFont="1" applyFill="1" applyAlignment="1">
      <alignment horizontal="center" vertical="center" wrapText="1"/>
    </xf>
    <xf numFmtId="0" fontId="31" fillId="11" borderId="0" xfId="3" applyFont="1" applyFill="1" applyAlignment="1">
      <alignment vertical="center" wrapText="1"/>
    </xf>
    <xf numFmtId="3" fontId="32" fillId="11" borderId="0" xfId="3" applyNumberFormat="1" applyFont="1" applyFill="1" applyAlignment="1">
      <alignment vertical="top" wrapText="1"/>
    </xf>
    <xf numFmtId="0" fontId="35" fillId="8" borderId="0" xfId="3" applyFont="1" applyFill="1"/>
    <xf numFmtId="0" fontId="31" fillId="0" borderId="9" xfId="3" applyFont="1" applyBorder="1" applyAlignment="1">
      <alignment horizontal="center" vertical="center" wrapText="1"/>
    </xf>
    <xf numFmtId="0" fontId="31" fillId="0" borderId="9" xfId="3" applyFont="1" applyBorder="1" applyAlignment="1">
      <alignment vertical="center" wrapText="1"/>
    </xf>
    <xf numFmtId="0" fontId="25" fillId="8" borderId="0" xfId="3" applyFont="1" applyFill="1" applyAlignment="1">
      <alignment horizontal="center" vertical="center"/>
    </xf>
    <xf numFmtId="0" fontId="25" fillId="11" borderId="9" xfId="3" applyFont="1" applyFill="1" applyBorder="1" applyAlignment="1">
      <alignment horizontal="center" vertical="center" wrapText="1"/>
    </xf>
    <xf numFmtId="0" fontId="25" fillId="11" borderId="9" xfId="3" applyFont="1" applyFill="1" applyBorder="1" applyAlignment="1">
      <alignment horizontal="left" vertical="center" wrapText="1" indent="2"/>
    </xf>
    <xf numFmtId="0" fontId="25" fillId="0" borderId="9" xfId="3" applyFont="1" applyBorder="1" applyAlignment="1">
      <alignment horizontal="left" vertical="center" wrapText="1" indent="1"/>
    </xf>
    <xf numFmtId="0" fontId="25" fillId="11" borderId="9" xfId="3" applyFont="1" applyFill="1" applyBorder="1" applyAlignment="1">
      <alignment horizontal="left" vertical="center" wrapText="1" indent="1"/>
    </xf>
    <xf numFmtId="0" fontId="15" fillId="7" borderId="1" xfId="3" applyFont="1" applyFill="1" applyBorder="1" applyAlignment="1">
      <alignment horizontal="center" vertical="center" wrapText="1"/>
    </xf>
    <xf numFmtId="0" fontId="15" fillId="7" borderId="20" xfId="3" applyFont="1" applyFill="1" applyBorder="1" applyAlignment="1">
      <alignment horizontal="center" vertical="center" wrapText="1"/>
    </xf>
    <xf numFmtId="0" fontId="36" fillId="7" borderId="20" xfId="3" applyFont="1" applyFill="1" applyBorder="1" applyAlignment="1">
      <alignment horizontal="center"/>
    </xf>
    <xf numFmtId="3" fontId="15" fillId="7" borderId="20" xfId="3" applyNumberFormat="1" applyFont="1" applyFill="1" applyBorder="1" applyAlignment="1">
      <alignment horizontal="center" vertical="top" wrapText="1"/>
    </xf>
    <xf numFmtId="43" fontId="25" fillId="11" borderId="9" xfId="6" applyFont="1" applyFill="1" applyBorder="1" applyAlignment="1">
      <alignment vertical="top" wrapText="1"/>
    </xf>
    <xf numFmtId="43" fontId="24" fillId="0" borderId="9" xfId="6" applyFont="1" applyBorder="1"/>
    <xf numFmtId="0" fontId="15" fillId="7" borderId="16" xfId="3" applyFont="1" applyFill="1" applyBorder="1" applyAlignment="1">
      <alignment horizontal="center" vertical="center" wrapText="1"/>
    </xf>
    <xf numFmtId="0" fontId="36" fillId="7" borderId="9" xfId="3" applyFont="1" applyFill="1" applyBorder="1" applyAlignment="1">
      <alignment horizontal="center" vertical="center" wrapText="1"/>
    </xf>
    <xf numFmtId="3" fontId="15" fillId="7" borderId="9" xfId="3" applyNumberFormat="1" applyFont="1" applyFill="1" applyBorder="1" applyAlignment="1">
      <alignment horizontal="center" vertical="center" wrapText="1"/>
    </xf>
    <xf numFmtId="0" fontId="7" fillId="8" borderId="0" xfId="3" applyFont="1" applyFill="1" applyAlignment="1">
      <alignment horizontal="left" vertical="center"/>
    </xf>
    <xf numFmtId="0" fontId="30" fillId="0" borderId="0" xfId="5" applyFill="1" applyAlignment="1">
      <alignment horizontal="left"/>
    </xf>
    <xf numFmtId="0" fontId="7" fillId="8" borderId="0" xfId="3" applyFont="1" applyFill="1" applyAlignment="1">
      <alignment horizontal="left" vertical="center" wrapText="1"/>
    </xf>
    <xf numFmtId="0" fontId="4" fillId="8" borderId="7" xfId="3" applyFill="1" applyBorder="1" applyAlignment="1">
      <alignment horizontal="left" vertical="center" wrapText="1"/>
    </xf>
    <xf numFmtId="0" fontId="33" fillId="11" borderId="9" xfId="3" applyFont="1" applyFill="1" applyBorder="1" applyAlignment="1">
      <alignment horizontal="center" vertical="center" wrapText="1"/>
    </xf>
    <xf numFmtId="0" fontId="25" fillId="11" borderId="9" xfId="3" applyFont="1" applyFill="1" applyBorder="1" applyAlignment="1">
      <alignment vertical="top" wrapText="1"/>
    </xf>
    <xf numFmtId="43" fontId="25" fillId="11" borderId="9" xfId="6" applyFont="1" applyFill="1" applyBorder="1" applyAlignment="1">
      <alignment horizontal="center" vertical="center" wrapText="1"/>
    </xf>
    <xf numFmtId="0" fontId="31" fillId="11" borderId="9" xfId="3" applyFont="1" applyFill="1" applyBorder="1" applyAlignment="1">
      <alignment horizontal="left" vertical="center" wrapText="1"/>
    </xf>
    <xf numFmtId="0" fontId="25" fillId="11" borderId="17" xfId="3" applyFont="1" applyFill="1" applyBorder="1" applyAlignment="1">
      <alignment horizontal="center" vertical="center" wrapText="1"/>
    </xf>
    <xf numFmtId="0" fontId="16" fillId="11" borderId="17" xfId="3" applyFont="1" applyFill="1" applyBorder="1" applyAlignment="1">
      <alignment horizontal="center" vertical="center" wrapText="1"/>
    </xf>
    <xf numFmtId="0" fontId="4" fillId="0" borderId="0" xfId="3" applyAlignment="1">
      <alignment vertical="center"/>
    </xf>
    <xf numFmtId="43" fontId="31" fillId="11" borderId="9" xfId="6" applyFont="1" applyFill="1" applyBorder="1" applyAlignment="1">
      <alignment horizontal="center" vertical="center" wrapText="1"/>
    </xf>
    <xf numFmtId="0" fontId="7" fillId="0" borderId="0" xfId="3" applyFont="1" applyAlignment="1">
      <alignment vertical="center" wrapText="1"/>
    </xf>
    <xf numFmtId="0" fontId="4" fillId="0" borderId="0" xfId="3" applyAlignment="1">
      <alignment vertical="center" wrapText="1"/>
    </xf>
    <xf numFmtId="0" fontId="31" fillId="11" borderId="17" xfId="3" applyFont="1" applyFill="1" applyBorder="1" applyAlignment="1">
      <alignment horizontal="center" vertical="center" wrapText="1"/>
    </xf>
    <xf numFmtId="43" fontId="31" fillId="11" borderId="17" xfId="6" applyFont="1" applyFill="1" applyBorder="1" applyAlignment="1">
      <alignment horizontal="center" vertical="center" wrapText="1"/>
    </xf>
    <xf numFmtId="43" fontId="25" fillId="11" borderId="17" xfId="6" applyFont="1" applyFill="1" applyBorder="1" applyAlignment="1">
      <alignment vertical="top" wrapText="1"/>
    </xf>
    <xf numFmtId="43" fontId="25" fillId="11" borderId="9" xfId="6" applyFont="1" applyFill="1" applyBorder="1" applyAlignment="1" applyProtection="1">
      <alignment vertical="top" wrapText="1"/>
      <protection locked="0"/>
    </xf>
    <xf numFmtId="0" fontId="39" fillId="11" borderId="9" xfId="5" applyFont="1" applyFill="1" applyBorder="1" applyAlignment="1">
      <alignment vertical="center" wrapText="1"/>
    </xf>
    <xf numFmtId="0" fontId="7" fillId="8" borderId="7" xfId="3" applyFont="1" applyFill="1" applyBorder="1" applyAlignment="1">
      <alignment horizontal="left"/>
    </xf>
    <xf numFmtId="0" fontId="4" fillId="8" borderId="7" xfId="3" applyFill="1" applyBorder="1" applyAlignment="1">
      <alignment horizontal="left"/>
    </xf>
    <xf numFmtId="0" fontId="32" fillId="11" borderId="0" xfId="3" applyFont="1" applyFill="1" applyAlignment="1">
      <alignment vertical="top" wrapText="1"/>
    </xf>
    <xf numFmtId="0" fontId="24" fillId="0" borderId="0" xfId="3" applyFont="1"/>
    <xf numFmtId="4" fontId="25" fillId="11" borderId="9" xfId="3" applyNumberFormat="1" applyFont="1" applyFill="1" applyBorder="1" applyAlignment="1">
      <alignment vertical="top" wrapText="1"/>
    </xf>
    <xf numFmtId="164" fontId="25" fillId="11" borderId="9" xfId="6" applyNumberFormat="1" applyFont="1" applyFill="1" applyBorder="1" applyAlignment="1">
      <alignment vertical="top" wrapText="1"/>
    </xf>
    <xf numFmtId="43" fontId="24" fillId="0" borderId="9" xfId="3" applyNumberFormat="1" applyFont="1" applyBorder="1"/>
    <xf numFmtId="0" fontId="31" fillId="11" borderId="20" xfId="3" applyFont="1" applyFill="1" applyBorder="1" applyAlignment="1">
      <alignment vertical="center" wrapText="1"/>
    </xf>
    <xf numFmtId="164" fontId="25" fillId="11" borderId="20" xfId="6" applyNumberFormat="1" applyFont="1" applyFill="1" applyBorder="1" applyAlignment="1">
      <alignment vertical="top" wrapText="1"/>
    </xf>
    <xf numFmtId="164" fontId="24" fillId="0" borderId="20" xfId="6" applyNumberFormat="1" applyFont="1" applyBorder="1"/>
    <xf numFmtId="164" fontId="24" fillId="0" borderId="9" xfId="6" applyNumberFormat="1" applyFont="1" applyBorder="1"/>
    <xf numFmtId="10" fontId="31" fillId="11" borderId="9" xfId="7" applyNumberFormat="1" applyFont="1" applyFill="1" applyBorder="1" applyAlignment="1">
      <alignment horizontal="center" vertical="center" wrapText="1"/>
    </xf>
    <xf numFmtId="0" fontId="41" fillId="11" borderId="0" xfId="3" applyFont="1" applyFill="1" applyAlignment="1">
      <alignment horizontal="left" vertical="center" wrapText="1"/>
    </xf>
    <xf numFmtId="164" fontId="25" fillId="11" borderId="9" xfId="6" applyNumberFormat="1" applyFont="1" applyFill="1" applyBorder="1" applyAlignment="1">
      <alignment horizontal="center" vertical="center" wrapText="1"/>
    </xf>
    <xf numFmtId="9" fontId="25" fillId="11" borderId="9" xfId="7" applyFont="1" applyFill="1" applyBorder="1" applyAlignment="1">
      <alignment horizontal="center" vertical="center" wrapText="1"/>
    </xf>
    <xf numFmtId="164" fontId="24" fillId="0" borderId="9" xfId="6" applyNumberFormat="1" applyFont="1" applyBorder="1" applyAlignment="1">
      <alignment horizontal="center"/>
    </xf>
    <xf numFmtId="0" fontId="4" fillId="0" borderId="0" xfId="3" applyAlignment="1">
      <alignment horizontal="center"/>
    </xf>
    <xf numFmtId="0" fontId="31" fillId="11" borderId="17" xfId="3" applyFont="1" applyFill="1" applyBorder="1" applyAlignment="1">
      <alignment horizontal="left" vertical="center" wrapText="1"/>
    </xf>
    <xf numFmtId="43" fontId="25" fillId="11" borderId="0" xfId="6" applyFont="1" applyFill="1" applyBorder="1" applyAlignment="1">
      <alignment vertical="top" wrapText="1"/>
    </xf>
    <xf numFmtId="0" fontId="25" fillId="0" borderId="5" xfId="3" applyFont="1" applyBorder="1" applyAlignment="1">
      <alignment vertical="center" wrapText="1"/>
    </xf>
    <xf numFmtId="0" fontId="25" fillId="8" borderId="5" xfId="3" applyFont="1" applyFill="1" applyBorder="1" applyAlignment="1">
      <alignment horizontal="center" vertical="center" wrapText="1"/>
    </xf>
    <xf numFmtId="43" fontId="24" fillId="0" borderId="0" xfId="6" applyFont="1" applyFill="1" applyAlignment="1">
      <alignment horizontal="center"/>
    </xf>
    <xf numFmtId="43" fontId="15" fillId="7" borderId="9" xfId="6" applyFont="1" applyFill="1" applyBorder="1" applyAlignment="1">
      <alignment horizontal="center" vertical="center" wrapText="1"/>
    </xf>
    <xf numFmtId="0" fontId="42" fillId="0" borderId="0" xfId="3" applyFont="1" applyAlignment="1">
      <alignment horizontal="justify" vertical="center"/>
    </xf>
    <xf numFmtId="0" fontId="25" fillId="8" borderId="0" xfId="3" applyFont="1" applyFill="1" applyAlignment="1">
      <alignment horizontal="center" vertical="center" wrapText="1"/>
    </xf>
    <xf numFmtId="0" fontId="25" fillId="11" borderId="9" xfId="3" applyFont="1" applyFill="1" applyBorder="1" applyAlignment="1">
      <alignment vertical="center" wrapText="1"/>
    </xf>
    <xf numFmtId="43" fontId="24" fillId="0" borderId="0" xfId="6" applyFont="1"/>
    <xf numFmtId="0" fontId="25" fillId="0" borderId="9" xfId="3" applyFont="1" applyBorder="1" applyAlignment="1">
      <alignment vertical="center" wrapText="1"/>
    </xf>
    <xf numFmtId="0" fontId="32" fillId="11" borderId="0" xfId="3" applyFont="1" applyFill="1" applyAlignment="1">
      <alignment vertical="center" wrapText="1"/>
    </xf>
    <xf numFmtId="0" fontId="8" fillId="0" borderId="0" xfId="3" applyFont="1"/>
    <xf numFmtId="0" fontId="16" fillId="11" borderId="9" xfId="3" applyFont="1" applyFill="1" applyBorder="1" applyAlignment="1">
      <alignment vertical="top" wrapText="1"/>
    </xf>
    <xf numFmtId="0" fontId="25" fillId="11" borderId="20" xfId="3" applyFont="1" applyFill="1" applyBorder="1" applyAlignment="1">
      <alignment horizontal="center" vertical="center" wrapText="1"/>
    </xf>
    <xf numFmtId="0" fontId="31" fillId="11" borderId="20" xfId="3" applyFont="1" applyFill="1" applyBorder="1" applyAlignment="1">
      <alignment horizontal="center" vertical="center" wrapText="1"/>
    </xf>
    <xf numFmtId="43" fontId="24" fillId="0" borderId="9" xfId="6" applyFont="1" applyBorder="1" applyAlignment="1" applyProtection="1">
      <alignment horizontal="center"/>
      <protection locked="0"/>
    </xf>
    <xf numFmtId="0" fontId="25" fillId="11" borderId="9" xfId="3" applyFont="1" applyFill="1" applyBorder="1" applyAlignment="1">
      <alignment horizontal="center" vertical="top" wrapText="1"/>
    </xf>
    <xf numFmtId="0" fontId="25" fillId="11" borderId="20" xfId="3" applyFont="1" applyFill="1" applyBorder="1" applyAlignment="1">
      <alignment horizontal="center" vertical="top" wrapText="1"/>
    </xf>
    <xf numFmtId="0" fontId="3" fillId="8" borderId="0" xfId="3" applyFont="1" applyFill="1"/>
    <xf numFmtId="0" fontId="2" fillId="2" borderId="0" xfId="3" applyFont="1" applyFill="1"/>
    <xf numFmtId="0" fontId="1" fillId="8" borderId="0" xfId="3" applyFont="1" applyFill="1"/>
    <xf numFmtId="4" fontId="34" fillId="9" borderId="9" xfId="3" applyNumberFormat="1" applyFont="1" applyFill="1" applyBorder="1" applyAlignment="1">
      <alignment horizontal="center" vertical="center" wrapText="1"/>
    </xf>
    <xf numFmtId="4" fontId="34" fillId="8" borderId="9" xfId="3" applyNumberFormat="1" applyFont="1" applyFill="1" applyBorder="1" applyAlignment="1">
      <alignment horizontal="center" vertical="center" wrapText="1"/>
    </xf>
    <xf numFmtId="4" fontId="34" fillId="11" borderId="9" xfId="3" applyNumberFormat="1" applyFont="1" applyFill="1" applyBorder="1" applyAlignment="1">
      <alignment horizontal="center" vertical="center" wrapText="1"/>
    </xf>
    <xf numFmtId="43" fontId="4" fillId="0" borderId="9" xfId="1" applyFont="1" applyBorder="1" applyAlignment="1">
      <alignment horizontal="center" vertical="center"/>
    </xf>
    <xf numFmtId="165" fontId="32" fillId="11" borderId="9" xfId="6" applyNumberFormat="1" applyFont="1" applyFill="1" applyBorder="1" applyAlignment="1">
      <alignment horizontal="center" vertical="center" wrapText="1"/>
    </xf>
    <xf numFmtId="165" fontId="32" fillId="11" borderId="9" xfId="6" applyNumberFormat="1" applyFont="1" applyFill="1" applyBorder="1" applyAlignment="1" applyProtection="1">
      <alignment horizontal="center" vertical="center" wrapText="1"/>
    </xf>
    <xf numFmtId="165" fontId="32" fillId="0" borderId="9" xfId="6" applyNumberFormat="1" applyFont="1" applyFill="1" applyBorder="1" applyAlignment="1">
      <alignment horizontal="center" vertical="center" wrapText="1"/>
    </xf>
    <xf numFmtId="165" fontId="25" fillId="11" borderId="9" xfId="6" applyNumberFormat="1" applyFont="1" applyFill="1" applyBorder="1" applyAlignment="1">
      <alignment horizontal="center" vertical="center" wrapText="1"/>
    </xf>
    <xf numFmtId="165" fontId="24" fillId="0" borderId="9" xfId="6" applyNumberFormat="1" applyFont="1" applyBorder="1" applyAlignment="1">
      <alignment horizontal="center" vertical="center"/>
    </xf>
    <xf numFmtId="165" fontId="16" fillId="11" borderId="9" xfId="6" applyNumberFormat="1" applyFont="1" applyFill="1" applyBorder="1" applyAlignment="1">
      <alignment horizontal="center" vertical="center" wrapText="1"/>
    </xf>
    <xf numFmtId="165" fontId="37" fillId="0" borderId="9" xfId="6" applyNumberFormat="1" applyFont="1" applyBorder="1" applyAlignment="1">
      <alignment horizontal="center" vertical="center"/>
    </xf>
    <xf numFmtId="165" fontId="16" fillId="11" borderId="17" xfId="6" applyNumberFormat="1" applyFont="1" applyFill="1" applyBorder="1" applyAlignment="1">
      <alignment horizontal="center" vertical="center" wrapText="1"/>
    </xf>
    <xf numFmtId="165" fontId="25" fillId="11" borderId="9" xfId="6" applyNumberFormat="1" applyFont="1" applyFill="1" applyBorder="1" applyAlignment="1" applyProtection="1">
      <alignment horizontal="center" vertical="center" wrapText="1"/>
      <protection locked="0"/>
    </xf>
    <xf numFmtId="165" fontId="16" fillId="11" borderId="9" xfId="6" applyNumberFormat="1" applyFont="1" applyFill="1" applyBorder="1" applyAlignment="1" applyProtection="1">
      <alignment horizontal="center" vertical="center" wrapText="1"/>
      <protection locked="0"/>
    </xf>
    <xf numFmtId="165" fontId="25" fillId="11" borderId="9" xfId="6" applyNumberFormat="1" applyFont="1" applyFill="1" applyBorder="1" applyAlignment="1" applyProtection="1">
      <alignment vertical="center" wrapText="1"/>
      <protection locked="0"/>
    </xf>
    <xf numFmtId="165" fontId="31" fillId="11" borderId="20" xfId="6" applyNumberFormat="1" applyFont="1" applyFill="1" applyBorder="1" applyAlignment="1" applyProtection="1">
      <alignment horizontal="center" vertical="center" wrapText="1"/>
      <protection locked="0"/>
    </xf>
    <xf numFmtId="165" fontId="25" fillId="11" borderId="20" xfId="6" applyNumberFormat="1" applyFont="1" applyFill="1" applyBorder="1" applyAlignment="1" applyProtection="1">
      <alignment horizontal="center" vertical="center" wrapText="1"/>
      <protection locked="0"/>
    </xf>
    <xf numFmtId="165" fontId="31" fillId="11" borderId="9" xfId="6" applyNumberFormat="1" applyFont="1" applyFill="1" applyBorder="1" applyAlignment="1" applyProtection="1">
      <alignment horizontal="center" vertical="center" wrapText="1"/>
      <protection locked="0"/>
    </xf>
    <xf numFmtId="165" fontId="25" fillId="11" borderId="20" xfId="6" applyNumberFormat="1" applyFont="1" applyFill="1" applyBorder="1" applyAlignment="1" applyProtection="1">
      <alignment horizontal="center" vertical="top" wrapText="1"/>
      <protection locked="0"/>
    </xf>
    <xf numFmtId="165" fontId="25" fillId="11" borderId="9" xfId="6" applyNumberFormat="1" applyFont="1" applyFill="1" applyBorder="1" applyAlignment="1" applyProtection="1">
      <alignment horizontal="center" vertical="top" wrapText="1"/>
      <protection locked="0"/>
    </xf>
    <xf numFmtId="165" fontId="25" fillId="11" borderId="9" xfId="6" applyNumberFormat="1" applyFont="1" applyFill="1" applyBorder="1" applyAlignment="1" applyProtection="1">
      <alignment vertical="top" wrapText="1"/>
      <protection locked="0"/>
    </xf>
    <xf numFmtId="165" fontId="33" fillId="11" borderId="9" xfId="6" applyNumberFormat="1" applyFont="1" applyFill="1" applyBorder="1" applyAlignment="1" applyProtection="1">
      <alignment vertical="center" wrapText="1"/>
      <protection locked="0"/>
    </xf>
    <xf numFmtId="166" fontId="25" fillId="11" borderId="9" xfId="6" applyNumberFormat="1" applyFont="1" applyFill="1" applyBorder="1" applyAlignment="1" applyProtection="1">
      <alignment horizontal="center" vertical="center" wrapText="1"/>
      <protection locked="0"/>
    </xf>
    <xf numFmtId="165" fontId="24" fillId="0" borderId="9" xfId="6" applyNumberFormat="1" applyFont="1" applyBorder="1" applyAlignment="1" applyProtection="1">
      <alignment horizontal="center"/>
      <protection locked="0"/>
    </xf>
    <xf numFmtId="165" fontId="25" fillId="11" borderId="20" xfId="6" applyNumberFormat="1" applyFont="1" applyFill="1" applyBorder="1" applyAlignment="1" applyProtection="1">
      <alignment vertical="top" wrapText="1"/>
      <protection locked="0"/>
    </xf>
    <xf numFmtId="165" fontId="25" fillId="11" borderId="16" xfId="6" applyNumberFormat="1" applyFont="1" applyFill="1" applyBorder="1" applyAlignment="1" applyProtection="1">
      <alignment vertical="top" wrapText="1"/>
      <protection locked="0"/>
    </xf>
    <xf numFmtId="165" fontId="16" fillId="11" borderId="9" xfId="6" applyNumberFormat="1" applyFont="1" applyFill="1" applyBorder="1" applyAlignment="1" applyProtection="1">
      <alignment vertical="top" wrapText="1"/>
      <protection locked="0"/>
    </xf>
    <xf numFmtId="165" fontId="25" fillId="11" borderId="17" xfId="6" applyNumberFormat="1" applyFont="1" applyFill="1" applyBorder="1" applyAlignment="1" applyProtection="1">
      <alignment horizontal="center" vertical="top" wrapText="1"/>
      <protection locked="0"/>
    </xf>
    <xf numFmtId="165" fontId="16" fillId="9" borderId="9" xfId="6" applyNumberFormat="1" applyFont="1" applyFill="1" applyBorder="1" applyAlignment="1" applyProtection="1">
      <alignment vertical="top" wrapText="1"/>
      <protection locked="0"/>
    </xf>
    <xf numFmtId="165" fontId="16" fillId="8" borderId="9" xfId="6" applyNumberFormat="1" applyFont="1" applyFill="1" applyBorder="1" applyAlignment="1" applyProtection="1">
      <alignment vertical="top" wrapText="1"/>
      <protection locked="0"/>
    </xf>
    <xf numFmtId="165" fontId="16" fillId="9" borderId="9" xfId="6" applyNumberFormat="1" applyFont="1" applyFill="1" applyBorder="1" applyAlignment="1" applyProtection="1">
      <alignment horizontal="center" vertical="center" wrapText="1"/>
      <protection locked="0"/>
    </xf>
    <xf numFmtId="165" fontId="16" fillId="8" borderId="9" xfId="6" applyNumberFormat="1" applyFont="1" applyFill="1" applyBorder="1" applyAlignment="1" applyProtection="1">
      <alignment horizontal="center" vertical="center" wrapText="1"/>
      <protection locked="0"/>
    </xf>
    <xf numFmtId="43" fontId="25" fillId="11" borderId="9" xfId="6" applyFont="1" applyFill="1" applyBorder="1" applyAlignment="1" applyProtection="1">
      <alignment vertical="top" wrapText="1"/>
    </xf>
    <xf numFmtId="0" fontId="0" fillId="0" borderId="0" xfId="0" quotePrefix="1" applyAlignment="1">
      <alignment horizontal="center"/>
    </xf>
    <xf numFmtId="0" fontId="17" fillId="0" borderId="1" xfId="3" applyFont="1" applyBorder="1" applyAlignment="1">
      <alignment horizontal="left" vertical="top" wrapText="1"/>
    </xf>
    <xf numFmtId="0" fontId="17" fillId="0" borderId="2" xfId="3" applyFont="1" applyBorder="1" applyAlignment="1">
      <alignment horizontal="left" vertical="top" wrapText="1"/>
    </xf>
    <xf numFmtId="0" fontId="17" fillId="0" borderId="3" xfId="3" applyFont="1" applyBorder="1" applyAlignment="1">
      <alignment horizontal="left" vertical="top" wrapText="1"/>
    </xf>
    <xf numFmtId="0" fontId="17" fillId="0" borderId="7" xfId="3" applyFont="1" applyBorder="1" applyAlignment="1">
      <alignment horizontal="left" vertical="top" wrapText="1"/>
    </xf>
    <xf numFmtId="0" fontId="17" fillId="0" borderId="0" xfId="3" applyFont="1" applyAlignment="1">
      <alignment horizontal="left" vertical="top" wrapText="1"/>
    </xf>
    <xf numFmtId="0" fontId="17" fillId="0" borderId="8" xfId="3" applyFont="1" applyBorder="1" applyAlignment="1">
      <alignment horizontal="left" vertical="top" wrapText="1"/>
    </xf>
    <xf numFmtId="0" fontId="17" fillId="0" borderId="4" xfId="3" applyFont="1" applyBorder="1" applyAlignment="1">
      <alignment horizontal="left" vertical="top" wrapText="1"/>
    </xf>
    <xf numFmtId="0" fontId="17" fillId="0" borderId="5" xfId="3" applyFont="1" applyBorder="1" applyAlignment="1">
      <alignment horizontal="left" vertical="top" wrapText="1"/>
    </xf>
    <xf numFmtId="0" fontId="17" fillId="0" borderId="6" xfId="3" applyFont="1" applyBorder="1" applyAlignment="1">
      <alignment horizontal="left" vertical="top" wrapText="1"/>
    </xf>
    <xf numFmtId="0" fontId="9" fillId="2" borderId="0" xfId="3" applyFont="1" applyFill="1" applyAlignment="1">
      <alignment horizontal="center" vertical="center" wrapText="1"/>
    </xf>
    <xf numFmtId="0" fontId="10" fillId="3" borderId="0" xfId="3" applyFont="1" applyFill="1" applyAlignment="1">
      <alignment horizontal="center" vertical="center" wrapText="1"/>
    </xf>
    <xf numFmtId="0" fontId="11" fillId="0" borderId="1" xfId="3" applyFont="1" applyBorder="1" applyAlignment="1">
      <alignment horizontal="center" vertical="center" wrapText="1"/>
    </xf>
    <xf numFmtId="0" fontId="11" fillId="0" borderId="2" xfId="3" applyFont="1" applyBorder="1" applyAlignment="1">
      <alignment horizontal="center" vertical="center" wrapText="1"/>
    </xf>
    <xf numFmtId="0" fontId="11" fillId="0" borderId="3" xfId="3" applyFont="1" applyBorder="1" applyAlignment="1">
      <alignment horizontal="center" vertical="center" wrapText="1"/>
    </xf>
    <xf numFmtId="0" fontId="11" fillId="0" borderId="4" xfId="3" applyFont="1" applyBorder="1" applyAlignment="1">
      <alignment horizontal="center" vertical="center" wrapText="1"/>
    </xf>
    <xf numFmtId="0" fontId="11" fillId="0" borderId="5" xfId="3" applyFont="1" applyBorder="1" applyAlignment="1">
      <alignment horizontal="center" vertical="center" wrapText="1"/>
    </xf>
    <xf numFmtId="0" fontId="11" fillId="0" borderId="6" xfId="3" applyFont="1" applyBorder="1" applyAlignment="1">
      <alignment horizontal="center" vertical="center" wrapText="1"/>
    </xf>
    <xf numFmtId="0" fontId="6" fillId="4" borderId="1" xfId="3" applyFont="1" applyFill="1" applyBorder="1" applyAlignment="1">
      <alignment horizontal="center" vertical="center" wrapText="1"/>
    </xf>
    <xf numFmtId="0" fontId="6" fillId="4" borderId="2" xfId="3" applyFont="1" applyFill="1" applyBorder="1" applyAlignment="1">
      <alignment horizontal="center" vertical="center" wrapText="1"/>
    </xf>
    <xf numFmtId="0" fontId="6" fillId="4" borderId="3" xfId="3" applyFont="1" applyFill="1" applyBorder="1" applyAlignment="1">
      <alignment horizontal="center" vertical="center" wrapText="1"/>
    </xf>
    <xf numFmtId="0" fontId="6" fillId="4" borderId="4" xfId="3" applyFont="1" applyFill="1" applyBorder="1" applyAlignment="1">
      <alignment horizontal="center" vertical="center" wrapText="1"/>
    </xf>
    <xf numFmtId="0" fontId="6" fillId="4" borderId="5" xfId="3" applyFont="1" applyFill="1" applyBorder="1" applyAlignment="1">
      <alignment horizontal="center" vertical="center" wrapText="1"/>
    </xf>
    <xf numFmtId="0" fontId="6" fillId="4" borderId="6" xfId="3" applyFont="1" applyFill="1" applyBorder="1" applyAlignment="1">
      <alignment horizontal="center" vertical="center" wrapText="1"/>
    </xf>
    <xf numFmtId="0" fontId="6" fillId="5" borderId="1" xfId="3" applyFont="1" applyFill="1" applyBorder="1" applyAlignment="1">
      <alignment horizontal="center" vertical="center"/>
    </xf>
    <xf numFmtId="0" fontId="6" fillId="5" borderId="2" xfId="3" applyFont="1" applyFill="1" applyBorder="1" applyAlignment="1">
      <alignment horizontal="center" vertical="center"/>
    </xf>
    <xf numFmtId="0" fontId="6" fillId="5" borderId="3" xfId="3" applyFont="1" applyFill="1" applyBorder="1" applyAlignment="1">
      <alignment horizontal="center" vertical="center"/>
    </xf>
    <xf numFmtId="0" fontId="6" fillId="5" borderId="4" xfId="3" applyFont="1" applyFill="1" applyBorder="1" applyAlignment="1">
      <alignment horizontal="center" vertical="center"/>
    </xf>
    <xf numFmtId="0" fontId="6" fillId="5" borderId="5" xfId="3" applyFont="1" applyFill="1" applyBorder="1" applyAlignment="1">
      <alignment horizontal="center" vertical="center"/>
    </xf>
    <xf numFmtId="0" fontId="6" fillId="5" borderId="6" xfId="3" applyFont="1" applyFill="1" applyBorder="1" applyAlignment="1">
      <alignment horizontal="center" vertical="center"/>
    </xf>
    <xf numFmtId="0" fontId="13" fillId="0" borderId="1" xfId="3" applyFont="1" applyBorder="1" applyAlignment="1">
      <alignment horizontal="center" vertical="center" wrapText="1"/>
    </xf>
    <xf numFmtId="0" fontId="13" fillId="0" borderId="2" xfId="3" applyFont="1" applyBorder="1" applyAlignment="1">
      <alignment horizontal="center" vertical="center" wrapText="1"/>
    </xf>
    <xf numFmtId="0" fontId="13" fillId="0" borderId="3" xfId="3" applyFont="1" applyBorder="1" applyAlignment="1">
      <alignment horizontal="center" vertical="center" wrapText="1"/>
    </xf>
    <xf numFmtId="0" fontId="13" fillId="0" borderId="4" xfId="3" applyFont="1" applyBorder="1" applyAlignment="1">
      <alignment horizontal="center" vertical="center" wrapText="1"/>
    </xf>
    <xf numFmtId="0" fontId="13" fillId="0" borderId="5" xfId="3" applyFont="1" applyBorder="1" applyAlignment="1">
      <alignment horizontal="center" vertical="center" wrapText="1"/>
    </xf>
    <xf numFmtId="0" fontId="13" fillId="0" borderId="6" xfId="3" applyFont="1" applyBorder="1" applyAlignment="1">
      <alignment horizontal="center" vertical="center" wrapText="1"/>
    </xf>
    <xf numFmtId="0" fontId="15" fillId="5" borderId="1" xfId="3" applyFont="1" applyFill="1" applyBorder="1" applyAlignment="1">
      <alignment horizontal="center" vertical="center" wrapText="1"/>
    </xf>
    <xf numFmtId="0" fontId="15" fillId="5" borderId="2" xfId="3" applyFont="1" applyFill="1" applyBorder="1" applyAlignment="1">
      <alignment horizontal="center" vertical="center" wrapText="1"/>
    </xf>
    <xf numFmtId="0" fontId="15" fillId="5" borderId="3" xfId="3" applyFont="1" applyFill="1" applyBorder="1" applyAlignment="1">
      <alignment horizontal="center" vertical="center" wrapText="1"/>
    </xf>
    <xf numFmtId="0" fontId="15" fillId="5" borderId="4" xfId="3" applyFont="1" applyFill="1" applyBorder="1" applyAlignment="1">
      <alignment horizontal="center" vertical="center" wrapText="1"/>
    </xf>
    <xf numFmtId="0" fontId="15" fillId="5" borderId="5" xfId="3" applyFont="1" applyFill="1" applyBorder="1" applyAlignment="1">
      <alignment horizontal="center" vertical="center" wrapText="1"/>
    </xf>
    <xf numFmtId="0" fontId="15" fillId="5" borderId="6" xfId="3" applyFont="1" applyFill="1" applyBorder="1" applyAlignment="1">
      <alignment horizontal="center" vertical="center" wrapText="1"/>
    </xf>
    <xf numFmtId="0" fontId="11" fillId="0" borderId="7" xfId="3" applyFont="1" applyBorder="1" applyAlignment="1">
      <alignment horizontal="center" vertical="center" wrapText="1"/>
    </xf>
    <xf numFmtId="0" fontId="11" fillId="0" borderId="0" xfId="3" applyFont="1" applyAlignment="1">
      <alignment horizontal="center" vertical="center" wrapText="1"/>
    </xf>
    <xf numFmtId="0" fontId="4" fillId="12" borderId="0" xfId="3" applyFill="1" applyAlignment="1">
      <alignment horizontal="left" vertical="center" wrapText="1"/>
    </xf>
    <xf numFmtId="0" fontId="15" fillId="7" borderId="9" xfId="3" applyFont="1" applyFill="1" applyBorder="1" applyAlignment="1">
      <alignment horizontal="center" vertical="center" wrapText="1"/>
    </xf>
    <xf numFmtId="0" fontId="24" fillId="12" borderId="5" xfId="3" applyFont="1" applyFill="1" applyBorder="1" applyAlignment="1">
      <alignment horizontal="left" vertical="center" wrapText="1"/>
    </xf>
    <xf numFmtId="0" fontId="33" fillId="11" borderId="9" xfId="3" applyFont="1" applyFill="1" applyBorder="1" applyAlignment="1">
      <alignment vertical="center" wrapText="1"/>
    </xf>
    <xf numFmtId="0" fontId="31" fillId="11" borderId="9" xfId="3" applyFont="1" applyFill="1" applyBorder="1" applyAlignment="1">
      <alignment vertical="center" wrapText="1"/>
    </xf>
    <xf numFmtId="0" fontId="15" fillId="7" borderId="1" xfId="3" applyFont="1" applyFill="1" applyBorder="1" applyAlignment="1">
      <alignment horizontal="center" vertical="center" wrapText="1"/>
    </xf>
    <xf numFmtId="0" fontId="15" fillId="7" borderId="3" xfId="3" applyFont="1" applyFill="1" applyBorder="1" applyAlignment="1">
      <alignment horizontal="center" vertical="center" wrapText="1"/>
    </xf>
    <xf numFmtId="0" fontId="15" fillId="7" borderId="4" xfId="3" applyFont="1" applyFill="1" applyBorder="1" applyAlignment="1">
      <alignment horizontal="center" vertical="center" wrapText="1"/>
    </xf>
    <xf numFmtId="0" fontId="15" fillId="7" borderId="6" xfId="3" applyFont="1" applyFill="1" applyBorder="1" applyAlignment="1">
      <alignment horizontal="center" vertical="center" wrapText="1"/>
    </xf>
    <xf numFmtId="0" fontId="15" fillId="7" borderId="17" xfId="3" applyFont="1" applyFill="1" applyBorder="1" applyAlignment="1">
      <alignment horizontal="center" vertical="center" wrapText="1"/>
    </xf>
    <xf numFmtId="0" fontId="15" fillId="7" borderId="20" xfId="3" applyFont="1" applyFill="1" applyBorder="1" applyAlignment="1">
      <alignment horizontal="center" vertical="center" wrapText="1"/>
    </xf>
    <xf numFmtId="0" fontId="15" fillId="7" borderId="16" xfId="3" applyFont="1" applyFill="1" applyBorder="1" applyAlignment="1">
      <alignment horizontal="center" vertical="center" wrapText="1"/>
    </xf>
    <xf numFmtId="0" fontId="15" fillId="7" borderId="21" xfId="3" applyFont="1" applyFill="1" applyBorder="1" applyAlignment="1">
      <alignment horizontal="center" vertical="center" wrapText="1"/>
    </xf>
    <xf numFmtId="0" fontId="15" fillId="7" borderId="18" xfId="3" applyFont="1" applyFill="1" applyBorder="1" applyAlignment="1">
      <alignment horizontal="center" vertical="center" wrapText="1"/>
    </xf>
    <xf numFmtId="0" fontId="33" fillId="11" borderId="9" xfId="3" applyFont="1" applyFill="1" applyBorder="1" applyAlignment="1">
      <alignment horizontal="center" vertical="center" wrapText="1"/>
    </xf>
    <xf numFmtId="0" fontId="31" fillId="11" borderId="9" xfId="3" applyFont="1" applyFill="1" applyBorder="1" applyAlignment="1">
      <alignment horizontal="left" vertical="center" wrapText="1"/>
    </xf>
    <xf numFmtId="0" fontId="7" fillId="8" borderId="7" xfId="3" applyFont="1" applyFill="1" applyBorder="1" applyAlignment="1">
      <alignment horizontal="left" vertical="center"/>
    </xf>
    <xf numFmtId="0" fontId="7" fillId="8" borderId="0" xfId="3" applyFont="1" applyFill="1" applyAlignment="1">
      <alignment horizontal="left" vertical="center"/>
    </xf>
    <xf numFmtId="0" fontId="7" fillId="8" borderId="7" xfId="3" applyFont="1" applyFill="1" applyBorder="1" applyAlignment="1">
      <alignment horizontal="left" vertical="center" wrapText="1"/>
    </xf>
    <xf numFmtId="0" fontId="7" fillId="8" borderId="0" xfId="3" applyFont="1" applyFill="1" applyAlignment="1">
      <alignment horizontal="left" vertical="center" wrapText="1"/>
    </xf>
    <xf numFmtId="0" fontId="4" fillId="8" borderId="7" xfId="3" applyFill="1" applyBorder="1" applyAlignment="1">
      <alignment horizontal="left" vertical="center"/>
    </xf>
    <xf numFmtId="0" fontId="4" fillId="8" borderId="0" xfId="3" applyFill="1" applyAlignment="1">
      <alignment horizontal="left" vertical="center"/>
    </xf>
    <xf numFmtId="0" fontId="4" fillId="8" borderId="7" xfId="3" applyFill="1" applyBorder="1" applyAlignment="1">
      <alignment horizontal="left" vertical="center" wrapText="1"/>
    </xf>
    <xf numFmtId="0" fontId="4" fillId="8" borderId="0" xfId="3" applyFill="1" applyAlignment="1">
      <alignment horizontal="left" vertical="center" wrapText="1"/>
    </xf>
    <xf numFmtId="0" fontId="33" fillId="11" borderId="9" xfId="3" applyFont="1" applyFill="1" applyBorder="1" applyAlignment="1">
      <alignment horizontal="left" vertical="center" wrapText="1"/>
    </xf>
    <xf numFmtId="0" fontId="38" fillId="11" borderId="9" xfId="5" applyFont="1" applyFill="1" applyBorder="1" applyAlignment="1">
      <alignment horizontal="left" vertical="center" wrapText="1"/>
    </xf>
    <xf numFmtId="0" fontId="4" fillId="12" borderId="0" xfId="3" applyFill="1" applyAlignment="1">
      <alignment vertical="center" wrapText="1"/>
    </xf>
    <xf numFmtId="0" fontId="4" fillId="8" borderId="7" xfId="3" applyFill="1" applyBorder="1" applyAlignment="1">
      <alignment vertical="center"/>
    </xf>
    <xf numFmtId="0" fontId="4" fillId="8" borderId="0" xfId="3" applyFill="1" applyAlignment="1">
      <alignment vertical="center"/>
    </xf>
    <xf numFmtId="0" fontId="15" fillId="7" borderId="2" xfId="3" applyFont="1" applyFill="1" applyBorder="1" applyAlignment="1">
      <alignment horizontal="center" vertical="center" wrapText="1"/>
    </xf>
    <xf numFmtId="0" fontId="15" fillId="7" borderId="5" xfId="3" applyFont="1" applyFill="1" applyBorder="1" applyAlignment="1">
      <alignment horizontal="center" vertical="center" wrapText="1"/>
    </xf>
    <xf numFmtId="0" fontId="7" fillId="8" borderId="7" xfId="3" applyFont="1" applyFill="1" applyBorder="1" applyAlignment="1">
      <alignment vertical="center" wrapText="1"/>
    </xf>
    <xf numFmtId="0" fontId="7" fillId="8" borderId="0" xfId="3" applyFont="1" applyFill="1" applyAlignment="1">
      <alignment vertical="center" wrapText="1"/>
    </xf>
    <xf numFmtId="0" fontId="4" fillId="8" borderId="7" xfId="3" applyFill="1" applyBorder="1" applyAlignment="1">
      <alignment vertical="center" wrapText="1"/>
    </xf>
    <xf numFmtId="0" fontId="4" fillId="8" borderId="0" xfId="3" applyFill="1" applyAlignment="1">
      <alignment vertical="center" wrapText="1"/>
    </xf>
    <xf numFmtId="0" fontId="4" fillId="11" borderId="0" xfId="3" applyFill="1" applyAlignment="1">
      <alignment vertical="center" wrapText="1"/>
    </xf>
    <xf numFmtId="0" fontId="40" fillId="12" borderId="0" xfId="3" applyFont="1" applyFill="1" applyAlignment="1">
      <alignment horizontal="left" wrapText="1"/>
    </xf>
    <xf numFmtId="0" fontId="7" fillId="8" borderId="7" xfId="3" applyFont="1" applyFill="1" applyBorder="1" applyAlignment="1">
      <alignment horizontal="left"/>
    </xf>
    <xf numFmtId="0" fontId="7" fillId="8" borderId="0" xfId="3" applyFont="1" applyFill="1" applyAlignment="1">
      <alignment horizontal="left"/>
    </xf>
    <xf numFmtId="0" fontId="4" fillId="8" borderId="7" xfId="3" applyFill="1" applyBorder="1" applyAlignment="1">
      <alignment horizontal="left"/>
    </xf>
    <xf numFmtId="0" fontId="4" fillId="8" borderId="0" xfId="3" applyFill="1" applyAlignment="1">
      <alignment horizontal="left"/>
    </xf>
    <xf numFmtId="0" fontId="32" fillId="12" borderId="0" xfId="3" applyFont="1" applyFill="1" applyAlignment="1">
      <alignment vertical="center"/>
    </xf>
    <xf numFmtId="0" fontId="7" fillId="8" borderId="7" xfId="3" applyFont="1" applyFill="1" applyBorder="1"/>
    <xf numFmtId="0" fontId="7" fillId="8" borderId="0" xfId="3" applyFont="1" applyFill="1"/>
    <xf numFmtId="0" fontId="4" fillId="8" borderId="7" xfId="3" applyFill="1" applyBorder="1"/>
    <xf numFmtId="0" fontId="4" fillId="8" borderId="0" xfId="3" applyFill="1"/>
    <xf numFmtId="0" fontId="4" fillId="12" borderId="0" xfId="3" applyFill="1" applyAlignment="1">
      <alignment horizontal="left" vertical="top" wrapText="1"/>
    </xf>
    <xf numFmtId="0" fontId="25" fillId="11" borderId="9" xfId="3" applyFont="1" applyFill="1" applyBorder="1" applyAlignment="1">
      <alignment vertical="center" wrapText="1"/>
    </xf>
    <xf numFmtId="0" fontId="16" fillId="11" borderId="9" xfId="3" applyFont="1" applyFill="1" applyBorder="1" applyAlignment="1">
      <alignment vertical="center" wrapText="1"/>
    </xf>
    <xf numFmtId="0" fontId="43" fillId="11" borderId="9" xfId="3" applyFont="1" applyFill="1" applyBorder="1" applyAlignment="1">
      <alignment vertical="center" wrapText="1"/>
    </xf>
    <xf numFmtId="0" fontId="25" fillId="11" borderId="9" xfId="5" applyFont="1" applyFill="1" applyBorder="1" applyAlignment="1">
      <alignment horizontal="left" vertical="center" wrapText="1"/>
    </xf>
    <xf numFmtId="0" fontId="39" fillId="11" borderId="9" xfId="5" applyFont="1" applyFill="1" applyBorder="1" applyAlignment="1">
      <alignment vertical="center" wrapText="1"/>
    </xf>
    <xf numFmtId="0" fontId="7" fillId="8" borderId="7" xfId="3" applyFont="1" applyFill="1" applyBorder="1" applyAlignment="1">
      <alignment vertical="center"/>
    </xf>
    <xf numFmtId="0" fontId="7" fillId="8" borderId="0" xfId="3" applyFont="1" applyFill="1" applyAlignment="1">
      <alignment vertical="center"/>
    </xf>
  </cellXfs>
  <cellStyles count="8">
    <cellStyle name="Гиперссылка" xfId="4" builtinId="8"/>
    <cellStyle name="Гиперссылка 2" xfId="5" xr:uid="{736992C7-8139-439F-8AAA-7FE5C5C129F4}"/>
    <cellStyle name="Обычный" xfId="0" builtinId="0"/>
    <cellStyle name="Обычный 2" xfId="3" xr:uid="{2BAB4158-0527-4605-9DCC-849FDF80853D}"/>
    <cellStyle name="Процентный" xfId="2" builtinId="5"/>
    <cellStyle name="Процентный 2" xfId="7" xr:uid="{4835088E-2BB2-4F42-8C7F-04DEBCF45009}"/>
    <cellStyle name="Финансовый" xfId="1" builtinId="3"/>
    <cellStyle name="Финансовый 2" xfId="6" xr:uid="{8BB877D7-1B5F-4340-978B-7C677E8EADF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19</xdr:row>
          <xdr:rowOff>95250</xdr:rowOff>
        </xdr:from>
        <xdr:to>
          <xdr:col>7</xdr:col>
          <xdr:colOff>571500</xdr:colOff>
          <xdr:row>21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80"/>
                  </a:solidFill>
                  <a:latin typeface="Times New Roman"/>
                  <a:cs typeface="Times New Roman"/>
                </a:rPr>
                <a:t>Русский язык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127000</xdr:rowOff>
        </xdr:from>
        <xdr:to>
          <xdr:col>7</xdr:col>
          <xdr:colOff>565150</xdr:colOff>
          <xdr:row>19</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80"/>
                  </a:solidFill>
                  <a:latin typeface="Times New Roman"/>
                  <a:cs typeface="Times New Roman"/>
                </a:rPr>
                <a:t>Ўзбек тили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76200</xdr:rowOff>
        </xdr:from>
        <xdr:to>
          <xdr:col>7</xdr:col>
          <xdr:colOff>565150</xdr:colOff>
          <xdr:row>22</xdr:row>
          <xdr:rowOff>152400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80"/>
                  </a:solidFill>
                  <a:latin typeface="Times New Roman"/>
                  <a:cs typeface="Times New Roman"/>
                </a:rPr>
                <a:t>Янгилаш / Обновление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13</xdr:row>
          <xdr:rowOff>171450</xdr:rowOff>
        </xdr:from>
        <xdr:to>
          <xdr:col>11</xdr:col>
          <xdr:colOff>57150</xdr:colOff>
          <xdr:row>16</xdr:row>
          <xdr:rowOff>31750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80"/>
                  </a:solidFill>
                  <a:latin typeface="Times New Roman"/>
                  <a:cs typeface="Times New Roman"/>
                </a:rPr>
                <a:t>Файлни сақлаш/</a:t>
              </a:r>
            </a:p>
            <a:p>
              <a:pPr algn="ctr" rtl="0">
                <a:defRPr sz="1000"/>
              </a:pPr>
              <a:r>
                <a:rPr lang="en-US" sz="1200" b="0" i="0" u="none" strike="noStrike" baseline="0">
                  <a:solidFill>
                    <a:srgbClr val="000080"/>
                  </a:solidFill>
                  <a:latin typeface="Times New Roman"/>
                  <a:cs typeface="Times New Roman"/>
                </a:rPr>
                <a:t>Сохранить файл</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171450</xdr:colOff>
          <xdr:row>2</xdr:row>
          <xdr:rowOff>19050</xdr:rowOff>
        </xdr:from>
        <xdr:to>
          <xdr:col>5</xdr:col>
          <xdr:colOff>2057400</xdr:colOff>
          <xdr:row>3</xdr:row>
          <xdr:rowOff>260350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Times New Roman"/>
                  <a:cs typeface="Times New Roman"/>
                </a:rPr>
                <a:t>Қўшимча қатор қўшиш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1257300</xdr:colOff>
          <xdr:row>2</xdr:row>
          <xdr:rowOff>12700</xdr:rowOff>
        </xdr:from>
        <xdr:to>
          <xdr:col>7</xdr:col>
          <xdr:colOff>971550</xdr:colOff>
          <xdr:row>3</xdr:row>
          <xdr:rowOff>171450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Times New Roman"/>
                  <a:cs typeface="Times New Roman"/>
                </a:rPr>
                <a:t>Қўшимча қатор қўшиш</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552450</xdr:colOff>
          <xdr:row>3</xdr:row>
          <xdr:rowOff>12700</xdr:rowOff>
        </xdr:from>
        <xdr:to>
          <xdr:col>7</xdr:col>
          <xdr:colOff>1962150</xdr:colOff>
          <xdr:row>3</xdr:row>
          <xdr:rowOff>355600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Times New Roman"/>
                  <a:cs typeface="Times New Roman"/>
                </a:rPr>
                <a:t>Қўшимча қатор қўшиш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1651000</xdr:colOff>
          <xdr:row>2</xdr:row>
          <xdr:rowOff>76200</xdr:rowOff>
        </xdr:from>
        <xdr:to>
          <xdr:col>5</xdr:col>
          <xdr:colOff>1828800</xdr:colOff>
          <xdr:row>3</xdr:row>
          <xdr:rowOff>304800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1A00-000001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Times New Roman"/>
                  <a:cs typeface="Times New Roman"/>
                </a:rPr>
                <a:t>Добавить строку</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133350</xdr:colOff>
          <xdr:row>1</xdr:row>
          <xdr:rowOff>127000</xdr:rowOff>
        </xdr:from>
        <xdr:to>
          <xdr:col>7</xdr:col>
          <xdr:colOff>1250950</xdr:colOff>
          <xdr:row>3</xdr:row>
          <xdr:rowOff>165100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B00-000001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Times New Roman"/>
                  <a:cs typeface="Times New Roman"/>
                </a:rPr>
                <a:t>Добавить строку</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114300</xdr:colOff>
          <xdr:row>1</xdr:row>
          <xdr:rowOff>76200</xdr:rowOff>
        </xdr:from>
        <xdr:to>
          <xdr:col>7</xdr:col>
          <xdr:colOff>1517650</xdr:colOff>
          <xdr:row>3</xdr:row>
          <xdr:rowOff>127000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C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Times New Roman"/>
                  <a:cs typeface="Times New Roman"/>
                </a:rPr>
                <a:t>Добавить строку</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javascript:scrollText(2124481)" TargetMode="External"/><Relationship Id="rId1" Type="http://schemas.openxmlformats.org/officeDocument/2006/relationships/hyperlink" Target="javascript:scrollText(2124481)"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hyperlink" Target="javascript:scrollText(1354300)" TargetMode="Externa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5.bin"/><Relationship Id="rId4" Type="http://schemas.openxmlformats.org/officeDocument/2006/relationships/ctrlProp" Target="../ctrlProps/ctrlProp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6.bin"/><Relationship Id="rId4" Type="http://schemas.openxmlformats.org/officeDocument/2006/relationships/ctrlProp" Target="../ctrlProps/ctrlProp9.xm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27.bin"/><Relationship Id="rId1" Type="http://schemas.openxmlformats.org/officeDocument/2006/relationships/hyperlink" Target="javascript:scrollText(1354486)" TargetMode="External"/><Relationship Id="rId5" Type="http://schemas.openxmlformats.org/officeDocument/2006/relationships/ctrlProp" Target="../ctrlProps/ctrlProp10.xml"/><Relationship Id="rId4" Type="http://schemas.openxmlformats.org/officeDocument/2006/relationships/vmlDrawing" Target="../drawings/vmlDrawing7.v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hyperlink" Target="javascript:scrollText(2127290)" TargetMode="External"/><Relationship Id="rId1" Type="http://schemas.openxmlformats.org/officeDocument/2006/relationships/hyperlink" Target="javascript:scrollText(2127290)"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L52"/>
  <sheetViews>
    <sheetView workbookViewId="0">
      <selection activeCell="L21" sqref="L21"/>
    </sheetView>
  </sheetViews>
  <sheetFormatPr defaultColWidth="0" defaultRowHeight="14.5" zeroHeight="1" x14ac:dyDescent="0.35"/>
  <cols>
    <col min="1" max="2" width="9.1796875" customWidth="1"/>
    <col min="3" max="5" width="12.26953125" customWidth="1"/>
    <col min="6" max="12" width="9.1796875" customWidth="1"/>
    <col min="13" max="16384" width="9.1796875" hidden="1"/>
  </cols>
  <sheetData>
    <row r="1" spans="1:12" ht="27" customHeight="1" x14ac:dyDescent="0.35">
      <c r="A1" s="220" t="s">
        <v>1286</v>
      </c>
      <c r="B1" s="220"/>
      <c r="C1" s="220"/>
      <c r="D1" s="220"/>
      <c r="E1" s="220"/>
      <c r="F1" s="220"/>
      <c r="G1" s="220"/>
      <c r="H1" s="220"/>
      <c r="I1" s="220"/>
      <c r="J1" s="220"/>
      <c r="K1" s="220"/>
      <c r="L1" s="220"/>
    </row>
    <row r="2" spans="1:12" ht="27" customHeight="1" x14ac:dyDescent="0.35">
      <c r="A2" s="220"/>
      <c r="B2" s="220"/>
      <c r="C2" s="220"/>
      <c r="D2" s="220"/>
      <c r="E2" s="220"/>
      <c r="F2" s="220"/>
      <c r="G2" s="220"/>
      <c r="H2" s="220"/>
      <c r="I2" s="220"/>
      <c r="J2" s="220"/>
      <c r="K2" s="220"/>
      <c r="L2" s="220"/>
    </row>
    <row r="3" spans="1:12" x14ac:dyDescent="0.35">
      <c r="A3" s="1"/>
      <c r="B3" s="1"/>
      <c r="C3" s="1"/>
      <c r="D3" s="1"/>
      <c r="E3" s="1"/>
      <c r="F3" s="1"/>
      <c r="G3" s="1"/>
      <c r="H3" s="1"/>
      <c r="I3" s="1"/>
      <c r="J3" s="1"/>
      <c r="K3" s="1"/>
      <c r="L3" s="1"/>
    </row>
    <row r="4" spans="1:12" ht="17.5" x14ac:dyDescent="0.35">
      <c r="A4" s="221" t="s">
        <v>0</v>
      </c>
      <c r="B4" s="221"/>
      <c r="C4" s="221"/>
      <c r="D4" s="221"/>
      <c r="E4" s="221"/>
      <c r="F4" s="221"/>
      <c r="G4" s="221"/>
      <c r="H4" s="221"/>
      <c r="I4" s="221"/>
      <c r="J4" s="221"/>
      <c r="K4" s="221"/>
      <c r="L4" s="221"/>
    </row>
    <row r="5" spans="1:12" x14ac:dyDescent="0.35">
      <c r="A5" s="1"/>
      <c r="B5" s="1"/>
      <c r="C5" s="1"/>
      <c r="D5" s="1"/>
      <c r="E5" s="1"/>
      <c r="F5" s="1"/>
      <c r="G5" s="1"/>
      <c r="H5" s="1"/>
      <c r="I5" s="1"/>
      <c r="J5" s="1"/>
      <c r="K5" s="1"/>
      <c r="L5" s="1"/>
    </row>
    <row r="6" spans="1:12" x14ac:dyDescent="0.35">
      <c r="A6" s="1"/>
      <c r="B6" s="1"/>
      <c r="C6" s="222" t="s">
        <v>1</v>
      </c>
      <c r="D6" s="223"/>
      <c r="E6" s="224"/>
      <c r="F6" s="228" t="s">
        <v>2</v>
      </c>
      <c r="G6" s="229"/>
      <c r="H6" s="230"/>
      <c r="I6" s="1"/>
      <c r="J6" s="1"/>
      <c r="K6" s="1"/>
      <c r="L6" s="1"/>
    </row>
    <row r="7" spans="1:12" x14ac:dyDescent="0.35">
      <c r="A7" s="1"/>
      <c r="B7" s="1"/>
      <c r="C7" s="225"/>
      <c r="D7" s="226"/>
      <c r="E7" s="227"/>
      <c r="F7" s="231"/>
      <c r="G7" s="232"/>
      <c r="H7" s="233"/>
      <c r="I7" s="1"/>
      <c r="J7" s="1"/>
      <c r="K7" s="1"/>
      <c r="L7" s="1"/>
    </row>
    <row r="8" spans="1:12" ht="15" x14ac:dyDescent="0.35">
      <c r="A8" s="1"/>
      <c r="B8" s="1"/>
      <c r="C8" s="2"/>
      <c r="D8" s="2"/>
      <c r="E8" s="2"/>
      <c r="F8" s="2"/>
      <c r="G8" s="2"/>
      <c r="H8" s="2"/>
      <c r="I8" s="1"/>
      <c r="J8" s="1"/>
      <c r="K8" s="1"/>
      <c r="L8" s="1"/>
    </row>
    <row r="9" spans="1:12" ht="15" x14ac:dyDescent="0.35">
      <c r="A9" s="1"/>
      <c r="B9" s="1"/>
      <c r="C9" s="222" t="s">
        <v>3</v>
      </c>
      <c r="D9" s="223"/>
      <c r="E9" s="224"/>
      <c r="F9" s="234">
        <v>2025</v>
      </c>
      <c r="G9" s="235"/>
      <c r="H9" s="236"/>
      <c r="I9" s="2"/>
      <c r="J9" s="1"/>
      <c r="K9" s="175"/>
      <c r="L9" s="1"/>
    </row>
    <row r="10" spans="1:12" x14ac:dyDescent="0.35">
      <c r="A10" s="1"/>
      <c r="B10" s="1"/>
      <c r="C10" s="225"/>
      <c r="D10" s="226"/>
      <c r="E10" s="227"/>
      <c r="F10" s="237"/>
      <c r="G10" s="238"/>
      <c r="H10" s="239"/>
      <c r="I10" s="1"/>
      <c r="J10" s="1"/>
      <c r="K10" s="1"/>
      <c r="L10" s="1"/>
    </row>
    <row r="11" spans="1:12" ht="15" x14ac:dyDescent="0.35">
      <c r="A11" s="1"/>
      <c r="B11" s="1"/>
      <c r="C11" s="2"/>
      <c r="D11" s="2"/>
      <c r="E11" s="2"/>
      <c r="F11" s="2"/>
      <c r="G11" s="2"/>
      <c r="H11" s="2"/>
      <c r="I11" s="1"/>
      <c r="J11" s="1"/>
      <c r="K11" s="1"/>
      <c r="L11" s="1"/>
    </row>
    <row r="12" spans="1:12" x14ac:dyDescent="0.35">
      <c r="A12" s="1"/>
      <c r="B12" s="1"/>
      <c r="C12" s="222" t="s">
        <v>4</v>
      </c>
      <c r="D12" s="223"/>
      <c r="E12" s="224"/>
      <c r="F12" s="234" t="s">
        <v>1298</v>
      </c>
      <c r="G12" s="235"/>
      <c r="H12" s="236"/>
      <c r="I12" s="1"/>
      <c r="J12" s="1"/>
      <c r="K12" s="1"/>
      <c r="L12" s="1"/>
    </row>
    <row r="13" spans="1:12" x14ac:dyDescent="0.35">
      <c r="A13" s="1"/>
      <c r="B13" s="1"/>
      <c r="C13" s="225"/>
      <c r="D13" s="226"/>
      <c r="E13" s="227"/>
      <c r="F13" s="237"/>
      <c r="G13" s="238"/>
      <c r="H13" s="239"/>
      <c r="I13" s="1"/>
      <c r="J13" s="1"/>
      <c r="K13" s="1"/>
      <c r="L13" s="1"/>
    </row>
    <row r="14" spans="1:12" ht="15" x14ac:dyDescent="0.35">
      <c r="A14" s="1"/>
      <c r="B14" s="1"/>
      <c r="C14" s="2"/>
      <c r="D14" s="2"/>
      <c r="E14" s="2"/>
      <c r="F14" s="2"/>
      <c r="G14" s="2"/>
      <c r="H14" s="2"/>
      <c r="I14" s="1"/>
      <c r="J14" s="1"/>
      <c r="K14" s="1"/>
      <c r="L14" s="1"/>
    </row>
    <row r="15" spans="1:12" x14ac:dyDescent="0.35">
      <c r="A15" s="1"/>
      <c r="B15" s="1"/>
      <c r="C15" s="240" t="s">
        <v>5</v>
      </c>
      <c r="D15" s="241"/>
      <c r="E15" s="242"/>
      <c r="F15" s="246" t="str">
        <f>IFERROR(VLOOKUP(F6,'Список компаний'!A:B,2,FALSE)&amp;"_"&amp;VLOOKUP(F12,'Список компаний'!E:F,2,FALSE)&amp;"_"&amp;F9,"ERROR")</f>
        <v>_03_2025</v>
      </c>
      <c r="G15" s="247"/>
      <c r="H15" s="248"/>
      <c r="I15" s="1"/>
      <c r="J15" s="1"/>
      <c r="K15" s="1"/>
      <c r="L15" s="1"/>
    </row>
    <row r="16" spans="1:12" ht="15" x14ac:dyDescent="0.35">
      <c r="A16" s="1"/>
      <c r="B16" s="1"/>
      <c r="C16" s="243"/>
      <c r="D16" s="244"/>
      <c r="E16" s="245"/>
      <c r="F16" s="249"/>
      <c r="G16" s="250"/>
      <c r="H16" s="251"/>
      <c r="I16" s="2"/>
      <c r="J16" s="2"/>
      <c r="K16" s="1"/>
      <c r="L16" s="1"/>
    </row>
    <row r="17" spans="1:12" x14ac:dyDescent="0.35">
      <c r="A17" s="1"/>
      <c r="B17" s="1"/>
      <c r="C17" s="1"/>
      <c r="D17" s="1"/>
      <c r="E17" s="1"/>
      <c r="F17" s="1"/>
      <c r="G17" s="1"/>
      <c r="H17" s="1"/>
      <c r="I17" s="1"/>
      <c r="J17" s="1"/>
      <c r="K17" s="1"/>
      <c r="L17" s="1"/>
    </row>
    <row r="18" spans="1:12" x14ac:dyDescent="0.35">
      <c r="A18" s="1"/>
      <c r="B18" s="1"/>
      <c r="C18" s="222" t="s">
        <v>6</v>
      </c>
      <c r="D18" s="223"/>
      <c r="E18" s="223"/>
      <c r="F18" s="3"/>
      <c r="G18" s="3"/>
      <c r="H18" s="4"/>
      <c r="I18" s="1"/>
      <c r="J18" s="1"/>
      <c r="K18" s="1"/>
      <c r="L18" s="1"/>
    </row>
    <row r="19" spans="1:12" x14ac:dyDescent="0.35">
      <c r="A19" s="1"/>
      <c r="B19" s="1"/>
      <c r="C19" s="252"/>
      <c r="D19" s="253"/>
      <c r="E19" s="253"/>
      <c r="F19" s="5"/>
      <c r="G19" s="5"/>
      <c r="H19" s="6"/>
      <c r="I19" s="1"/>
      <c r="J19" s="1"/>
      <c r="K19" s="1"/>
      <c r="L19" s="1"/>
    </row>
    <row r="20" spans="1:12" x14ac:dyDescent="0.35">
      <c r="A20" s="1"/>
      <c r="B20" s="1"/>
      <c r="C20" s="252"/>
      <c r="D20" s="253"/>
      <c r="E20" s="253"/>
      <c r="F20" s="5"/>
      <c r="G20" s="5"/>
      <c r="H20" s="6"/>
      <c r="I20" s="1"/>
      <c r="J20" s="1"/>
      <c r="K20" s="1"/>
      <c r="L20" s="1"/>
    </row>
    <row r="21" spans="1:12" ht="15" x14ac:dyDescent="0.35">
      <c r="A21" s="1"/>
      <c r="B21" s="1"/>
      <c r="C21" s="252"/>
      <c r="D21" s="253"/>
      <c r="E21" s="253"/>
      <c r="F21" s="7"/>
      <c r="G21" s="7"/>
      <c r="H21" s="6"/>
      <c r="I21" s="1"/>
      <c r="J21" s="1"/>
      <c r="K21" s="1"/>
      <c r="L21" s="1"/>
    </row>
    <row r="22" spans="1:12" x14ac:dyDescent="0.35">
      <c r="A22" s="1"/>
      <c r="B22" s="1"/>
      <c r="C22" s="252"/>
      <c r="D22" s="253"/>
      <c r="E22" s="253"/>
      <c r="F22" s="5"/>
      <c r="G22" s="5"/>
      <c r="H22" s="6"/>
      <c r="I22" s="1"/>
      <c r="J22" s="1"/>
      <c r="K22" s="1"/>
      <c r="L22" s="1"/>
    </row>
    <row r="23" spans="1:12" x14ac:dyDescent="0.35">
      <c r="A23" s="1"/>
      <c r="B23" s="1"/>
      <c r="C23" s="225"/>
      <c r="D23" s="226"/>
      <c r="E23" s="226"/>
      <c r="F23" s="8"/>
      <c r="G23" s="8"/>
      <c r="H23" s="9"/>
      <c r="I23" s="1"/>
      <c r="J23" s="1"/>
      <c r="K23" s="1"/>
      <c r="L23" s="1"/>
    </row>
    <row r="24" spans="1:12" x14ac:dyDescent="0.35">
      <c r="A24" s="1"/>
      <c r="B24" s="1"/>
      <c r="C24" s="1"/>
      <c r="D24" s="1"/>
      <c r="E24" s="1"/>
      <c r="F24" s="1"/>
      <c r="G24" s="1"/>
      <c r="H24" s="1"/>
      <c r="I24" s="1"/>
      <c r="J24" s="1"/>
      <c r="K24" s="1"/>
      <c r="L24" s="1"/>
    </row>
    <row r="25" spans="1:12" x14ac:dyDescent="0.35">
      <c r="A25" s="1"/>
      <c r="B25" s="1"/>
      <c r="C25" s="1"/>
      <c r="D25" s="1"/>
      <c r="E25" s="1"/>
      <c r="F25" s="1"/>
      <c r="G25" s="1"/>
      <c r="H25" s="1"/>
      <c r="I25" s="1"/>
      <c r="J25" s="1"/>
      <c r="K25" s="1"/>
      <c r="L25" s="1"/>
    </row>
    <row r="26" spans="1:12" ht="15" customHeight="1" x14ac:dyDescent="0.35">
      <c r="A26" s="1"/>
      <c r="B26" s="211" t="s">
        <v>1301</v>
      </c>
      <c r="C26" s="212"/>
      <c r="D26" s="212"/>
      <c r="E26" s="212"/>
      <c r="F26" s="212"/>
      <c r="G26" s="212"/>
      <c r="H26" s="212"/>
      <c r="I26" s="212"/>
      <c r="J26" s="212"/>
      <c r="K26" s="213"/>
      <c r="L26" s="1"/>
    </row>
    <row r="27" spans="1:12" x14ac:dyDescent="0.35">
      <c r="A27" s="1"/>
      <c r="B27" s="214"/>
      <c r="C27" s="215"/>
      <c r="D27" s="215"/>
      <c r="E27" s="215"/>
      <c r="F27" s="215"/>
      <c r="G27" s="215"/>
      <c r="H27" s="215"/>
      <c r="I27" s="215"/>
      <c r="J27" s="215"/>
      <c r="K27" s="216"/>
      <c r="L27" s="1"/>
    </row>
    <row r="28" spans="1:12" x14ac:dyDescent="0.35">
      <c r="A28" s="1"/>
      <c r="B28" s="214"/>
      <c r="C28" s="215"/>
      <c r="D28" s="215"/>
      <c r="E28" s="215"/>
      <c r="F28" s="215"/>
      <c r="G28" s="215"/>
      <c r="H28" s="215"/>
      <c r="I28" s="215"/>
      <c r="J28" s="215"/>
      <c r="K28" s="216"/>
      <c r="L28" s="1"/>
    </row>
    <row r="29" spans="1:12" x14ac:dyDescent="0.35">
      <c r="A29" s="1"/>
      <c r="B29" s="214"/>
      <c r="C29" s="215"/>
      <c r="D29" s="215"/>
      <c r="E29" s="215"/>
      <c r="F29" s="215"/>
      <c r="G29" s="215"/>
      <c r="H29" s="215"/>
      <c r="I29" s="215"/>
      <c r="J29" s="215"/>
      <c r="K29" s="216"/>
      <c r="L29" s="1"/>
    </row>
    <row r="30" spans="1:12" x14ac:dyDescent="0.35">
      <c r="A30" s="1"/>
      <c r="B30" s="214"/>
      <c r="C30" s="215"/>
      <c r="D30" s="215"/>
      <c r="E30" s="215"/>
      <c r="F30" s="215"/>
      <c r="G30" s="215"/>
      <c r="H30" s="215"/>
      <c r="I30" s="215"/>
      <c r="J30" s="215"/>
      <c r="K30" s="216"/>
      <c r="L30" s="1"/>
    </row>
    <row r="31" spans="1:12" x14ac:dyDescent="0.35">
      <c r="A31" s="1"/>
      <c r="B31" s="214"/>
      <c r="C31" s="215"/>
      <c r="D31" s="215"/>
      <c r="E31" s="215"/>
      <c r="F31" s="215"/>
      <c r="G31" s="215"/>
      <c r="H31" s="215"/>
      <c r="I31" s="215"/>
      <c r="J31" s="215"/>
      <c r="K31" s="216"/>
      <c r="L31" s="1"/>
    </row>
    <row r="32" spans="1:12" x14ac:dyDescent="0.35">
      <c r="A32" s="1"/>
      <c r="B32" s="214"/>
      <c r="C32" s="215"/>
      <c r="D32" s="215"/>
      <c r="E32" s="215"/>
      <c r="F32" s="215"/>
      <c r="G32" s="215"/>
      <c r="H32" s="215"/>
      <c r="I32" s="215"/>
      <c r="J32" s="215"/>
      <c r="K32" s="216"/>
      <c r="L32" s="1"/>
    </row>
    <row r="33" spans="1:12" x14ac:dyDescent="0.35">
      <c r="A33" s="1"/>
      <c r="B33" s="214"/>
      <c r="C33" s="215"/>
      <c r="D33" s="215"/>
      <c r="E33" s="215"/>
      <c r="F33" s="215"/>
      <c r="G33" s="215"/>
      <c r="H33" s="215"/>
      <c r="I33" s="215"/>
      <c r="J33" s="215"/>
      <c r="K33" s="216"/>
      <c r="L33" s="1"/>
    </row>
    <row r="34" spans="1:12" x14ac:dyDescent="0.35">
      <c r="A34" s="1"/>
      <c r="B34" s="214"/>
      <c r="C34" s="215"/>
      <c r="D34" s="215"/>
      <c r="E34" s="215"/>
      <c r="F34" s="215"/>
      <c r="G34" s="215"/>
      <c r="H34" s="215"/>
      <c r="I34" s="215"/>
      <c r="J34" s="215"/>
      <c r="K34" s="216"/>
      <c r="L34" s="1"/>
    </row>
    <row r="35" spans="1:12" x14ac:dyDescent="0.35">
      <c r="A35" s="1"/>
      <c r="B35" s="214"/>
      <c r="C35" s="215"/>
      <c r="D35" s="215"/>
      <c r="E35" s="215"/>
      <c r="F35" s="215"/>
      <c r="G35" s="215"/>
      <c r="H35" s="215"/>
      <c r="I35" s="215"/>
      <c r="J35" s="215"/>
      <c r="K35" s="216"/>
      <c r="L35" s="1"/>
    </row>
    <row r="36" spans="1:12" x14ac:dyDescent="0.35">
      <c r="A36" s="1"/>
      <c r="B36" s="214"/>
      <c r="C36" s="215"/>
      <c r="D36" s="215"/>
      <c r="E36" s="215"/>
      <c r="F36" s="215"/>
      <c r="G36" s="215"/>
      <c r="H36" s="215"/>
      <c r="I36" s="215"/>
      <c r="J36" s="215"/>
      <c r="K36" s="216"/>
      <c r="L36" s="1"/>
    </row>
    <row r="37" spans="1:12" x14ac:dyDescent="0.35">
      <c r="A37" s="1"/>
      <c r="B37" s="214"/>
      <c r="C37" s="215"/>
      <c r="D37" s="215"/>
      <c r="E37" s="215"/>
      <c r="F37" s="215"/>
      <c r="G37" s="215"/>
      <c r="H37" s="215"/>
      <c r="I37" s="215"/>
      <c r="J37" s="215"/>
      <c r="K37" s="216"/>
      <c r="L37" s="1"/>
    </row>
    <row r="38" spans="1:12" x14ac:dyDescent="0.35">
      <c r="A38" s="1"/>
      <c r="B38" s="214"/>
      <c r="C38" s="215"/>
      <c r="D38" s="215"/>
      <c r="E38" s="215"/>
      <c r="F38" s="215"/>
      <c r="G38" s="215"/>
      <c r="H38" s="215"/>
      <c r="I38" s="215"/>
      <c r="J38" s="215"/>
      <c r="K38" s="216"/>
      <c r="L38" s="1"/>
    </row>
    <row r="39" spans="1:12" x14ac:dyDescent="0.35">
      <c r="A39" s="1"/>
      <c r="B39" s="214"/>
      <c r="C39" s="215"/>
      <c r="D39" s="215"/>
      <c r="E39" s="215"/>
      <c r="F39" s="215"/>
      <c r="G39" s="215"/>
      <c r="H39" s="215"/>
      <c r="I39" s="215"/>
      <c r="J39" s="215"/>
      <c r="K39" s="216"/>
      <c r="L39" s="1"/>
    </row>
    <row r="40" spans="1:12" x14ac:dyDescent="0.35">
      <c r="A40" s="1"/>
      <c r="B40" s="214"/>
      <c r="C40" s="215"/>
      <c r="D40" s="215"/>
      <c r="E40" s="215"/>
      <c r="F40" s="215"/>
      <c r="G40" s="215"/>
      <c r="H40" s="215"/>
      <c r="I40" s="215"/>
      <c r="J40" s="215"/>
      <c r="K40" s="216"/>
      <c r="L40" s="1"/>
    </row>
    <row r="41" spans="1:12" x14ac:dyDescent="0.35">
      <c r="A41" s="1"/>
      <c r="B41" s="214"/>
      <c r="C41" s="215"/>
      <c r="D41" s="215"/>
      <c r="E41" s="215"/>
      <c r="F41" s="215"/>
      <c r="G41" s="215"/>
      <c r="H41" s="215"/>
      <c r="I41" s="215"/>
      <c r="J41" s="215"/>
      <c r="K41" s="216"/>
      <c r="L41" s="1"/>
    </row>
    <row r="42" spans="1:12" x14ac:dyDescent="0.35">
      <c r="A42" s="1"/>
      <c r="B42" s="214"/>
      <c r="C42" s="215"/>
      <c r="D42" s="215"/>
      <c r="E42" s="215"/>
      <c r="F42" s="215"/>
      <c r="G42" s="215"/>
      <c r="H42" s="215"/>
      <c r="I42" s="215"/>
      <c r="J42" s="215"/>
      <c r="K42" s="216"/>
      <c r="L42" s="1"/>
    </row>
    <row r="43" spans="1:12" x14ac:dyDescent="0.35">
      <c r="A43" s="1"/>
      <c r="B43" s="217"/>
      <c r="C43" s="218"/>
      <c r="D43" s="218"/>
      <c r="E43" s="218"/>
      <c r="F43" s="218"/>
      <c r="G43" s="218"/>
      <c r="H43" s="218"/>
      <c r="I43" s="218"/>
      <c r="J43" s="218"/>
      <c r="K43" s="219"/>
      <c r="L43" s="1"/>
    </row>
    <row r="44" spans="1:12" x14ac:dyDescent="0.35">
      <c r="A44" s="1"/>
      <c r="B44" s="1"/>
      <c r="C44" s="1"/>
      <c r="D44" s="1"/>
      <c r="E44" s="1"/>
      <c r="F44" s="1"/>
      <c r="G44" s="1"/>
      <c r="H44" s="1"/>
      <c r="I44" s="1"/>
      <c r="J44" s="1"/>
      <c r="K44" s="1"/>
      <c r="L44" s="1"/>
    </row>
    <row r="45" spans="1:12" hidden="1" x14ac:dyDescent="0.35">
      <c r="A45" s="1"/>
      <c r="B45" s="1"/>
      <c r="C45" s="1"/>
      <c r="D45" s="1"/>
      <c r="E45" s="1"/>
      <c r="F45" s="1"/>
      <c r="G45" s="1"/>
      <c r="H45" s="1"/>
      <c r="I45" s="1"/>
      <c r="J45" s="1"/>
      <c r="K45" s="1"/>
      <c r="L45" s="1"/>
    </row>
    <row r="46" spans="1:12" hidden="1" x14ac:dyDescent="0.35">
      <c r="A46" s="1"/>
      <c r="B46" s="1"/>
      <c r="C46" s="1"/>
      <c r="D46" s="1"/>
      <c r="E46" s="1"/>
      <c r="F46" s="1"/>
      <c r="G46" s="1"/>
      <c r="H46" s="1"/>
      <c r="I46" s="1"/>
      <c r="J46" s="1"/>
      <c r="K46" s="1"/>
      <c r="L46" s="1"/>
    </row>
    <row r="47" spans="1:12" hidden="1" x14ac:dyDescent="0.35">
      <c r="A47" s="1"/>
      <c r="B47" s="1"/>
      <c r="C47" s="1"/>
      <c r="D47" s="1"/>
      <c r="E47" s="1"/>
      <c r="F47" s="1"/>
      <c r="G47" s="1"/>
      <c r="H47" s="1"/>
      <c r="I47" s="1"/>
      <c r="J47" s="1"/>
      <c r="K47" s="1"/>
      <c r="L47" s="1"/>
    </row>
    <row r="48" spans="1:12" hidden="1" x14ac:dyDescent="0.35">
      <c r="A48" s="1"/>
      <c r="B48" s="1"/>
      <c r="C48" s="1"/>
      <c r="D48" s="1"/>
      <c r="E48" s="1"/>
      <c r="F48" s="1"/>
      <c r="G48" s="1"/>
      <c r="H48" s="1"/>
      <c r="I48" s="1"/>
      <c r="J48" s="1"/>
      <c r="K48" s="1"/>
      <c r="L48" s="1"/>
    </row>
    <row r="49" spans="1:12" hidden="1" x14ac:dyDescent="0.35">
      <c r="A49" s="1"/>
      <c r="B49" s="1"/>
      <c r="C49" s="1"/>
      <c r="D49" s="1"/>
      <c r="E49" s="1"/>
      <c r="F49" s="1"/>
      <c r="G49" s="1"/>
      <c r="H49" s="1"/>
      <c r="I49" s="1"/>
      <c r="J49" s="1"/>
      <c r="K49" s="1"/>
      <c r="L49" s="1"/>
    </row>
    <row r="50" spans="1:12" hidden="1" x14ac:dyDescent="0.35">
      <c r="A50" s="1"/>
      <c r="B50" s="1"/>
      <c r="C50" s="1"/>
      <c r="D50" s="1"/>
      <c r="E50" s="1"/>
      <c r="F50" s="1"/>
      <c r="G50" s="1"/>
      <c r="H50" s="1"/>
      <c r="I50" s="1"/>
      <c r="J50" s="1"/>
      <c r="K50" s="1"/>
      <c r="L50" s="1"/>
    </row>
    <row r="51" spans="1:12" hidden="1" x14ac:dyDescent="0.35">
      <c r="A51" s="1"/>
      <c r="B51" s="1"/>
      <c r="C51" s="1"/>
      <c r="D51" s="1"/>
      <c r="E51" s="1"/>
      <c r="F51" s="1"/>
      <c r="G51" s="1"/>
      <c r="H51" s="1"/>
      <c r="I51" s="1"/>
      <c r="J51" s="1"/>
      <c r="K51" s="1"/>
      <c r="L51" s="1"/>
    </row>
    <row r="52" spans="1:12" hidden="1" x14ac:dyDescent="0.35">
      <c r="A52" s="1"/>
      <c r="B52" s="1"/>
      <c r="C52" s="1"/>
      <c r="D52" s="1"/>
      <c r="E52" s="1"/>
      <c r="F52" s="1"/>
      <c r="G52" s="1"/>
      <c r="H52" s="1"/>
      <c r="I52" s="1"/>
      <c r="J52" s="1"/>
      <c r="K52" s="1"/>
      <c r="L52" s="1"/>
    </row>
  </sheetData>
  <sheetProtection algorithmName="SHA-512" hashValue="nOQQm2070CxG5inJC6l5c1YiXn+C/zbvRzzSrtDCwzLjqaE/fM3Nw8qrUVDOFNTb/6VEZEJcPkRz026inp3Ymw==" saltValue="37kjWZVbLY3KvA8CyIjwaQ==" spinCount="100000" sheet="1" objects="1" scenarios="1"/>
  <protectedRanges>
    <protectedRange sqref="F6 F9 F12 F15" name="Диапазон1"/>
  </protectedRanges>
  <mergeCells count="12">
    <mergeCell ref="B26:K43"/>
    <mergeCell ref="A1:L2"/>
    <mergeCell ref="A4:L4"/>
    <mergeCell ref="C6:E7"/>
    <mergeCell ref="F6:H7"/>
    <mergeCell ref="C9:E10"/>
    <mergeCell ref="F9:H10"/>
    <mergeCell ref="C12:E13"/>
    <mergeCell ref="F12:H13"/>
    <mergeCell ref="C15:E16"/>
    <mergeCell ref="F15:H16"/>
    <mergeCell ref="C18:E23"/>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Макрос2">
                <anchor moveWithCells="1" sizeWithCells="1">
                  <from>
                    <xdr:col>5</xdr:col>
                    <xdr:colOff>0</xdr:colOff>
                    <xdr:row>19</xdr:row>
                    <xdr:rowOff>95250</xdr:rowOff>
                  </from>
                  <to>
                    <xdr:col>7</xdr:col>
                    <xdr:colOff>571500</xdr:colOff>
                    <xdr:row>21</xdr:row>
                    <xdr:rowOff>0</xdr:rowOff>
                  </to>
                </anchor>
              </controlPr>
            </control>
          </mc:Choice>
        </mc:AlternateContent>
        <mc:AlternateContent xmlns:mc="http://schemas.openxmlformats.org/markup-compatibility/2006">
          <mc:Choice Requires="x14">
            <control shapeId="1026" r:id="rId5" name="Button 2">
              <controlPr defaultSize="0" print="0" autoFill="0" autoPict="0" macro="[0]!Макрос1">
                <anchor moveWithCells="1" sizeWithCells="1">
                  <from>
                    <xdr:col>5</xdr:col>
                    <xdr:colOff>0</xdr:colOff>
                    <xdr:row>17</xdr:row>
                    <xdr:rowOff>127000</xdr:rowOff>
                  </from>
                  <to>
                    <xdr:col>7</xdr:col>
                    <xdr:colOff>565150</xdr:colOff>
                    <xdr:row>19</xdr:row>
                    <xdr:rowOff>12700</xdr:rowOff>
                  </to>
                </anchor>
              </controlPr>
            </control>
          </mc:Choice>
        </mc:AlternateContent>
        <mc:AlternateContent xmlns:mc="http://schemas.openxmlformats.org/markup-compatibility/2006">
          <mc:Choice Requires="x14">
            <control shapeId="1027" r:id="rId6" name="Button 3">
              <controlPr defaultSize="0" print="0" autoFill="0" autoPict="0" macro="[0]!Макрос3">
                <anchor moveWithCells="1" sizeWithCells="1">
                  <from>
                    <xdr:col>5</xdr:col>
                    <xdr:colOff>0</xdr:colOff>
                    <xdr:row>21</xdr:row>
                    <xdr:rowOff>76200</xdr:rowOff>
                  </from>
                  <to>
                    <xdr:col>7</xdr:col>
                    <xdr:colOff>565150</xdr:colOff>
                    <xdr:row>22</xdr:row>
                    <xdr:rowOff>152400</xdr:rowOff>
                  </to>
                </anchor>
              </controlPr>
            </control>
          </mc:Choice>
        </mc:AlternateContent>
        <mc:AlternateContent xmlns:mc="http://schemas.openxmlformats.org/markup-compatibility/2006">
          <mc:Choice Requires="x14">
            <control shapeId="1028" r:id="rId7" name="Button 4">
              <controlPr defaultSize="0" print="0" autoFill="0" autoPict="0" macro="[0]!SaveFile">
                <anchor moveWithCells="1" sizeWithCells="1">
                  <from>
                    <xdr:col>8</xdr:col>
                    <xdr:colOff>133350</xdr:colOff>
                    <xdr:row>13</xdr:row>
                    <xdr:rowOff>171450</xdr:rowOff>
                  </from>
                  <to>
                    <xdr:col>11</xdr:col>
                    <xdr:colOff>57150</xdr:colOff>
                    <xdr:row>16</xdr:row>
                    <xdr:rowOff>31750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9B847EED-BE14-433E-95B3-A980360B37DB}">
          <x14:formula1>
            <xm:f>'Список компаний'!$A$1:$A$45</xm:f>
          </x14:formula1>
          <xm:sqref>F6:H7</xm:sqref>
        </x14:dataValidation>
        <x14:dataValidation type="list" allowBlank="1" showInputMessage="1" showErrorMessage="1" xr:uid="{760F2950-5366-4A97-A39D-D59DFEC1AD5A}">
          <x14:formula1>
            <xm:f>'Список компаний'!$E$2:$E$5</xm:f>
          </x14:formula1>
          <xm:sqref>F12:H13</xm:sqref>
        </x14:dataValidation>
        <x14:dataValidation type="list" allowBlank="1" showInputMessage="1" showErrorMessage="1" xr:uid="{40140765-10EE-4E9F-A7E8-E52CDA8036CC}">
          <x14:formula1>
            <xm:f>'Список компаний'!$D$2:$D$9</xm:f>
          </x14:formula1>
          <xm:sqref>F9:H10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212D6-C725-446D-BC51-8D670A6851BC}">
  <sheetPr codeName="Лист2"/>
  <dimension ref="A1:F45"/>
  <sheetViews>
    <sheetView workbookViewId="0">
      <selection activeCell="A46" sqref="A46"/>
    </sheetView>
  </sheetViews>
  <sheetFormatPr defaultRowHeight="14.5" x14ac:dyDescent="0.35"/>
  <cols>
    <col min="1" max="1" width="51" bestFit="1" customWidth="1"/>
    <col min="2" max="2" width="10" customWidth="1"/>
    <col min="4" max="4" width="9.1796875" style="11"/>
    <col min="5" max="5" width="11.1796875" style="11" customWidth="1"/>
    <col min="6" max="6" width="6.54296875" style="11" customWidth="1"/>
  </cols>
  <sheetData>
    <row r="1" spans="1:6" x14ac:dyDescent="0.35">
      <c r="A1" s="10" t="s">
        <v>2</v>
      </c>
      <c r="B1" s="11"/>
    </row>
    <row r="2" spans="1:6" ht="15.5" x14ac:dyDescent="0.35">
      <c r="A2" s="13" t="s">
        <v>7</v>
      </c>
      <c r="B2" s="11" t="s">
        <v>8</v>
      </c>
      <c r="D2" s="11">
        <v>2019</v>
      </c>
      <c r="E2" s="15" t="str">
        <f>"31.03."&amp;'Параметрлар _ Параметры'!$F$9</f>
        <v>31.03.2025</v>
      </c>
      <c r="F2" s="15" t="str">
        <f>"03"</f>
        <v>03</v>
      </c>
    </row>
    <row r="3" spans="1:6" ht="15.5" x14ac:dyDescent="0.35">
      <c r="A3" s="13" t="s">
        <v>9</v>
      </c>
      <c r="B3" s="11" t="s">
        <v>10</v>
      </c>
      <c r="D3" s="11">
        <v>2020</v>
      </c>
      <c r="E3" s="15" t="str">
        <f>"30.06."&amp;'Параметрлар _ Параметры'!$F$9</f>
        <v>30.06.2025</v>
      </c>
      <c r="F3" s="15" t="str">
        <f>"06"</f>
        <v>06</v>
      </c>
    </row>
    <row r="4" spans="1:6" ht="15.5" x14ac:dyDescent="0.35">
      <c r="A4" s="13" t="s">
        <v>11</v>
      </c>
      <c r="B4" s="11" t="s">
        <v>12</v>
      </c>
      <c r="D4" s="11">
        <v>2021</v>
      </c>
      <c r="E4" s="15" t="str">
        <f>"30.09."&amp;'Параметрлар _ Параметры'!$F$9</f>
        <v>30.09.2025</v>
      </c>
      <c r="F4" s="15" t="str">
        <f>"09"</f>
        <v>09</v>
      </c>
    </row>
    <row r="5" spans="1:6" ht="15.5" x14ac:dyDescent="0.35">
      <c r="A5" s="13" t="s">
        <v>13</v>
      </c>
      <c r="B5" s="11" t="s">
        <v>14</v>
      </c>
      <c r="D5" s="11">
        <v>2022</v>
      </c>
      <c r="E5" s="15" t="str">
        <f>"31.12."&amp;'Параметрлар _ Параметры'!$F$9</f>
        <v>31.12.2025</v>
      </c>
      <c r="F5" s="15" t="str">
        <f>"12"</f>
        <v>12</v>
      </c>
    </row>
    <row r="6" spans="1:6" ht="15.5" x14ac:dyDescent="0.35">
      <c r="A6" s="13" t="s">
        <v>15</v>
      </c>
      <c r="B6" s="11" t="s">
        <v>16</v>
      </c>
      <c r="D6" s="11">
        <v>2023</v>
      </c>
    </row>
    <row r="7" spans="1:6" ht="15.5" x14ac:dyDescent="0.35">
      <c r="A7" s="13" t="s">
        <v>17</v>
      </c>
      <c r="B7" s="11" t="s">
        <v>18</v>
      </c>
      <c r="D7" s="11">
        <v>2024</v>
      </c>
    </row>
    <row r="8" spans="1:6" ht="15.5" x14ac:dyDescent="0.35">
      <c r="A8" s="13" t="s">
        <v>19</v>
      </c>
      <c r="B8" s="11" t="s">
        <v>20</v>
      </c>
      <c r="D8" s="11">
        <v>2025</v>
      </c>
    </row>
    <row r="9" spans="1:6" ht="15.5" x14ac:dyDescent="0.35">
      <c r="A9" s="12" t="s">
        <v>21</v>
      </c>
      <c r="B9" s="11" t="s">
        <v>22</v>
      </c>
      <c r="D9" s="11">
        <v>2026</v>
      </c>
    </row>
    <row r="10" spans="1:6" ht="15.5" x14ac:dyDescent="0.35">
      <c r="A10" s="13" t="s">
        <v>23</v>
      </c>
      <c r="B10" s="11" t="s">
        <v>24</v>
      </c>
    </row>
    <row r="11" spans="1:6" ht="15.5" x14ac:dyDescent="0.35">
      <c r="A11" s="13" t="s">
        <v>25</v>
      </c>
      <c r="B11" s="11" t="s">
        <v>26</v>
      </c>
    </row>
    <row r="12" spans="1:6" ht="15.5" x14ac:dyDescent="0.35">
      <c r="A12" s="12" t="s">
        <v>27</v>
      </c>
      <c r="B12" s="11" t="s">
        <v>28</v>
      </c>
    </row>
    <row r="13" spans="1:6" ht="15.5" x14ac:dyDescent="0.35">
      <c r="A13" s="13" t="s">
        <v>29</v>
      </c>
      <c r="B13" s="11" t="s">
        <v>30</v>
      </c>
    </row>
    <row r="14" spans="1:6" ht="15.5" x14ac:dyDescent="0.35">
      <c r="A14" s="13" t="s">
        <v>31</v>
      </c>
      <c r="B14" s="11" t="s">
        <v>32</v>
      </c>
    </row>
    <row r="15" spans="1:6" ht="15.5" x14ac:dyDescent="0.35">
      <c r="A15" s="13" t="s">
        <v>33</v>
      </c>
      <c r="B15" s="11" t="s">
        <v>34</v>
      </c>
    </row>
    <row r="16" spans="1:6" ht="15.5" x14ac:dyDescent="0.35">
      <c r="A16" s="13" t="s">
        <v>35</v>
      </c>
      <c r="B16" s="11" t="s">
        <v>36</v>
      </c>
    </row>
    <row r="17" spans="1:2" ht="15.5" x14ac:dyDescent="0.35">
      <c r="A17" s="13" t="s">
        <v>37</v>
      </c>
      <c r="B17" s="11" t="s">
        <v>38</v>
      </c>
    </row>
    <row r="18" spans="1:2" ht="15.5" x14ac:dyDescent="0.35">
      <c r="A18" s="13" t="s">
        <v>39</v>
      </c>
      <c r="B18" s="11" t="s">
        <v>40</v>
      </c>
    </row>
    <row r="19" spans="1:2" ht="15.5" x14ac:dyDescent="0.35">
      <c r="A19" s="13" t="s">
        <v>41</v>
      </c>
      <c r="B19" s="11" t="s">
        <v>42</v>
      </c>
    </row>
    <row r="20" spans="1:2" ht="15.5" x14ac:dyDescent="0.35">
      <c r="A20" s="13" t="s">
        <v>43</v>
      </c>
      <c r="B20" s="11" t="s">
        <v>44</v>
      </c>
    </row>
    <row r="21" spans="1:2" ht="15.5" x14ac:dyDescent="0.35">
      <c r="A21" s="13" t="s">
        <v>45</v>
      </c>
      <c r="B21" s="11" t="s">
        <v>46</v>
      </c>
    </row>
    <row r="22" spans="1:2" ht="15.5" x14ac:dyDescent="0.35">
      <c r="A22" s="13" t="s">
        <v>47</v>
      </c>
      <c r="B22" s="11" t="s">
        <v>48</v>
      </c>
    </row>
    <row r="23" spans="1:2" ht="15.5" x14ac:dyDescent="0.35">
      <c r="A23" s="13" t="s">
        <v>49</v>
      </c>
      <c r="B23" s="11" t="s">
        <v>50</v>
      </c>
    </row>
    <row r="24" spans="1:2" ht="15.5" x14ac:dyDescent="0.35">
      <c r="A24" s="13" t="s">
        <v>1294</v>
      </c>
      <c r="B24" s="11" t="s">
        <v>51</v>
      </c>
    </row>
    <row r="25" spans="1:2" ht="15.5" x14ac:dyDescent="0.35">
      <c r="A25" s="13" t="s">
        <v>52</v>
      </c>
      <c r="B25" s="11" t="s">
        <v>53</v>
      </c>
    </row>
    <row r="26" spans="1:2" ht="15.5" x14ac:dyDescent="0.35">
      <c r="A26" s="13" t="s">
        <v>54</v>
      </c>
      <c r="B26" s="11" t="s">
        <v>55</v>
      </c>
    </row>
    <row r="27" spans="1:2" ht="15.5" x14ac:dyDescent="0.35">
      <c r="A27" s="13" t="s">
        <v>56</v>
      </c>
      <c r="B27" s="11" t="s">
        <v>57</v>
      </c>
    </row>
    <row r="28" spans="1:2" ht="15.5" x14ac:dyDescent="0.35">
      <c r="A28" s="13" t="s">
        <v>58</v>
      </c>
      <c r="B28" s="11" t="s">
        <v>59</v>
      </c>
    </row>
    <row r="29" spans="1:2" ht="15.5" x14ac:dyDescent="0.35">
      <c r="A29" s="13" t="s">
        <v>60</v>
      </c>
      <c r="B29" s="11" t="s">
        <v>61</v>
      </c>
    </row>
    <row r="30" spans="1:2" ht="15.5" x14ac:dyDescent="0.35">
      <c r="A30" s="13" t="s">
        <v>62</v>
      </c>
      <c r="B30" s="11" t="s">
        <v>63</v>
      </c>
    </row>
    <row r="31" spans="1:2" ht="15.5" x14ac:dyDescent="0.35">
      <c r="A31" s="13" t="s">
        <v>64</v>
      </c>
      <c r="B31" s="11" t="s">
        <v>65</v>
      </c>
    </row>
    <row r="32" spans="1:2" ht="15.5" x14ac:dyDescent="0.35">
      <c r="A32" s="13" t="s">
        <v>66</v>
      </c>
      <c r="B32" s="11" t="s">
        <v>67</v>
      </c>
    </row>
    <row r="33" spans="1:2" ht="15.5" x14ac:dyDescent="0.35">
      <c r="A33" s="13" t="s">
        <v>68</v>
      </c>
      <c r="B33" s="11" t="s">
        <v>69</v>
      </c>
    </row>
    <row r="34" spans="1:2" ht="15.5" x14ac:dyDescent="0.35">
      <c r="A34" s="13" t="s">
        <v>70</v>
      </c>
      <c r="B34" s="11" t="s">
        <v>71</v>
      </c>
    </row>
    <row r="35" spans="1:2" ht="15.5" x14ac:dyDescent="0.35">
      <c r="A35" s="13" t="s">
        <v>72</v>
      </c>
      <c r="B35" s="11" t="s">
        <v>73</v>
      </c>
    </row>
    <row r="36" spans="1:2" ht="15.5" x14ac:dyDescent="0.35">
      <c r="A36" s="13" t="s">
        <v>74</v>
      </c>
      <c r="B36" s="11" t="s">
        <v>75</v>
      </c>
    </row>
    <row r="37" spans="1:2" ht="15.5" x14ac:dyDescent="0.35">
      <c r="A37" s="13" t="s">
        <v>76</v>
      </c>
      <c r="B37" s="11" t="s">
        <v>77</v>
      </c>
    </row>
    <row r="38" spans="1:2" ht="15.5" x14ac:dyDescent="0.35">
      <c r="A38" s="13" t="s">
        <v>78</v>
      </c>
      <c r="B38" s="11" t="s">
        <v>79</v>
      </c>
    </row>
    <row r="39" spans="1:2" ht="15.5" x14ac:dyDescent="0.35">
      <c r="A39" s="13" t="s">
        <v>80</v>
      </c>
      <c r="B39" s="11" t="s">
        <v>81</v>
      </c>
    </row>
    <row r="40" spans="1:2" ht="15.5" x14ac:dyDescent="0.35">
      <c r="A40" s="13" t="s">
        <v>82</v>
      </c>
      <c r="B40" s="11" t="s">
        <v>83</v>
      </c>
    </row>
    <row r="41" spans="1:2" ht="15.5" x14ac:dyDescent="0.35">
      <c r="A41" s="13" t="s">
        <v>84</v>
      </c>
      <c r="B41" s="11" t="s">
        <v>85</v>
      </c>
    </row>
    <row r="42" spans="1:2" ht="15.5" x14ac:dyDescent="0.35">
      <c r="A42" s="13" t="s">
        <v>1285</v>
      </c>
      <c r="B42" s="11" t="s">
        <v>86</v>
      </c>
    </row>
    <row r="43" spans="1:2" ht="15.5" x14ac:dyDescent="0.35">
      <c r="A43" s="14" t="s">
        <v>87</v>
      </c>
      <c r="B43" s="11" t="s">
        <v>88</v>
      </c>
    </row>
    <row r="44" spans="1:2" ht="15.5" x14ac:dyDescent="0.35">
      <c r="A44" s="13" t="s">
        <v>1283</v>
      </c>
      <c r="B44" s="11" t="s">
        <v>1284</v>
      </c>
    </row>
    <row r="45" spans="1:2" ht="15.5" x14ac:dyDescent="0.35">
      <c r="A45" s="13" t="s">
        <v>1300</v>
      </c>
      <c r="B45" s="210" t="s">
        <v>1299</v>
      </c>
    </row>
  </sheetData>
  <phoneticPr fontId="44"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A3675-24B0-4F12-80CD-C872D0A7D6F6}">
  <sheetPr codeName="Лист22"/>
  <dimension ref="A1:B29"/>
  <sheetViews>
    <sheetView workbookViewId="0">
      <selection activeCell="D13" sqref="D13"/>
    </sheetView>
  </sheetViews>
  <sheetFormatPr defaultRowHeight="14.5" x14ac:dyDescent="0.35"/>
  <cols>
    <col min="1" max="1" width="18.26953125" customWidth="1"/>
    <col min="2" max="2" width="11.26953125" customWidth="1"/>
  </cols>
  <sheetData>
    <row r="1" spans="1:2" x14ac:dyDescent="0.35">
      <c r="A1" s="16" t="s">
        <v>89</v>
      </c>
      <c r="B1" s="17"/>
    </row>
    <row r="2" spans="1:2" x14ac:dyDescent="0.35">
      <c r="A2" s="18">
        <f>MAX('1806_4_uz'!B:B)</f>
        <v>14</v>
      </c>
      <c r="B2" s="19" t="s">
        <v>90</v>
      </c>
    </row>
    <row r="3" spans="1:2" x14ac:dyDescent="0.35">
      <c r="A3" s="18" t="str">
        <f>"C"&amp;(A2+8)&amp;":F"&amp;(A2+8)</f>
        <v>C22:F22</v>
      </c>
      <c r="B3" s="19" t="s">
        <v>91</v>
      </c>
    </row>
    <row r="4" spans="1:2" ht="15" thickBot="1" x14ac:dyDescent="0.4">
      <c r="A4" s="20" t="str">
        <f>"B"&amp;(A2+8)</f>
        <v>B22</v>
      </c>
      <c r="B4" s="21" t="s">
        <v>92</v>
      </c>
    </row>
    <row r="5" spans="1:2" ht="15" thickBot="1" x14ac:dyDescent="0.4"/>
    <row r="6" spans="1:2" x14ac:dyDescent="0.35">
      <c r="A6" s="16" t="s">
        <v>93</v>
      </c>
      <c r="B6" s="17"/>
    </row>
    <row r="7" spans="1:2" x14ac:dyDescent="0.35">
      <c r="A7" s="18">
        <f>MAX('1806_5_uz'!B:B)</f>
        <v>30</v>
      </c>
      <c r="B7" s="19" t="s">
        <v>90</v>
      </c>
    </row>
    <row r="8" spans="1:2" x14ac:dyDescent="0.35">
      <c r="A8" s="18" t="str">
        <f>"C"&amp;(A7+8)&amp;":H"&amp;(A7+8)</f>
        <v>C38:H38</v>
      </c>
      <c r="B8" s="19" t="s">
        <v>91</v>
      </c>
    </row>
    <row r="9" spans="1:2" ht="15" thickBot="1" x14ac:dyDescent="0.4">
      <c r="A9" s="20" t="str">
        <f>"B"&amp;(A7+8)</f>
        <v>B38</v>
      </c>
      <c r="B9" s="21" t="s">
        <v>92</v>
      </c>
    </row>
    <row r="10" spans="1:2" ht="15" thickBot="1" x14ac:dyDescent="0.4"/>
    <row r="11" spans="1:2" x14ac:dyDescent="0.35">
      <c r="A11" s="16" t="s">
        <v>94</v>
      </c>
      <c r="B11" s="17"/>
    </row>
    <row r="12" spans="1:2" x14ac:dyDescent="0.35">
      <c r="A12" s="18">
        <f>MAX('1806_6_uz'!B:B)</f>
        <v>30</v>
      </c>
      <c r="B12" s="19" t="s">
        <v>90</v>
      </c>
    </row>
    <row r="13" spans="1:2" x14ac:dyDescent="0.35">
      <c r="A13" s="18" t="str">
        <f>"C"&amp;(A12+15)&amp;":H"&amp;(A12+15)</f>
        <v>C45:H45</v>
      </c>
      <c r="B13" s="19" t="s">
        <v>91</v>
      </c>
    </row>
    <row r="14" spans="1:2" ht="15" thickBot="1" x14ac:dyDescent="0.4">
      <c r="A14" s="20" t="str">
        <f>"B"&amp;(A12+15)</f>
        <v>B45</v>
      </c>
      <c r="B14" s="21" t="s">
        <v>92</v>
      </c>
    </row>
    <row r="15" spans="1:2" ht="15" thickBot="1" x14ac:dyDescent="0.4"/>
    <row r="16" spans="1:2" x14ac:dyDescent="0.35">
      <c r="A16" s="16" t="s">
        <v>95</v>
      </c>
      <c r="B16" s="17"/>
    </row>
    <row r="17" spans="1:2" x14ac:dyDescent="0.35">
      <c r="A17" s="18">
        <f>MAX('1806_4_ru'!B:B)</f>
        <v>30</v>
      </c>
      <c r="B17" s="19" t="s">
        <v>90</v>
      </c>
    </row>
    <row r="18" spans="1:2" x14ac:dyDescent="0.35">
      <c r="A18" s="18" t="str">
        <f>"C"&amp;(A17+8)&amp;":F"&amp;(A17+8)</f>
        <v>C38:F38</v>
      </c>
      <c r="B18" s="19" t="s">
        <v>91</v>
      </c>
    </row>
    <row r="19" spans="1:2" ht="15" thickBot="1" x14ac:dyDescent="0.4">
      <c r="A19" s="20" t="str">
        <f>"B"&amp;(A17+8)</f>
        <v>B38</v>
      </c>
      <c r="B19" s="21" t="s">
        <v>92</v>
      </c>
    </row>
    <row r="20" spans="1:2" ht="15" thickBot="1" x14ac:dyDescent="0.4"/>
    <row r="21" spans="1:2" x14ac:dyDescent="0.35">
      <c r="A21" s="16" t="s">
        <v>96</v>
      </c>
      <c r="B21" s="17"/>
    </row>
    <row r="22" spans="1:2" x14ac:dyDescent="0.35">
      <c r="A22" s="18">
        <f>MAX('1806_5_ru'!B:B)</f>
        <v>30</v>
      </c>
      <c r="B22" s="19" t="s">
        <v>90</v>
      </c>
    </row>
    <row r="23" spans="1:2" x14ac:dyDescent="0.35">
      <c r="A23" s="18" t="str">
        <f>"C"&amp;(A22+8)&amp;":H"&amp;(A22+8)</f>
        <v>C38:H38</v>
      </c>
      <c r="B23" s="19" t="s">
        <v>91</v>
      </c>
    </row>
    <row r="24" spans="1:2" ht="15" thickBot="1" x14ac:dyDescent="0.4">
      <c r="A24" s="20" t="str">
        <f>"B"&amp;(A22+8)</f>
        <v>B38</v>
      </c>
      <c r="B24" s="21" t="s">
        <v>92</v>
      </c>
    </row>
    <row r="25" spans="1:2" ht="15" thickBot="1" x14ac:dyDescent="0.4"/>
    <row r="26" spans="1:2" x14ac:dyDescent="0.35">
      <c r="A26" s="16" t="s">
        <v>97</v>
      </c>
      <c r="B26" s="17"/>
    </row>
    <row r="27" spans="1:2" x14ac:dyDescent="0.35">
      <c r="A27" s="18">
        <f>MAX('1806_6_ru'!B:B)</f>
        <v>46</v>
      </c>
      <c r="B27" s="19" t="s">
        <v>90</v>
      </c>
    </row>
    <row r="28" spans="1:2" x14ac:dyDescent="0.35">
      <c r="A28" s="18" t="str">
        <f>"C"&amp;(A27+15)&amp;":H"&amp;(A27+15)</f>
        <v>C61:H61</v>
      </c>
      <c r="B28" s="19" t="s">
        <v>91</v>
      </c>
    </row>
    <row r="29" spans="1:2" ht="15" thickBot="1" x14ac:dyDescent="0.4">
      <c r="A29" s="20" t="str">
        <f>"B"&amp;(A27+15)</f>
        <v>B61</v>
      </c>
      <c r="B29" s="21" t="s">
        <v>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58ED2-C6D4-4B20-9160-4C4E87C25F1E}">
  <sheetPr codeName="Лист3">
    <pageSetUpPr fitToPage="1"/>
  </sheetPr>
  <dimension ref="A1:E33"/>
  <sheetViews>
    <sheetView zoomScale="55" zoomScaleNormal="55" zoomScalePageLayoutView="40" workbookViewId="0">
      <selection activeCell="C19" sqref="C19"/>
    </sheetView>
  </sheetViews>
  <sheetFormatPr defaultColWidth="0" defaultRowHeight="15" customHeight="1" zeroHeight="1" x14ac:dyDescent="0.35"/>
  <cols>
    <col min="1" max="1" width="35.7265625" style="29" customWidth="1"/>
    <col min="2" max="2" width="20" style="29" hidden="1" customWidth="1"/>
    <col min="3" max="3" width="78.54296875" style="51" customWidth="1"/>
    <col min="4" max="4" width="21.7265625" style="29" hidden="1" customWidth="1"/>
    <col min="5" max="5" width="151.54296875" style="51" customWidth="1"/>
    <col min="6" max="16384" width="9.1796875" style="29" hidden="1"/>
  </cols>
  <sheetData>
    <row r="1" spans="1:5" s="23" customFormat="1" ht="30" x14ac:dyDescent="0.35">
      <c r="A1" s="22" t="s">
        <v>98</v>
      </c>
      <c r="B1" s="22" t="s">
        <v>99</v>
      </c>
      <c r="C1" s="22" t="s">
        <v>100</v>
      </c>
      <c r="D1" s="22" t="s">
        <v>101</v>
      </c>
      <c r="E1" s="22" t="s">
        <v>102</v>
      </c>
    </row>
    <row r="2" spans="1:5" ht="37.5" customHeight="1" x14ac:dyDescent="0.35">
      <c r="A2" s="24" t="str">
        <f t="shared" ref="A2:A19" si="0">B2&amp;"_"&amp;D2</f>
        <v>1806_1</v>
      </c>
      <c r="B2" s="25">
        <v>1806</v>
      </c>
      <c r="C2" s="26" t="s">
        <v>103</v>
      </c>
      <c r="D2" s="27">
        <v>1</v>
      </c>
      <c r="E2" s="28" t="s">
        <v>104</v>
      </c>
    </row>
    <row r="3" spans="1:5" ht="26.25" customHeight="1" x14ac:dyDescent="0.35">
      <c r="A3" s="24" t="str">
        <f t="shared" si="0"/>
        <v>1806_2</v>
      </c>
      <c r="B3" s="25">
        <v>1806</v>
      </c>
      <c r="C3" s="30" t="s">
        <v>103</v>
      </c>
      <c r="D3" s="27">
        <v>2</v>
      </c>
      <c r="E3" s="28" t="s">
        <v>105</v>
      </c>
    </row>
    <row r="4" spans="1:5" ht="37.5" customHeight="1" x14ac:dyDescent="0.35">
      <c r="A4" s="24" t="str">
        <f t="shared" si="0"/>
        <v>1806_3</v>
      </c>
      <c r="B4" s="25">
        <v>1806</v>
      </c>
      <c r="C4" s="31" t="s">
        <v>103</v>
      </c>
      <c r="D4" s="27">
        <v>3</v>
      </c>
      <c r="E4" s="28" t="s">
        <v>106</v>
      </c>
    </row>
    <row r="5" spans="1:5" ht="37.5" customHeight="1" x14ac:dyDescent="0.35">
      <c r="A5" s="24" t="str">
        <f t="shared" si="0"/>
        <v>1806_4</v>
      </c>
      <c r="B5" s="25">
        <v>1806</v>
      </c>
      <c r="C5" s="30" t="s">
        <v>103</v>
      </c>
      <c r="D5" s="27">
        <v>4</v>
      </c>
      <c r="E5" s="28" t="s">
        <v>107</v>
      </c>
    </row>
    <row r="6" spans="1:5" ht="26.25" customHeight="1" x14ac:dyDescent="0.35">
      <c r="A6" s="24" t="str">
        <f t="shared" si="0"/>
        <v>1806_5</v>
      </c>
      <c r="B6" s="25">
        <v>1806</v>
      </c>
      <c r="C6" s="30" t="s">
        <v>103</v>
      </c>
      <c r="D6" s="27">
        <v>5</v>
      </c>
      <c r="E6" s="28" t="s">
        <v>108</v>
      </c>
    </row>
    <row r="7" spans="1:5" ht="26.25" customHeight="1" x14ac:dyDescent="0.35">
      <c r="A7" s="24" t="str">
        <f t="shared" si="0"/>
        <v>1806_6</v>
      </c>
      <c r="B7" s="25">
        <v>1806</v>
      </c>
      <c r="C7" s="32" t="s">
        <v>103</v>
      </c>
      <c r="D7" s="27">
        <v>6</v>
      </c>
      <c r="E7" s="28" t="s">
        <v>109</v>
      </c>
    </row>
    <row r="8" spans="1:5" ht="37.5" customHeight="1" x14ac:dyDescent="0.35">
      <c r="A8" s="33" t="str">
        <f t="shared" si="0"/>
        <v>1882_1</v>
      </c>
      <c r="B8" s="34">
        <v>1882</v>
      </c>
      <c r="C8" s="35" t="s">
        <v>110</v>
      </c>
      <c r="D8" s="36">
        <v>1</v>
      </c>
      <c r="E8" s="37" t="s">
        <v>111</v>
      </c>
    </row>
    <row r="9" spans="1:5" ht="37.5" customHeight="1" x14ac:dyDescent="0.35">
      <c r="A9" s="33" t="str">
        <f t="shared" si="0"/>
        <v>1882_2</v>
      </c>
      <c r="B9" s="34">
        <v>1882</v>
      </c>
      <c r="C9" s="38" t="s">
        <v>110</v>
      </c>
      <c r="D9" s="36">
        <v>2</v>
      </c>
      <c r="E9" s="37" t="s">
        <v>112</v>
      </c>
    </row>
    <row r="10" spans="1:5" ht="37.5" customHeight="1" x14ac:dyDescent="0.35">
      <c r="A10" s="33" t="str">
        <f t="shared" si="0"/>
        <v>1882_3</v>
      </c>
      <c r="B10" s="34">
        <v>1882</v>
      </c>
      <c r="C10" s="39" t="s">
        <v>110</v>
      </c>
      <c r="D10" s="36">
        <v>3</v>
      </c>
      <c r="E10" s="37" t="s">
        <v>113</v>
      </c>
    </row>
    <row r="11" spans="1:5" ht="26.25" customHeight="1" x14ac:dyDescent="0.35">
      <c r="A11" s="33" t="str">
        <f t="shared" si="0"/>
        <v>1882_4</v>
      </c>
      <c r="B11" s="34">
        <v>1882</v>
      </c>
      <c r="C11" s="39" t="s">
        <v>110</v>
      </c>
      <c r="D11" s="40">
        <v>4</v>
      </c>
      <c r="E11" s="37" t="s">
        <v>114</v>
      </c>
    </row>
    <row r="12" spans="1:5" ht="26.25" customHeight="1" x14ac:dyDescent="0.35">
      <c r="A12" s="33" t="str">
        <f t="shared" si="0"/>
        <v>1882_5</v>
      </c>
      <c r="B12" s="34">
        <v>1882</v>
      </c>
      <c r="C12" s="41" t="s">
        <v>110</v>
      </c>
      <c r="D12" s="36">
        <v>5</v>
      </c>
      <c r="E12" s="37" t="s">
        <v>115</v>
      </c>
    </row>
    <row r="13" spans="1:5" ht="26.25" customHeight="1" x14ac:dyDescent="0.35">
      <c r="A13" s="42" t="str">
        <f t="shared" si="0"/>
        <v>1945_1</v>
      </c>
      <c r="B13" s="43">
        <v>1945</v>
      </c>
      <c r="C13" s="44" t="s">
        <v>116</v>
      </c>
      <c r="D13" s="45">
        <v>1</v>
      </c>
      <c r="E13" s="46" t="s">
        <v>117</v>
      </c>
    </row>
    <row r="14" spans="1:5" ht="26.25" customHeight="1" x14ac:dyDescent="0.35">
      <c r="A14" s="42" t="str">
        <f t="shared" si="0"/>
        <v>1945_2</v>
      </c>
      <c r="B14" s="43">
        <v>1945</v>
      </c>
      <c r="C14" s="47" t="s">
        <v>116</v>
      </c>
      <c r="D14" s="45">
        <v>2</v>
      </c>
      <c r="E14" s="46" t="s">
        <v>118</v>
      </c>
    </row>
    <row r="15" spans="1:5" ht="26.25" customHeight="1" x14ac:dyDescent="0.35">
      <c r="A15" s="42" t="str">
        <f t="shared" si="0"/>
        <v>1945_3</v>
      </c>
      <c r="B15" s="43">
        <v>1945</v>
      </c>
      <c r="C15" s="47" t="s">
        <v>116</v>
      </c>
      <c r="D15" s="45">
        <v>3</v>
      </c>
      <c r="E15" s="46" t="s">
        <v>119</v>
      </c>
    </row>
    <row r="16" spans="1:5" ht="26.25" customHeight="1" x14ac:dyDescent="0.35">
      <c r="A16" s="42" t="str">
        <f t="shared" si="0"/>
        <v>1945_4</v>
      </c>
      <c r="B16" s="43">
        <v>1945</v>
      </c>
      <c r="C16" s="48" t="s">
        <v>116</v>
      </c>
      <c r="D16" s="45">
        <v>4</v>
      </c>
      <c r="E16" s="46" t="s">
        <v>120</v>
      </c>
    </row>
    <row r="17" spans="1:5" ht="26.25" customHeight="1" x14ac:dyDescent="0.35">
      <c r="A17" s="42" t="str">
        <f t="shared" si="0"/>
        <v>1945_5</v>
      </c>
      <c r="B17" s="43">
        <v>1945</v>
      </c>
      <c r="C17" s="47" t="s">
        <v>116</v>
      </c>
      <c r="D17" s="45">
        <v>5</v>
      </c>
      <c r="E17" s="46" t="s">
        <v>121</v>
      </c>
    </row>
    <row r="18" spans="1:5" ht="26.25" customHeight="1" x14ac:dyDescent="0.35">
      <c r="A18" s="42" t="str">
        <f t="shared" si="0"/>
        <v>1945_6</v>
      </c>
      <c r="B18" s="43">
        <v>1945</v>
      </c>
      <c r="C18" s="47" t="s">
        <v>116</v>
      </c>
      <c r="D18" s="45">
        <v>6</v>
      </c>
      <c r="E18" s="46" t="s">
        <v>122</v>
      </c>
    </row>
    <row r="19" spans="1:5" ht="26.25" customHeight="1" x14ac:dyDescent="0.35">
      <c r="A19" s="42" t="str">
        <f t="shared" si="0"/>
        <v>1945_7</v>
      </c>
      <c r="B19" s="43">
        <v>1945</v>
      </c>
      <c r="C19" s="49" t="s">
        <v>116</v>
      </c>
      <c r="D19" s="45">
        <v>7</v>
      </c>
      <c r="E19" s="46" t="s">
        <v>123</v>
      </c>
    </row>
    <row r="20" spans="1:5" ht="14.5" hidden="1" x14ac:dyDescent="0.35">
      <c r="B20" s="23"/>
      <c r="C20" s="50"/>
      <c r="D20" s="23"/>
      <c r="E20" s="50"/>
    </row>
    <row r="21" spans="1:5" ht="14.5" hidden="1" x14ac:dyDescent="0.35">
      <c r="B21" s="23"/>
      <c r="C21" s="50"/>
      <c r="D21" s="23"/>
      <c r="E21" s="50"/>
    </row>
    <row r="22" spans="1:5" ht="14.5" hidden="1" x14ac:dyDescent="0.35">
      <c r="B22" s="23"/>
      <c r="C22" s="50"/>
      <c r="D22" s="23"/>
      <c r="E22" s="50"/>
    </row>
    <row r="23" spans="1:5" ht="14.5" hidden="1" x14ac:dyDescent="0.35">
      <c r="B23" s="23"/>
      <c r="C23" s="50"/>
      <c r="D23" s="23"/>
      <c r="E23" s="50"/>
    </row>
    <row r="24" spans="1:5" ht="14.5" hidden="1" x14ac:dyDescent="0.35">
      <c r="B24" s="23"/>
      <c r="C24" s="50"/>
      <c r="D24" s="23"/>
      <c r="E24" s="50"/>
    </row>
    <row r="25" spans="1:5" ht="14.5" hidden="1" x14ac:dyDescent="0.35">
      <c r="B25" s="23"/>
      <c r="C25" s="50"/>
      <c r="D25" s="23"/>
      <c r="E25" s="50"/>
    </row>
    <row r="26" spans="1:5" ht="14.5" hidden="1" x14ac:dyDescent="0.35">
      <c r="B26" s="23"/>
      <c r="C26" s="50"/>
      <c r="D26" s="23"/>
      <c r="E26" s="50"/>
    </row>
    <row r="27" spans="1:5" ht="14.5" hidden="1" x14ac:dyDescent="0.35">
      <c r="B27" s="23"/>
      <c r="C27" s="50"/>
      <c r="D27" s="23"/>
      <c r="E27" s="50"/>
    </row>
    <row r="28" spans="1:5" ht="14.5" hidden="1" x14ac:dyDescent="0.35">
      <c r="B28" s="23"/>
      <c r="C28" s="50"/>
      <c r="D28" s="23"/>
      <c r="E28" s="50"/>
    </row>
    <row r="29" spans="1:5" ht="14.5" hidden="1" x14ac:dyDescent="0.35">
      <c r="B29" s="23"/>
      <c r="C29" s="50"/>
      <c r="D29" s="23"/>
      <c r="E29" s="50"/>
    </row>
    <row r="30" spans="1:5" ht="14.5" hidden="1" x14ac:dyDescent="0.35">
      <c r="B30" s="23"/>
      <c r="C30" s="50"/>
      <c r="D30" s="23"/>
      <c r="E30" s="50"/>
    </row>
    <row r="31" spans="1:5" ht="14.5" hidden="1" x14ac:dyDescent="0.35">
      <c r="B31" s="23"/>
      <c r="C31" s="50"/>
      <c r="D31" s="23"/>
      <c r="E31" s="50"/>
    </row>
    <row r="32" spans="1:5" ht="14.5" hidden="1" x14ac:dyDescent="0.35">
      <c r="B32" s="23"/>
      <c r="C32" s="50"/>
      <c r="D32" s="23"/>
      <c r="E32" s="50"/>
    </row>
    <row r="33" spans="2:5" ht="14.5" hidden="1" x14ac:dyDescent="0.35">
      <c r="B33" s="23"/>
      <c r="C33" s="50"/>
      <c r="D33" s="23"/>
      <c r="E33" s="50"/>
    </row>
  </sheetData>
  <sheetProtection algorithmName="SHA-512" hashValue="IRLesZ4G21OeZ+0JG+Q1d7rDSpwR4q5stiXxfyqEZ6kB8uZcICRq+EzDTgLJ6ZYYdMMdgj/AqpKeG4Enne6ILg==" saltValue="iaZEYujYXD11nO1SLpXhOw==" spinCount="100000" sheet="1" objects="1" scenarios="1"/>
  <pageMargins left="0.70866141732283472" right="0.70866141732283472" top="0.74803149606299213" bottom="0.74803149606299213" header="0.31496062992125984" footer="0.31496062992125984"/>
  <pageSetup paperSize="9" scale="49" orientation="landscape"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5C01E-75AE-4AB9-8133-040C1CC5A5AE}">
  <sheetPr codeName="Лист23">
    <pageSetUpPr fitToPage="1"/>
  </sheetPr>
  <dimension ref="A1:XFC33"/>
  <sheetViews>
    <sheetView view="pageBreakPreview" zoomScale="60" zoomScaleNormal="85" workbookViewId="0">
      <selection activeCell="E2" sqref="E2:E3"/>
    </sheetView>
  </sheetViews>
  <sheetFormatPr defaultColWidth="0" defaultRowHeight="15.75" customHeight="1" zeroHeight="1" x14ac:dyDescent="0.35"/>
  <cols>
    <col min="1" max="1" width="35.7265625" style="57" customWidth="1"/>
    <col min="2" max="2" width="20.81640625" style="57" customWidth="1"/>
    <col min="3" max="3" width="90.1796875" style="61" bestFit="1" customWidth="1"/>
    <col min="4" max="4" width="17.7265625" style="57" bestFit="1" customWidth="1"/>
    <col min="5" max="5" width="210.54296875" style="61" bestFit="1" customWidth="1"/>
    <col min="6" max="16383" width="9.1796875" style="29" hidden="1"/>
    <col min="16384" max="16384" width="2.1796875" style="29" hidden="1" customWidth="1"/>
  </cols>
  <sheetData>
    <row r="1" spans="1:5" s="23" customFormat="1" ht="28.5" customHeight="1" x14ac:dyDescent="0.35">
      <c r="A1" s="52" t="s">
        <v>124</v>
      </c>
      <c r="B1" s="52" t="s">
        <v>125</v>
      </c>
      <c r="C1" s="22" t="s">
        <v>126</v>
      </c>
      <c r="D1" s="52" t="s">
        <v>127</v>
      </c>
      <c r="E1" s="22" t="s">
        <v>128</v>
      </c>
    </row>
    <row r="2" spans="1:5" ht="15.5" x14ac:dyDescent="0.35">
      <c r="A2" s="24" t="str">
        <f>B2&amp;"_"&amp;D2</f>
        <v>1806_1</v>
      </c>
      <c r="B2" s="25">
        <v>1806</v>
      </c>
      <c r="C2" s="53" t="s">
        <v>129</v>
      </c>
      <c r="D2" s="27">
        <v>1</v>
      </c>
      <c r="E2" s="28" t="s">
        <v>130</v>
      </c>
    </row>
    <row r="3" spans="1:5" ht="15.5" x14ac:dyDescent="0.35">
      <c r="A3" s="24" t="str">
        <f t="shared" ref="A3:A19" si="0">B3&amp;"_"&amp;D3</f>
        <v>1806_2</v>
      </c>
      <c r="B3" s="25">
        <v>1806</v>
      </c>
      <c r="C3" s="54" t="s">
        <v>129</v>
      </c>
      <c r="D3" s="27">
        <v>2</v>
      </c>
      <c r="E3" s="28" t="s">
        <v>131</v>
      </c>
    </row>
    <row r="4" spans="1:5" ht="31" x14ac:dyDescent="0.35">
      <c r="A4" s="24" t="str">
        <f t="shared" si="0"/>
        <v>1806_3</v>
      </c>
      <c r="B4" s="25">
        <v>1806</v>
      </c>
      <c r="C4" s="31" t="s">
        <v>129</v>
      </c>
      <c r="D4" s="27">
        <v>3</v>
      </c>
      <c r="E4" s="28" t="s">
        <v>132</v>
      </c>
    </row>
    <row r="5" spans="1:5" ht="15.5" x14ac:dyDescent="0.35">
      <c r="A5" s="24" t="str">
        <f t="shared" si="0"/>
        <v>1806_4</v>
      </c>
      <c r="B5" s="25">
        <v>1806</v>
      </c>
      <c r="C5" s="54" t="s">
        <v>129</v>
      </c>
      <c r="D5" s="27">
        <v>4</v>
      </c>
      <c r="E5" s="28" t="s">
        <v>133</v>
      </c>
    </row>
    <row r="6" spans="1:5" ht="15.5" x14ac:dyDescent="0.35">
      <c r="A6" s="24" t="str">
        <f t="shared" si="0"/>
        <v>1806_5</v>
      </c>
      <c r="B6" s="25">
        <v>1806</v>
      </c>
      <c r="C6" s="54" t="s">
        <v>129</v>
      </c>
      <c r="D6" s="27">
        <v>5</v>
      </c>
      <c r="E6" s="28" t="s">
        <v>134</v>
      </c>
    </row>
    <row r="7" spans="1:5" ht="15.5" x14ac:dyDescent="0.35">
      <c r="A7" s="24" t="str">
        <f t="shared" si="0"/>
        <v>1806_6</v>
      </c>
      <c r="B7" s="25">
        <v>1806</v>
      </c>
      <c r="C7" s="54" t="s">
        <v>129</v>
      </c>
      <c r="D7" s="27">
        <v>6</v>
      </c>
      <c r="E7" s="28" t="s">
        <v>135</v>
      </c>
    </row>
    <row r="8" spans="1:5" ht="43.5" customHeight="1" x14ac:dyDescent="0.35">
      <c r="A8" s="33" t="str">
        <f t="shared" si="0"/>
        <v>1882_1</v>
      </c>
      <c r="B8" s="34">
        <v>1882</v>
      </c>
      <c r="C8" s="55" t="s">
        <v>136</v>
      </c>
      <c r="D8" s="36">
        <v>1</v>
      </c>
      <c r="E8" s="37" t="s">
        <v>137</v>
      </c>
    </row>
    <row r="9" spans="1:5" ht="15.5" x14ac:dyDescent="0.35">
      <c r="A9" s="33" t="str">
        <f t="shared" si="0"/>
        <v>1882_2</v>
      </c>
      <c r="B9" s="34">
        <v>1882</v>
      </c>
      <c r="C9" s="38" t="s">
        <v>136</v>
      </c>
      <c r="D9" s="36">
        <v>2</v>
      </c>
      <c r="E9" s="37" t="s">
        <v>138</v>
      </c>
    </row>
    <row r="10" spans="1:5" ht="15.5" x14ac:dyDescent="0.35">
      <c r="A10" s="33" t="str">
        <f t="shared" si="0"/>
        <v>1882_3</v>
      </c>
      <c r="B10" s="34">
        <v>1882</v>
      </c>
      <c r="C10" s="56" t="s">
        <v>136</v>
      </c>
      <c r="D10" s="36">
        <v>3</v>
      </c>
      <c r="E10" s="37" t="s">
        <v>139</v>
      </c>
    </row>
    <row r="11" spans="1:5" ht="29.25" customHeight="1" x14ac:dyDescent="0.35">
      <c r="A11" s="33" t="str">
        <f t="shared" si="0"/>
        <v>1882_4</v>
      </c>
      <c r="B11" s="34">
        <v>1882</v>
      </c>
      <c r="C11" s="56" t="s">
        <v>136</v>
      </c>
      <c r="D11" s="40">
        <v>4</v>
      </c>
      <c r="E11" s="37" t="s">
        <v>140</v>
      </c>
    </row>
    <row r="12" spans="1:5" ht="29.25" customHeight="1" x14ac:dyDescent="0.35">
      <c r="A12" s="33" t="str">
        <f t="shared" si="0"/>
        <v>1882_5</v>
      </c>
      <c r="B12" s="34">
        <v>1882</v>
      </c>
      <c r="C12" s="56" t="s">
        <v>136</v>
      </c>
      <c r="D12" s="36">
        <v>5</v>
      </c>
      <c r="E12" s="37" t="s">
        <v>141</v>
      </c>
    </row>
    <row r="13" spans="1:5" ht="31" x14ac:dyDescent="0.35">
      <c r="A13" s="42" t="str">
        <f t="shared" si="0"/>
        <v>1945_1</v>
      </c>
      <c r="B13" s="43">
        <v>1945</v>
      </c>
      <c r="C13" s="44" t="s">
        <v>142</v>
      </c>
      <c r="D13" s="45">
        <v>1</v>
      </c>
      <c r="E13" s="46" t="s">
        <v>143</v>
      </c>
    </row>
    <row r="14" spans="1:5" ht="31" x14ac:dyDescent="0.35">
      <c r="A14" s="42" t="str">
        <f t="shared" si="0"/>
        <v>1945_2</v>
      </c>
      <c r="B14" s="43">
        <v>1945</v>
      </c>
      <c r="C14" s="47" t="s">
        <v>142</v>
      </c>
      <c r="D14" s="45">
        <v>2</v>
      </c>
      <c r="E14" s="46" t="s">
        <v>144</v>
      </c>
    </row>
    <row r="15" spans="1:5" ht="31" x14ac:dyDescent="0.35">
      <c r="A15" s="42" t="str">
        <f t="shared" si="0"/>
        <v>1945_3</v>
      </c>
      <c r="B15" s="43">
        <v>1945</v>
      </c>
      <c r="C15" s="47" t="s">
        <v>142</v>
      </c>
      <c r="D15" s="45">
        <v>3</v>
      </c>
      <c r="E15" s="46" t="s">
        <v>145</v>
      </c>
    </row>
    <row r="16" spans="1:5" ht="31" x14ac:dyDescent="0.35">
      <c r="A16" s="42" t="str">
        <f t="shared" si="0"/>
        <v>1945_4</v>
      </c>
      <c r="B16" s="43">
        <v>1945</v>
      </c>
      <c r="C16" s="48" t="s">
        <v>142</v>
      </c>
      <c r="D16" s="45">
        <v>4</v>
      </c>
      <c r="E16" s="46" t="s">
        <v>146</v>
      </c>
    </row>
    <row r="17" spans="1:5" ht="31" x14ac:dyDescent="0.35">
      <c r="A17" s="42" t="str">
        <f t="shared" si="0"/>
        <v>1945_5</v>
      </c>
      <c r="B17" s="43">
        <v>1945</v>
      </c>
      <c r="C17" s="47" t="s">
        <v>142</v>
      </c>
      <c r="D17" s="45">
        <v>5</v>
      </c>
      <c r="E17" s="46" t="s">
        <v>147</v>
      </c>
    </row>
    <row r="18" spans="1:5" ht="31" x14ac:dyDescent="0.35">
      <c r="A18" s="42" t="str">
        <f t="shared" si="0"/>
        <v>1945_6</v>
      </c>
      <c r="B18" s="43">
        <v>1945</v>
      </c>
      <c r="C18" s="47" t="s">
        <v>142</v>
      </c>
      <c r="D18" s="45">
        <v>6</v>
      </c>
      <c r="E18" s="46" t="s">
        <v>148</v>
      </c>
    </row>
    <row r="19" spans="1:5" ht="31" x14ac:dyDescent="0.35">
      <c r="A19" s="42" t="str">
        <f t="shared" si="0"/>
        <v>1945_7</v>
      </c>
      <c r="B19" s="43">
        <v>1945</v>
      </c>
      <c r="C19" s="49" t="s">
        <v>142</v>
      </c>
      <c r="D19" s="45">
        <v>7</v>
      </c>
      <c r="E19" s="46" t="s">
        <v>149</v>
      </c>
    </row>
    <row r="20" spans="1:5" ht="15.5" hidden="1" x14ac:dyDescent="0.35">
      <c r="B20" s="58"/>
      <c r="C20" s="59"/>
      <c r="D20" s="58"/>
      <c r="E20" s="60"/>
    </row>
    <row r="21" spans="1:5" ht="15.5" hidden="1" x14ac:dyDescent="0.35">
      <c r="B21" s="58"/>
      <c r="C21" s="60"/>
      <c r="D21" s="58"/>
      <c r="E21" s="60"/>
    </row>
    <row r="22" spans="1:5" ht="15.5" hidden="1" x14ac:dyDescent="0.35">
      <c r="B22" s="58"/>
      <c r="C22" s="60"/>
      <c r="D22" s="58"/>
      <c r="E22" s="60"/>
    </row>
    <row r="23" spans="1:5" ht="15.5" hidden="1" x14ac:dyDescent="0.35">
      <c r="B23" s="58"/>
      <c r="C23" s="60"/>
      <c r="D23" s="58"/>
      <c r="E23" s="60"/>
    </row>
    <row r="24" spans="1:5" ht="15.5" hidden="1" x14ac:dyDescent="0.35">
      <c r="B24" s="58"/>
      <c r="C24" s="60"/>
      <c r="D24" s="58"/>
      <c r="E24" s="60"/>
    </row>
    <row r="25" spans="1:5" ht="15.5" hidden="1" x14ac:dyDescent="0.35">
      <c r="B25" s="58"/>
      <c r="C25" s="60"/>
      <c r="D25" s="58"/>
      <c r="E25" s="60"/>
    </row>
    <row r="26" spans="1:5" ht="15.5" hidden="1" x14ac:dyDescent="0.35">
      <c r="B26" s="58"/>
      <c r="C26" s="60"/>
      <c r="D26" s="58"/>
      <c r="E26" s="60"/>
    </row>
    <row r="27" spans="1:5" ht="15.5" hidden="1" x14ac:dyDescent="0.35">
      <c r="B27" s="58"/>
      <c r="C27" s="60"/>
      <c r="D27" s="58"/>
      <c r="E27" s="60"/>
    </row>
    <row r="28" spans="1:5" ht="15.5" hidden="1" x14ac:dyDescent="0.35">
      <c r="B28" s="58"/>
      <c r="C28" s="60"/>
      <c r="D28" s="58"/>
      <c r="E28" s="60"/>
    </row>
    <row r="29" spans="1:5" ht="15.5" hidden="1" x14ac:dyDescent="0.35">
      <c r="B29" s="58"/>
      <c r="C29" s="60"/>
      <c r="D29" s="58"/>
      <c r="E29" s="60"/>
    </row>
    <row r="30" spans="1:5" ht="15.5" hidden="1" x14ac:dyDescent="0.35">
      <c r="B30" s="58"/>
      <c r="C30" s="60"/>
      <c r="D30" s="58"/>
      <c r="E30" s="60"/>
    </row>
    <row r="31" spans="1:5" ht="15.5" hidden="1" x14ac:dyDescent="0.35">
      <c r="B31" s="58"/>
      <c r="C31" s="60"/>
      <c r="D31" s="58"/>
      <c r="E31" s="60"/>
    </row>
    <row r="32" spans="1:5" ht="15.5" hidden="1" x14ac:dyDescent="0.35">
      <c r="B32" s="58"/>
      <c r="C32" s="60"/>
      <c r="D32" s="58"/>
      <c r="E32" s="60"/>
    </row>
    <row r="33" spans="2:5" ht="15.5" hidden="1" x14ac:dyDescent="0.35">
      <c r="B33" s="58"/>
      <c r="C33" s="60"/>
      <c r="D33" s="58"/>
      <c r="E33" s="60"/>
    </row>
  </sheetData>
  <sheetProtection algorithmName="SHA-512" hashValue="puPfMiPnIcJpEoIZwT9pfWl4puou12PdR/EV1R2Dt888mr7amlfyDDBy2vq1+nHLbX17mMJNMW3KGEdb7pLt5Q==" saltValue="8BETTD9TDAzRMYsOe+EzkA==" spinCount="100000" sheet="1" objects="1" scenarios="1"/>
  <pageMargins left="0.70866141732283472" right="0.70866141732283472" top="0.74803149606299213" bottom="0.74803149606299213" header="0.31496062992125984" footer="0.31496062992125984"/>
  <pageSetup paperSize="9" scale="44"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1595-8420-4FF6-B54A-516B7C594A2C}">
  <sheetPr codeName="Лист24">
    <tabColor theme="4" tint="0.79998168889431442"/>
  </sheetPr>
  <dimension ref="B1:D35"/>
  <sheetViews>
    <sheetView view="pageBreakPreview" zoomScale="60" zoomScaleNormal="60" workbookViewId="0">
      <selection activeCell="C28" sqref="C28"/>
    </sheetView>
  </sheetViews>
  <sheetFormatPr defaultRowHeight="14.5" x14ac:dyDescent="0.35"/>
  <cols>
    <col min="2" max="2" width="18" customWidth="1"/>
    <col min="3" max="3" width="157.7265625" customWidth="1"/>
    <col min="4" max="4" width="19.26953125" bestFit="1" customWidth="1"/>
  </cols>
  <sheetData>
    <row r="1" spans="2:4" x14ac:dyDescent="0.35">
      <c r="B1" s="62" t="s">
        <v>150</v>
      </c>
      <c r="C1" s="63">
        <f>VLOOKUP($C$5,'Жадваллар рўйхати'!$A:$E,2,FALSE)</f>
        <v>1806</v>
      </c>
      <c r="D1" s="64" t="s">
        <v>151</v>
      </c>
    </row>
    <row r="2" spans="2:4" x14ac:dyDescent="0.35">
      <c r="B2" s="65" t="s">
        <v>126</v>
      </c>
      <c r="C2" s="63" t="str">
        <f>VLOOKUP($C$5,'Жадваллар рўйхати'!$A:$E,3,FALSE)</f>
        <v>Суғурталовчилар ва қайта суғурталовчиларнинг тўлов қобилияти тўғрисидаги низом</v>
      </c>
      <c r="D2" s="29"/>
    </row>
    <row r="3" spans="2:4" x14ac:dyDescent="0.35">
      <c r="B3" s="67" t="s">
        <v>127</v>
      </c>
      <c r="C3" s="68">
        <f>VLOOKUP($C$5,'Жадваллар рўйхати'!$A:$E,4,FALSE)</f>
        <v>1</v>
      </c>
      <c r="D3" s="29"/>
    </row>
    <row r="4" spans="2:4" x14ac:dyDescent="0.35">
      <c r="B4" s="69" t="s">
        <v>128</v>
      </c>
      <c r="C4" s="70">
        <f>VLOOKUP(C5,'Жадваллар рўйхати'!$A:$E,2,FALSE)</f>
        <v>1806</v>
      </c>
      <c r="D4" s="23"/>
    </row>
    <row r="5" spans="2:4" x14ac:dyDescent="0.35">
      <c r="B5" s="67" t="s">
        <v>124</v>
      </c>
      <c r="C5" s="174" t="s">
        <v>152</v>
      </c>
      <c r="D5" s="29"/>
    </row>
    <row r="6" spans="2:4" x14ac:dyDescent="0.35">
      <c r="B6" s="29"/>
      <c r="C6" s="29"/>
      <c r="D6" s="29"/>
    </row>
    <row r="7" spans="2:4" ht="30" x14ac:dyDescent="0.35">
      <c r="B7" s="72" t="s">
        <v>153</v>
      </c>
      <c r="C7" s="72" t="s">
        <v>154</v>
      </c>
      <c r="D7" s="72" t="s">
        <v>155</v>
      </c>
    </row>
    <row r="8" spans="2:4" ht="25.5" customHeight="1" x14ac:dyDescent="0.35">
      <c r="B8" s="73" t="s">
        <v>156</v>
      </c>
      <c r="C8" s="74" t="s">
        <v>157</v>
      </c>
      <c r="D8" s="179"/>
    </row>
    <row r="9" spans="2:4" ht="25.5" customHeight="1" x14ac:dyDescent="0.35">
      <c r="B9" s="73" t="s">
        <v>158</v>
      </c>
      <c r="C9" s="74" t="s">
        <v>159</v>
      </c>
      <c r="D9" s="179"/>
    </row>
    <row r="10" spans="2:4" ht="25.5" customHeight="1" x14ac:dyDescent="0.35">
      <c r="B10" s="73" t="s">
        <v>160</v>
      </c>
      <c r="C10" s="74" t="s">
        <v>161</v>
      </c>
      <c r="D10" s="179"/>
    </row>
    <row r="11" spans="2:4" ht="25.5" customHeight="1" x14ac:dyDescent="0.35">
      <c r="B11" s="73" t="s">
        <v>162</v>
      </c>
      <c r="C11" s="74" t="s">
        <v>163</v>
      </c>
      <c r="D11" s="179"/>
    </row>
    <row r="12" spans="2:4" ht="25.5" customHeight="1" x14ac:dyDescent="0.35">
      <c r="B12" s="73" t="s">
        <v>164</v>
      </c>
      <c r="C12" s="74" t="s">
        <v>165</v>
      </c>
      <c r="D12" s="179"/>
    </row>
    <row r="13" spans="2:4" ht="42.75" customHeight="1" x14ac:dyDescent="0.35">
      <c r="B13" s="73" t="s">
        <v>166</v>
      </c>
      <c r="C13" s="74" t="s">
        <v>167</v>
      </c>
      <c r="D13" s="179"/>
    </row>
    <row r="14" spans="2:4" ht="36.75" customHeight="1" x14ac:dyDescent="0.35">
      <c r="B14" s="73" t="s">
        <v>168</v>
      </c>
      <c r="C14" s="74" t="s">
        <v>169</v>
      </c>
      <c r="D14" s="179"/>
    </row>
    <row r="15" spans="2:4" ht="25.5" customHeight="1" x14ac:dyDescent="0.35">
      <c r="B15" s="73" t="s">
        <v>170</v>
      </c>
      <c r="C15" s="74" t="s">
        <v>171</v>
      </c>
      <c r="D15" s="179"/>
    </row>
    <row r="16" spans="2:4" ht="25.5" customHeight="1" x14ac:dyDescent="0.35">
      <c r="B16" s="73" t="s">
        <v>172</v>
      </c>
      <c r="C16" s="74" t="s">
        <v>173</v>
      </c>
      <c r="D16" s="179"/>
    </row>
    <row r="17" spans="2:4" ht="39" customHeight="1" x14ac:dyDescent="0.35">
      <c r="B17" s="73" t="s">
        <v>174</v>
      </c>
      <c r="C17" s="74" t="s">
        <v>175</v>
      </c>
      <c r="D17" s="179"/>
    </row>
    <row r="18" spans="2:4" ht="25.5" customHeight="1" x14ac:dyDescent="0.35">
      <c r="B18" s="73" t="s">
        <v>176</v>
      </c>
      <c r="C18" s="74" t="s">
        <v>177</v>
      </c>
      <c r="D18" s="179"/>
    </row>
    <row r="19" spans="2:4" ht="35.25" customHeight="1" x14ac:dyDescent="0.35">
      <c r="B19" s="73" t="s">
        <v>178</v>
      </c>
      <c r="C19" s="74" t="s">
        <v>179</v>
      </c>
      <c r="D19" s="179"/>
    </row>
    <row r="20" spans="2:4" ht="25.5" customHeight="1" x14ac:dyDescent="0.35">
      <c r="B20" s="73" t="s">
        <v>180</v>
      </c>
      <c r="C20" s="74" t="s">
        <v>181</v>
      </c>
      <c r="D20" s="179"/>
    </row>
    <row r="21" spans="2:4" ht="25.5" customHeight="1" x14ac:dyDescent="0.35">
      <c r="B21" s="73" t="s">
        <v>182</v>
      </c>
      <c r="C21" s="74" t="s">
        <v>183</v>
      </c>
      <c r="D21" s="179"/>
    </row>
    <row r="22" spans="2:4" ht="25.5" customHeight="1" x14ac:dyDescent="0.35">
      <c r="B22" s="75" t="s">
        <v>184</v>
      </c>
      <c r="C22" s="76" t="s">
        <v>185</v>
      </c>
      <c r="D22" s="177"/>
    </row>
    <row r="23" spans="2:4" ht="25.5" customHeight="1" x14ac:dyDescent="0.35">
      <c r="B23" s="73" t="s">
        <v>186</v>
      </c>
      <c r="C23" s="74" t="s">
        <v>187</v>
      </c>
      <c r="D23" s="179"/>
    </row>
    <row r="24" spans="2:4" ht="28.5" customHeight="1" x14ac:dyDescent="0.35">
      <c r="B24" s="73" t="s">
        <v>188</v>
      </c>
      <c r="C24" s="74" t="s">
        <v>189</v>
      </c>
      <c r="D24" s="179"/>
    </row>
    <row r="25" spans="2:4" ht="25.5" customHeight="1" x14ac:dyDescent="0.35">
      <c r="B25" s="73" t="s">
        <v>190</v>
      </c>
      <c r="C25" s="74" t="s">
        <v>191</v>
      </c>
      <c r="D25" s="179"/>
    </row>
    <row r="26" spans="2:4" ht="25.5" customHeight="1" x14ac:dyDescent="0.35">
      <c r="B26" s="73" t="s">
        <v>192</v>
      </c>
      <c r="C26" s="74" t="s">
        <v>193</v>
      </c>
      <c r="D26" s="179"/>
    </row>
    <row r="27" spans="2:4" ht="25.5" customHeight="1" x14ac:dyDescent="0.35">
      <c r="B27" s="73" t="s">
        <v>194</v>
      </c>
      <c r="C27" s="74" t="s">
        <v>195</v>
      </c>
      <c r="D27" s="179"/>
    </row>
    <row r="28" spans="2:4" ht="33" customHeight="1" x14ac:dyDescent="0.35">
      <c r="B28" s="73" t="s">
        <v>196</v>
      </c>
      <c r="C28" s="74" t="s">
        <v>1287</v>
      </c>
      <c r="D28" s="179"/>
    </row>
    <row r="29" spans="2:4" ht="25.5" customHeight="1" x14ac:dyDescent="0.35">
      <c r="B29" s="73" t="s">
        <v>197</v>
      </c>
      <c r="C29" s="74" t="s">
        <v>198</v>
      </c>
      <c r="D29" s="179"/>
    </row>
    <row r="30" spans="2:4" ht="36.75" customHeight="1" x14ac:dyDescent="0.35">
      <c r="B30" s="73" t="s">
        <v>199</v>
      </c>
      <c r="C30" s="74" t="s">
        <v>200</v>
      </c>
      <c r="D30" s="179"/>
    </row>
    <row r="31" spans="2:4" ht="25.5" customHeight="1" x14ac:dyDescent="0.35">
      <c r="B31" s="73" t="s">
        <v>201</v>
      </c>
      <c r="C31" s="74" t="s">
        <v>202</v>
      </c>
      <c r="D31" s="179"/>
    </row>
    <row r="32" spans="2:4" ht="25.5" customHeight="1" x14ac:dyDescent="0.35">
      <c r="B32" s="73" t="s">
        <v>203</v>
      </c>
      <c r="C32" s="74" t="s">
        <v>204</v>
      </c>
      <c r="D32" s="179"/>
    </row>
    <row r="33" spans="2:4" ht="25.5" customHeight="1" x14ac:dyDescent="0.35">
      <c r="B33" s="73" t="s">
        <v>205</v>
      </c>
      <c r="C33" s="74" t="s">
        <v>206</v>
      </c>
      <c r="D33" s="179"/>
    </row>
    <row r="34" spans="2:4" ht="25.5" customHeight="1" x14ac:dyDescent="0.35">
      <c r="B34" s="75" t="s">
        <v>207</v>
      </c>
      <c r="C34" s="76" t="s">
        <v>208</v>
      </c>
      <c r="D34" s="177"/>
    </row>
    <row r="35" spans="2:4" ht="25.5" customHeight="1" x14ac:dyDescent="0.35">
      <c r="B35" s="77" t="s">
        <v>209</v>
      </c>
      <c r="C35" s="78" t="s">
        <v>210</v>
      </c>
      <c r="D35" s="178"/>
    </row>
  </sheetData>
  <sheetProtection algorithmName="SHA-512" hashValue="HSlb1eOt6NhgOFyFTTe9ha3FEc51Std5ROPeaPKpLF6XdVbi+VEkbWh/ezzBVRMs7vbLiX3rAcNBfb1H9b494w==" saltValue="ELY+T3Slcbup8YwVZTA67g==" spinCount="100000" sheet="1" objects="1" scenarios="1" formatCells="0"/>
  <protectedRanges>
    <protectedRange sqref="D8:D35" name="Диапазон1_1"/>
  </protectedRanges>
  <hyperlinks>
    <hyperlink ref="D1" location="'Жадваллар рўйхати'!A1" display="Жадваллар рўйхати" xr:uid="{F55A835B-596C-420B-AC83-B44F27F8D801}"/>
  </hyperlinks>
  <pageMargins left="0.7" right="0.7" top="0.75" bottom="0.75" header="0.3" footer="0.3"/>
  <pageSetup paperSize="9" scale="42"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A3514-ED4D-4ABA-BEBC-BF3A4BBB447D}">
  <sheetPr codeName="Лист25">
    <tabColor theme="4" tint="0.79998168889431442"/>
  </sheetPr>
  <dimension ref="B1:D40"/>
  <sheetViews>
    <sheetView view="pageBreakPreview" zoomScale="60" zoomScaleNormal="60" workbookViewId="0">
      <selection activeCell="C8" sqref="C8"/>
    </sheetView>
  </sheetViews>
  <sheetFormatPr defaultRowHeight="14.5" x14ac:dyDescent="0.35"/>
  <cols>
    <col min="2" max="2" width="14" bestFit="1" customWidth="1"/>
    <col min="3" max="3" width="157.7265625" customWidth="1"/>
    <col min="4" max="4" width="19.26953125" bestFit="1" customWidth="1"/>
  </cols>
  <sheetData>
    <row r="1" spans="2:4" x14ac:dyDescent="0.35">
      <c r="B1" s="62" t="s">
        <v>150</v>
      </c>
      <c r="C1" s="63">
        <f>VLOOKUP($C$5,'Жадваллар рўйхати'!$A:$E,2,FALSE)</f>
        <v>1806</v>
      </c>
      <c r="D1" s="64" t="s">
        <v>151</v>
      </c>
    </row>
    <row r="2" spans="2:4" x14ac:dyDescent="0.35">
      <c r="B2" s="65" t="s">
        <v>126</v>
      </c>
      <c r="C2" s="66" t="str">
        <f>VLOOKUP($C$5,'Жадваллар рўйхати'!$A:$E,3,FALSE)</f>
        <v>Суғурталовчилар ва қайта суғурталовчиларнинг тўлов қобилияти тўғрисидаги низом</v>
      </c>
      <c r="D2" s="29"/>
    </row>
    <row r="3" spans="2:4" x14ac:dyDescent="0.35">
      <c r="B3" s="67" t="s">
        <v>127</v>
      </c>
      <c r="C3" s="68">
        <f>VLOOKUP($C$5,'Жадваллар рўйхати'!$A:$E,4,FALSE)</f>
        <v>2</v>
      </c>
      <c r="D3" s="29"/>
    </row>
    <row r="4" spans="2:4" x14ac:dyDescent="0.35">
      <c r="B4" s="69" t="s">
        <v>128</v>
      </c>
      <c r="C4" s="70" t="str">
        <f>VLOOKUP($C$5,'Жадваллар рўйхати'!$A:$E,5,FALSE)</f>
        <v>Ҳаётни суғурта қилиш соҳасида суғурта фаолиятини амалга оширадиган суғурталовчининг тўлов қобилияти маржасининг етарлилиги нормативи ҳисоб-китоби</v>
      </c>
      <c r="D4" s="29"/>
    </row>
    <row r="5" spans="2:4" x14ac:dyDescent="0.35">
      <c r="B5" s="67" t="s">
        <v>124</v>
      </c>
      <c r="C5" s="176" t="s">
        <v>211</v>
      </c>
      <c r="D5" s="29"/>
    </row>
    <row r="6" spans="2:4" x14ac:dyDescent="0.35">
      <c r="B6" s="29"/>
      <c r="C6" s="29"/>
      <c r="D6" s="29"/>
    </row>
    <row r="7" spans="2:4" ht="30" x14ac:dyDescent="0.35">
      <c r="B7" s="72" t="s">
        <v>153</v>
      </c>
      <c r="C7" s="72" t="s">
        <v>154</v>
      </c>
      <c r="D7" s="72" t="s">
        <v>155</v>
      </c>
    </row>
    <row r="8" spans="2:4" ht="15.5" x14ac:dyDescent="0.35">
      <c r="B8" s="73" t="s">
        <v>156</v>
      </c>
      <c r="C8" s="74" t="s">
        <v>157</v>
      </c>
      <c r="D8" s="82"/>
    </row>
    <row r="9" spans="2:4" ht="25.5" customHeight="1" x14ac:dyDescent="0.35">
      <c r="B9" s="73" t="s">
        <v>158</v>
      </c>
      <c r="C9" s="74" t="s">
        <v>212</v>
      </c>
      <c r="D9" s="82"/>
    </row>
    <row r="10" spans="2:4" ht="25.5" customHeight="1" x14ac:dyDescent="0.35">
      <c r="B10" s="73" t="s">
        <v>160</v>
      </c>
      <c r="C10" s="74" t="s">
        <v>213</v>
      </c>
      <c r="D10" s="82"/>
    </row>
    <row r="11" spans="2:4" ht="25.5" customHeight="1" x14ac:dyDescent="0.35">
      <c r="B11" s="73" t="s">
        <v>162</v>
      </c>
      <c r="C11" s="74" t="s">
        <v>214</v>
      </c>
      <c r="D11" s="82"/>
    </row>
    <row r="12" spans="2:4" ht="25.5" customHeight="1" x14ac:dyDescent="0.35">
      <c r="B12" s="73" t="s">
        <v>164</v>
      </c>
      <c r="C12" s="74" t="s">
        <v>215</v>
      </c>
      <c r="D12" s="82"/>
    </row>
    <row r="13" spans="2:4" ht="34.5" customHeight="1" x14ac:dyDescent="0.35">
      <c r="B13" s="73" t="s">
        <v>166</v>
      </c>
      <c r="C13" s="74" t="s">
        <v>216</v>
      </c>
      <c r="D13" s="82"/>
    </row>
    <row r="14" spans="2:4" ht="42.75" customHeight="1" x14ac:dyDescent="0.35">
      <c r="B14" s="73" t="s">
        <v>168</v>
      </c>
      <c r="C14" s="74" t="s">
        <v>217</v>
      </c>
      <c r="D14" s="82"/>
    </row>
    <row r="15" spans="2:4" ht="36.75" customHeight="1" x14ac:dyDescent="0.35">
      <c r="B15" s="73" t="s">
        <v>170</v>
      </c>
      <c r="C15" s="74" t="s">
        <v>218</v>
      </c>
      <c r="D15" s="82"/>
    </row>
    <row r="16" spans="2:4" ht="30.75" customHeight="1" x14ac:dyDescent="0.35">
      <c r="B16" s="73" t="s">
        <v>172</v>
      </c>
      <c r="C16" s="74" t="s">
        <v>219</v>
      </c>
      <c r="D16" s="82"/>
    </row>
    <row r="17" spans="2:4" ht="37.5" customHeight="1" x14ac:dyDescent="0.35">
      <c r="B17" s="73" t="s">
        <v>174</v>
      </c>
      <c r="C17" s="74" t="s">
        <v>220</v>
      </c>
      <c r="D17" s="82"/>
    </row>
    <row r="18" spans="2:4" ht="39" customHeight="1" x14ac:dyDescent="0.35">
      <c r="B18" s="73" t="s">
        <v>176</v>
      </c>
      <c r="C18" s="74" t="s">
        <v>221</v>
      </c>
      <c r="D18" s="82"/>
    </row>
    <row r="19" spans="2:4" ht="25.5" customHeight="1" x14ac:dyDescent="0.35">
      <c r="B19" s="73" t="s">
        <v>178</v>
      </c>
      <c r="C19" s="74" t="s">
        <v>222</v>
      </c>
      <c r="D19" s="82"/>
    </row>
    <row r="20" spans="2:4" ht="35.25" customHeight="1" x14ac:dyDescent="0.35">
      <c r="B20" s="73" t="s">
        <v>180</v>
      </c>
      <c r="C20" s="74" t="s">
        <v>223</v>
      </c>
      <c r="D20" s="82"/>
    </row>
    <row r="21" spans="2:4" ht="25.5" customHeight="1" x14ac:dyDescent="0.35">
      <c r="B21" s="73" t="s">
        <v>182</v>
      </c>
      <c r="C21" s="74" t="s">
        <v>224</v>
      </c>
      <c r="D21" s="82"/>
    </row>
    <row r="22" spans="2:4" ht="25.5" customHeight="1" x14ac:dyDescent="0.35">
      <c r="B22" s="73" t="s">
        <v>184</v>
      </c>
      <c r="C22" s="74" t="s">
        <v>225</v>
      </c>
      <c r="D22" s="82"/>
    </row>
    <row r="23" spans="2:4" ht="25.5" customHeight="1" x14ac:dyDescent="0.35">
      <c r="B23" s="73" t="s">
        <v>186</v>
      </c>
      <c r="C23" s="74" t="s">
        <v>226</v>
      </c>
      <c r="D23" s="82"/>
    </row>
    <row r="24" spans="2:4" ht="25.5" customHeight="1" x14ac:dyDescent="0.35">
      <c r="B24" s="75" t="s">
        <v>188</v>
      </c>
      <c r="C24" s="76" t="s">
        <v>227</v>
      </c>
      <c r="D24" s="83"/>
    </row>
    <row r="25" spans="2:4" ht="28.5" customHeight="1" x14ac:dyDescent="0.35">
      <c r="B25" s="73" t="s">
        <v>190</v>
      </c>
      <c r="C25" s="74" t="s">
        <v>187</v>
      </c>
      <c r="D25" s="82"/>
    </row>
    <row r="26" spans="2:4" ht="44.25" customHeight="1" x14ac:dyDescent="0.35">
      <c r="B26" s="73" t="s">
        <v>192</v>
      </c>
      <c r="C26" s="74" t="s">
        <v>189</v>
      </c>
      <c r="D26" s="82"/>
    </row>
    <row r="27" spans="2:4" ht="25.5" customHeight="1" x14ac:dyDescent="0.35">
      <c r="B27" s="73" t="s">
        <v>194</v>
      </c>
      <c r="C27" s="74" t="s">
        <v>191</v>
      </c>
      <c r="D27" s="82"/>
    </row>
    <row r="28" spans="2:4" ht="25.5" customHeight="1" x14ac:dyDescent="0.35">
      <c r="B28" s="73" t="s">
        <v>196</v>
      </c>
      <c r="C28" s="74" t="s">
        <v>193</v>
      </c>
      <c r="D28" s="82"/>
    </row>
    <row r="29" spans="2:4" ht="25.5" customHeight="1" x14ac:dyDescent="0.35">
      <c r="B29" s="73" t="s">
        <v>197</v>
      </c>
      <c r="C29" s="74" t="s">
        <v>195</v>
      </c>
      <c r="D29" s="82"/>
    </row>
    <row r="30" spans="2:4" ht="40.5" customHeight="1" x14ac:dyDescent="0.35">
      <c r="B30" s="73" t="s">
        <v>199</v>
      </c>
      <c r="C30" s="74" t="s">
        <v>1287</v>
      </c>
      <c r="D30" s="82"/>
    </row>
    <row r="31" spans="2:4" ht="25.5" customHeight="1" x14ac:dyDescent="0.35">
      <c r="B31" s="73" t="s">
        <v>201</v>
      </c>
      <c r="C31" s="74" t="s">
        <v>228</v>
      </c>
      <c r="D31" s="82"/>
    </row>
    <row r="32" spans="2:4" ht="25.5" customHeight="1" x14ac:dyDescent="0.35">
      <c r="B32" s="73" t="s">
        <v>203</v>
      </c>
      <c r="C32" s="74" t="s">
        <v>200</v>
      </c>
      <c r="D32" s="82"/>
    </row>
    <row r="33" spans="2:4" ht="25.5" customHeight="1" x14ac:dyDescent="0.35">
      <c r="B33" s="73" t="s">
        <v>205</v>
      </c>
      <c r="C33" s="74" t="s">
        <v>202</v>
      </c>
      <c r="D33" s="82"/>
    </row>
    <row r="34" spans="2:4" ht="25.5" customHeight="1" x14ac:dyDescent="0.35">
      <c r="B34" s="73" t="s">
        <v>207</v>
      </c>
      <c r="C34" s="74" t="s">
        <v>204</v>
      </c>
      <c r="D34" s="82"/>
    </row>
    <row r="35" spans="2:4" ht="25.5" customHeight="1" x14ac:dyDescent="0.35">
      <c r="B35" s="73" t="s">
        <v>209</v>
      </c>
      <c r="C35" s="74" t="s">
        <v>229</v>
      </c>
      <c r="D35" s="82"/>
    </row>
    <row r="36" spans="2:4" ht="25.5" customHeight="1" x14ac:dyDescent="0.35">
      <c r="B36" s="75" t="s">
        <v>230</v>
      </c>
      <c r="C36" s="76" t="s">
        <v>231</v>
      </c>
      <c r="D36" s="83"/>
    </row>
    <row r="37" spans="2:4" ht="15" x14ac:dyDescent="0.35">
      <c r="B37" s="77" t="s">
        <v>232</v>
      </c>
      <c r="C37" s="78" t="s">
        <v>233</v>
      </c>
      <c r="D37" s="84"/>
    </row>
    <row r="38" spans="2:4" x14ac:dyDescent="0.35">
      <c r="B38" s="29"/>
      <c r="C38" s="29"/>
      <c r="D38" s="29"/>
    </row>
    <row r="39" spans="2:4" x14ac:dyDescent="0.35">
      <c r="B39" s="254" t="s">
        <v>234</v>
      </c>
      <c r="C39" s="254"/>
      <c r="D39" s="254"/>
    </row>
    <row r="40" spans="2:4" x14ac:dyDescent="0.35">
      <c r="B40" s="254"/>
      <c r="C40" s="254"/>
      <c r="D40" s="254"/>
    </row>
  </sheetData>
  <sheetProtection algorithmName="SHA-512" hashValue="cXO+N+B/B71G7NiYV5jy6IuIcuMLgni8KzGNLpbfIurqPAbKPxWc4fdMpc06kok8Td9u3uxB1bm9P9xObj8T4A==" saltValue="zm6LsEYJTYhTC/fXW4Vdeg==" spinCount="100000" sheet="1" objects="1" scenarios="1" formatCells="0"/>
  <protectedRanges>
    <protectedRange sqref="D8:D37" name="Диапазон1"/>
  </protectedRanges>
  <mergeCells count="1">
    <mergeCell ref="B39:D40"/>
  </mergeCells>
  <hyperlinks>
    <hyperlink ref="D1" location="'Жадваллар рўйхати'!A1" display="Жадваллар рўйхати" xr:uid="{1C4DE19F-EC24-4D32-B8E6-5BCF2EAFEFB7}"/>
  </hyperlinks>
  <pageMargins left="0.7" right="0.7" top="0.75" bottom="0.75" header="0.3" footer="0.3"/>
  <pageSetup paperSize="9" scale="43"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0D15B-FD02-4F92-A127-C753E05B9FA1}">
  <sheetPr codeName="Лист26">
    <tabColor theme="4" tint="0.79998168889431442"/>
  </sheetPr>
  <dimension ref="B1:E20"/>
  <sheetViews>
    <sheetView view="pageBreakPreview" topLeftCell="A4" zoomScale="60" zoomScaleNormal="60" workbookViewId="0">
      <selection activeCell="C9" sqref="C9:C19"/>
    </sheetView>
  </sheetViews>
  <sheetFormatPr defaultRowHeight="14.5" x14ac:dyDescent="0.35"/>
  <cols>
    <col min="2" max="2" width="14" bestFit="1" customWidth="1"/>
    <col min="3" max="3" width="157.7265625" customWidth="1"/>
    <col min="4" max="4" width="21.1796875" customWidth="1"/>
    <col min="5" max="5" width="23" customWidth="1"/>
  </cols>
  <sheetData>
    <row r="1" spans="2:5" x14ac:dyDescent="0.35">
      <c r="B1" s="62" t="s">
        <v>150</v>
      </c>
      <c r="C1" s="63">
        <f>VLOOKUP($C$5,'Жадваллар рўйхати'!$A:$E,2,FALSE)</f>
        <v>1806</v>
      </c>
      <c r="D1" s="64" t="s">
        <v>151</v>
      </c>
      <c r="E1" s="85"/>
    </row>
    <row r="2" spans="2:5" x14ac:dyDescent="0.35">
      <c r="B2" s="65" t="s">
        <v>126</v>
      </c>
      <c r="C2" s="66" t="str">
        <f>VLOOKUP($C$5,'Жадваллар рўйхати'!$A:$E,3,FALSE)</f>
        <v>Суғурталовчилар ва қайта суғурталовчиларнинг тўлов қобилияти тўғрисидаги низом</v>
      </c>
      <c r="D2" s="29"/>
      <c r="E2" s="86"/>
    </row>
    <row r="3" spans="2:5" x14ac:dyDescent="0.35">
      <c r="B3" s="67" t="s">
        <v>127</v>
      </c>
      <c r="C3" s="68">
        <f>VLOOKUP($C$5,'Жадваллар рўйхати'!$A:$E,4,FALSE)</f>
        <v>3</v>
      </c>
      <c r="D3" s="29"/>
      <c r="E3" s="29"/>
    </row>
    <row r="4" spans="2:5" ht="43.5" x14ac:dyDescent="0.35">
      <c r="B4" s="69" t="s">
        <v>128</v>
      </c>
      <c r="C4" s="70" t="str">
        <f>VLOOKUP($C$5,'Жадваллар рўйхати'!$A:$E,5,FALSE)</f>
        <v>Суғурталовчи/қайта суғурталовчининг алоҳида таваккалчиликлар бўйича мажбуриятларнинг йўл қўйиладиган энг кўп миқдори ва мажбуриятлар жамининг йўл қўйиладиган энг кўп миқдори нормативларига риоя қилганлиги ҳамда суғурталовчи (қайта суғурталовчи) активларини жойлаштиришга оид талабларга риоя қилинганлиги тўғрисида маълумотлар</v>
      </c>
      <c r="D4" s="29"/>
      <c r="E4" s="29"/>
    </row>
    <row r="5" spans="2:5" x14ac:dyDescent="0.35">
      <c r="B5" s="67" t="s">
        <v>124</v>
      </c>
      <c r="C5" s="71" t="s">
        <v>235</v>
      </c>
      <c r="D5" s="29"/>
      <c r="E5" s="29"/>
    </row>
    <row r="6" spans="2:5" x14ac:dyDescent="0.35">
      <c r="B6" s="29"/>
      <c r="C6" s="29"/>
      <c r="D6" s="29"/>
      <c r="E6" s="29"/>
    </row>
    <row r="7" spans="2:5" ht="21" customHeight="1" x14ac:dyDescent="0.35">
      <c r="B7" s="87" t="s">
        <v>153</v>
      </c>
      <c r="C7" s="87" t="s">
        <v>154</v>
      </c>
      <c r="D7" s="255" t="s">
        <v>236</v>
      </c>
      <c r="E7" s="255"/>
    </row>
    <row r="8" spans="2:5" ht="33" customHeight="1" x14ac:dyDescent="0.35">
      <c r="B8" s="88"/>
      <c r="C8" s="89"/>
      <c r="D8" s="87" t="s">
        <v>237</v>
      </c>
      <c r="E8" s="87" t="s">
        <v>238</v>
      </c>
    </row>
    <row r="9" spans="2:5" ht="45" customHeight="1" x14ac:dyDescent="0.35">
      <c r="B9" s="73" t="s">
        <v>156</v>
      </c>
      <c r="C9" s="74" t="s">
        <v>239</v>
      </c>
      <c r="D9" s="96"/>
      <c r="E9" s="180"/>
    </row>
    <row r="10" spans="2:5" ht="45" customHeight="1" x14ac:dyDescent="0.35">
      <c r="B10" s="73" t="s">
        <v>240</v>
      </c>
      <c r="C10" s="74" t="s">
        <v>241</v>
      </c>
      <c r="D10" s="96"/>
      <c r="E10" s="180"/>
    </row>
    <row r="11" spans="2:5" ht="45" customHeight="1" x14ac:dyDescent="0.35">
      <c r="B11" s="73" t="s">
        <v>158</v>
      </c>
      <c r="C11" s="74" t="s">
        <v>242</v>
      </c>
      <c r="D11" s="96"/>
      <c r="E11" s="180"/>
    </row>
    <row r="12" spans="2:5" ht="45" customHeight="1" x14ac:dyDescent="0.35">
      <c r="B12" s="73" t="s">
        <v>243</v>
      </c>
      <c r="C12" s="74" t="s">
        <v>244</v>
      </c>
      <c r="D12" s="96"/>
      <c r="E12" s="180"/>
    </row>
    <row r="13" spans="2:5" ht="45" customHeight="1" x14ac:dyDescent="0.35">
      <c r="B13" s="73" t="s">
        <v>160</v>
      </c>
      <c r="C13" s="74" t="s">
        <v>245</v>
      </c>
      <c r="D13" s="96"/>
      <c r="E13" s="180"/>
    </row>
    <row r="14" spans="2:5" ht="45" customHeight="1" x14ac:dyDescent="0.35">
      <c r="B14" s="73" t="s">
        <v>162</v>
      </c>
      <c r="C14" s="74" t="s">
        <v>246</v>
      </c>
      <c r="D14" s="96"/>
      <c r="E14" s="180"/>
    </row>
    <row r="15" spans="2:5" ht="45" customHeight="1" x14ac:dyDescent="0.35">
      <c r="B15" s="73" t="s">
        <v>164</v>
      </c>
      <c r="C15" s="74" t="s">
        <v>247</v>
      </c>
      <c r="D15" s="96"/>
      <c r="E15" s="180"/>
    </row>
    <row r="16" spans="2:5" ht="45" customHeight="1" x14ac:dyDescent="0.35">
      <c r="B16" s="73" t="s">
        <v>166</v>
      </c>
      <c r="C16" s="74" t="s">
        <v>248</v>
      </c>
      <c r="D16" s="96"/>
      <c r="E16" s="180"/>
    </row>
    <row r="17" spans="2:5" ht="45" customHeight="1" x14ac:dyDescent="0.35">
      <c r="B17" s="73" t="s">
        <v>168</v>
      </c>
      <c r="C17" s="74" t="s">
        <v>249</v>
      </c>
      <c r="D17" s="96"/>
      <c r="E17" s="180"/>
    </row>
    <row r="18" spans="2:5" ht="45" customHeight="1" x14ac:dyDescent="0.35">
      <c r="B18" s="73" t="s">
        <v>170</v>
      </c>
      <c r="C18" s="74" t="s">
        <v>1288</v>
      </c>
      <c r="D18" s="96"/>
      <c r="E18" s="180"/>
    </row>
    <row r="19" spans="2:5" ht="45" customHeight="1" x14ac:dyDescent="0.35">
      <c r="B19" s="73" t="s">
        <v>172</v>
      </c>
      <c r="C19" s="74" t="s">
        <v>250</v>
      </c>
      <c r="D19" s="96"/>
      <c r="E19" s="180"/>
    </row>
    <row r="20" spans="2:5" ht="35.25" customHeight="1" x14ac:dyDescent="0.35">
      <c r="B20" s="73" t="s">
        <v>174</v>
      </c>
      <c r="C20" s="74" t="s">
        <v>251</v>
      </c>
      <c r="D20" s="96"/>
      <c r="E20" s="180"/>
    </row>
  </sheetData>
  <sheetProtection algorithmName="SHA-512" hashValue="Lrc6KJzEhVajFeJdwAFDs1UDU2rNqVE3FMy3t5qw/h9AECKGcTZRJfAOlI4UBn6C9lP+RbsfXKoLmJig4V/SNw==" saltValue="oj4bnhdmhBVFmWuIsXk1fg==" spinCount="100000" sheet="1" objects="1" scenarios="1" formatCells="0"/>
  <protectedRanges>
    <protectedRange sqref="D9:E20" name="Диапазон1_1"/>
  </protectedRanges>
  <mergeCells count="1">
    <mergeCell ref="D7:E7"/>
  </mergeCells>
  <hyperlinks>
    <hyperlink ref="D1" location="'Жадваллар рўйхати'!A1" display="Жадваллар рўйхати" xr:uid="{654F988A-E98E-431D-9A8E-BFB5483321DD}"/>
  </hyperlinks>
  <pageMargins left="0.7" right="0.7" top="0.75" bottom="0.75" header="0.3" footer="0.3"/>
  <pageSetup paperSize="9" scale="38" orientation="portrait"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33F68-4530-4722-9928-1971D5CFFC3A}">
  <sheetPr codeName="Лист27">
    <tabColor theme="4" tint="0.79998168889431442"/>
  </sheetPr>
  <dimension ref="B1:F21"/>
  <sheetViews>
    <sheetView view="pageBreakPreview" zoomScale="60" zoomScaleNormal="60" workbookViewId="0">
      <selection activeCell="F7" sqref="F7"/>
    </sheetView>
  </sheetViews>
  <sheetFormatPr defaultRowHeight="14.5" x14ac:dyDescent="0.35"/>
  <cols>
    <col min="2" max="2" width="14" bestFit="1" customWidth="1"/>
    <col min="3" max="3" width="157.7265625" customWidth="1"/>
    <col min="4" max="4" width="26.54296875" customWidth="1"/>
    <col min="5" max="5" width="25" customWidth="1"/>
    <col min="6" max="6" width="27.453125" customWidth="1"/>
  </cols>
  <sheetData>
    <row r="1" spans="2:6" x14ac:dyDescent="0.35">
      <c r="B1" s="62" t="s">
        <v>150</v>
      </c>
      <c r="C1" s="63">
        <f>VLOOKUP($C$5,'Жадваллар рўйхати'!$A:$E,2,FALSE)</f>
        <v>1806</v>
      </c>
      <c r="D1" s="64" t="s">
        <v>151</v>
      </c>
      <c r="E1" s="85"/>
      <c r="F1" s="85"/>
    </row>
    <row r="2" spans="2:6" x14ac:dyDescent="0.35">
      <c r="B2" s="65" t="s">
        <v>126</v>
      </c>
      <c r="C2" s="66" t="str">
        <f>VLOOKUP($C$5,'Жадваллар рўйхати'!$A:$E,3,FALSE)</f>
        <v>Суғурталовчилар ва қайта суғурталовчиларнинг тўлов қобилияти тўғрисидаги низом</v>
      </c>
      <c r="D2" s="29"/>
      <c r="E2" s="86"/>
      <c r="F2" s="91"/>
    </row>
    <row r="3" spans="2:6" x14ac:dyDescent="0.35">
      <c r="B3" s="67" t="s">
        <v>127</v>
      </c>
      <c r="C3" s="68">
        <f>VLOOKUP($C$5,'Жадваллар рўйхати'!$A:$E,4,FALSE)</f>
        <v>4</v>
      </c>
      <c r="D3" s="29"/>
      <c r="E3" s="29"/>
      <c r="F3" s="29"/>
    </row>
    <row r="4" spans="2:6" x14ac:dyDescent="0.35">
      <c r="B4" s="69" t="s">
        <v>128</v>
      </c>
      <c r="C4" s="70" t="str">
        <f>VLOOKUP($C$5,'Жадваллар рўйхати'!$A:$E,5,FALSE)</f>
        <v>Суғурталовчи/қайта суғурталовчининг ҳар қандай битта юридик шахснинг устав капиталида иштирок этиш улуши ҳисоб-китоби</v>
      </c>
      <c r="D4" s="29"/>
      <c r="E4" s="29"/>
      <c r="F4" s="29"/>
    </row>
    <row r="5" spans="2:6" x14ac:dyDescent="0.35">
      <c r="B5" s="67" t="s">
        <v>124</v>
      </c>
      <c r="C5" s="71" t="s">
        <v>252</v>
      </c>
      <c r="D5" s="29"/>
      <c r="E5" s="29"/>
      <c r="F5" s="29"/>
    </row>
    <row r="6" spans="2:6" x14ac:dyDescent="0.35">
      <c r="B6" s="29"/>
      <c r="C6" s="29"/>
      <c r="D6" s="29"/>
      <c r="E6" s="29"/>
      <c r="F6" s="29"/>
    </row>
    <row r="7" spans="2:6" ht="74" customHeight="1" x14ac:dyDescent="0.35">
      <c r="B7" s="87" t="s">
        <v>253</v>
      </c>
      <c r="C7" s="87" t="s">
        <v>254</v>
      </c>
      <c r="D7" s="72" t="s">
        <v>255</v>
      </c>
      <c r="E7" s="72" t="s">
        <v>256</v>
      </c>
      <c r="F7" s="72" t="s">
        <v>257</v>
      </c>
    </row>
    <row r="8" spans="2:6" ht="31.5" customHeight="1" x14ac:dyDescent="0.35">
      <c r="B8" s="73">
        <v>1</v>
      </c>
      <c r="C8" s="74"/>
      <c r="D8" s="82"/>
      <c r="E8" s="90"/>
      <c r="F8" s="82"/>
    </row>
    <row r="9" spans="2:6" ht="25.5" customHeight="1" x14ac:dyDescent="0.35">
      <c r="B9" s="73">
        <f>B8+1</f>
        <v>2</v>
      </c>
      <c r="C9" s="74"/>
      <c r="D9" s="82"/>
      <c r="E9" s="90"/>
      <c r="F9" s="82"/>
    </row>
    <row r="10" spans="2:6" ht="25.5" customHeight="1" x14ac:dyDescent="0.35">
      <c r="B10" s="73">
        <f t="shared" ref="B10:B21" si="0">B9+1</f>
        <v>3</v>
      </c>
      <c r="C10" s="74"/>
      <c r="D10" s="82"/>
      <c r="E10" s="90"/>
      <c r="F10" s="82"/>
    </row>
    <row r="11" spans="2:6" ht="25.5" customHeight="1" x14ac:dyDescent="0.35">
      <c r="B11" s="73">
        <f t="shared" si="0"/>
        <v>4</v>
      </c>
      <c r="C11" s="74"/>
      <c r="D11" s="82"/>
      <c r="E11" s="90"/>
      <c r="F11" s="82"/>
    </row>
    <row r="12" spans="2:6" ht="25.5" customHeight="1" x14ac:dyDescent="0.35">
      <c r="B12" s="73">
        <f t="shared" si="0"/>
        <v>5</v>
      </c>
      <c r="C12" s="74"/>
      <c r="D12" s="82"/>
      <c r="E12" s="90"/>
      <c r="F12" s="82"/>
    </row>
    <row r="13" spans="2:6" ht="34.5" customHeight="1" x14ac:dyDescent="0.35">
      <c r="B13" s="73">
        <f t="shared" si="0"/>
        <v>6</v>
      </c>
      <c r="C13" s="74"/>
      <c r="D13" s="82"/>
      <c r="E13" s="90"/>
      <c r="F13" s="82"/>
    </row>
    <row r="14" spans="2:6" ht="42.75" customHeight="1" x14ac:dyDescent="0.35">
      <c r="B14" s="73">
        <f t="shared" si="0"/>
        <v>7</v>
      </c>
      <c r="C14" s="74"/>
      <c r="D14" s="82"/>
      <c r="E14" s="90"/>
      <c r="F14" s="82"/>
    </row>
    <row r="15" spans="2:6" ht="36.75" customHeight="1" x14ac:dyDescent="0.35">
      <c r="B15" s="73">
        <f t="shared" si="0"/>
        <v>8</v>
      </c>
      <c r="C15" s="74"/>
      <c r="D15" s="82"/>
      <c r="E15" s="90"/>
      <c r="F15" s="82"/>
    </row>
    <row r="16" spans="2:6" ht="25.5" customHeight="1" x14ac:dyDescent="0.35">
      <c r="B16" s="73">
        <f t="shared" si="0"/>
        <v>9</v>
      </c>
      <c r="C16" s="74"/>
      <c r="D16" s="82"/>
      <c r="E16" s="90"/>
      <c r="F16" s="82"/>
    </row>
    <row r="17" spans="2:6" ht="25.5" customHeight="1" x14ac:dyDescent="0.35">
      <c r="B17" s="73">
        <f t="shared" si="0"/>
        <v>10</v>
      </c>
      <c r="C17" s="74"/>
      <c r="D17" s="82"/>
      <c r="E17" s="90"/>
      <c r="F17" s="82"/>
    </row>
    <row r="18" spans="2:6" ht="39" customHeight="1" x14ac:dyDescent="0.35">
      <c r="B18" s="73">
        <f t="shared" si="0"/>
        <v>11</v>
      </c>
      <c r="C18" s="74"/>
      <c r="D18" s="82"/>
      <c r="E18" s="90"/>
      <c r="F18" s="82"/>
    </row>
    <row r="19" spans="2:6" ht="25.5" customHeight="1" x14ac:dyDescent="0.35">
      <c r="B19" s="73">
        <f t="shared" si="0"/>
        <v>12</v>
      </c>
      <c r="C19" s="74"/>
      <c r="D19" s="82"/>
      <c r="E19" s="90"/>
      <c r="F19" s="82"/>
    </row>
    <row r="20" spans="2:6" ht="35.25" customHeight="1" x14ac:dyDescent="0.35">
      <c r="B20" s="73">
        <f t="shared" si="0"/>
        <v>13</v>
      </c>
      <c r="C20" s="74"/>
      <c r="D20" s="82"/>
      <c r="E20" s="90"/>
      <c r="F20" s="82"/>
    </row>
    <row r="21" spans="2:6" ht="15.5" x14ac:dyDescent="0.35">
      <c r="B21" s="73">
        <f t="shared" si="0"/>
        <v>14</v>
      </c>
      <c r="C21" s="74"/>
      <c r="D21" s="82"/>
      <c r="E21" s="90"/>
      <c r="F21" s="82"/>
    </row>
  </sheetData>
  <protectedRanges>
    <protectedRange sqref="D9:E20" name="Диапазон1_1"/>
  </protectedRanges>
  <hyperlinks>
    <hyperlink ref="D1" location="'Жадваллар рўйхати'!A1" display="Жадваллар рўйхати" xr:uid="{C6AFB073-F982-43F7-B89E-A5724E1E67D3}"/>
  </hyperlinks>
  <pageMargins left="0.7" right="0.7" top="0.75" bottom="0.75" header="0.3" footer="0.3"/>
  <pageSetup paperSize="9" scale="33"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insert_line_1806_4_uz">
                <anchor moveWithCells="1" sizeWithCells="1">
                  <from>
                    <xdr:col>4</xdr:col>
                    <xdr:colOff>171450</xdr:colOff>
                    <xdr:row>2</xdr:row>
                    <xdr:rowOff>19050</xdr:rowOff>
                  </from>
                  <to>
                    <xdr:col>5</xdr:col>
                    <xdr:colOff>2057400</xdr:colOff>
                    <xdr:row>3</xdr:row>
                    <xdr:rowOff>260350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7C033-8773-436C-8521-5BFC29CB3834}">
  <sheetPr codeName="Лист28">
    <tabColor theme="4" tint="0.79998168889431442"/>
  </sheetPr>
  <dimension ref="B1:H37"/>
  <sheetViews>
    <sheetView view="pageBreakPreview" zoomScale="60" zoomScaleNormal="60" workbookViewId="0">
      <selection activeCell="E8" sqref="E8"/>
    </sheetView>
  </sheetViews>
  <sheetFormatPr defaultRowHeight="14.5" x14ac:dyDescent="0.35"/>
  <cols>
    <col min="2" max="2" width="14" bestFit="1" customWidth="1"/>
    <col min="3" max="3" width="110.453125" customWidth="1"/>
    <col min="4" max="4" width="26.54296875" customWidth="1"/>
    <col min="5" max="5" width="25" customWidth="1"/>
    <col min="6" max="6" width="27.453125" customWidth="1"/>
    <col min="7" max="7" width="33.453125" customWidth="1"/>
    <col min="8" max="9" width="23.453125" customWidth="1"/>
  </cols>
  <sheetData>
    <row r="1" spans="2:8" x14ac:dyDescent="0.35">
      <c r="B1" s="62" t="s">
        <v>150</v>
      </c>
      <c r="C1" s="63">
        <f>VLOOKUP($C$5,'Жадваллар рўйхати'!$A:$E,2,FALSE)</f>
        <v>1806</v>
      </c>
      <c r="D1" s="64" t="s">
        <v>151</v>
      </c>
      <c r="E1" s="85"/>
      <c r="F1" s="85"/>
      <c r="G1" s="85"/>
      <c r="H1" s="85"/>
    </row>
    <row r="2" spans="2:8" x14ac:dyDescent="0.35">
      <c r="B2" s="65" t="s">
        <v>126</v>
      </c>
      <c r="C2" s="66" t="str">
        <f>VLOOKUP($C$5,'Жадваллар рўйхати'!$A:$E,3,FALSE)</f>
        <v>Суғурталовчилар ва қайта суғурталовчиларнинг тўлов қобилияти тўғрисидаги низом</v>
      </c>
      <c r="D2" s="29"/>
      <c r="E2" s="86"/>
      <c r="F2" s="91"/>
      <c r="G2" s="85"/>
      <c r="H2" s="85"/>
    </row>
    <row r="3" spans="2:8" x14ac:dyDescent="0.35">
      <c r="B3" s="67" t="s">
        <v>127</v>
      </c>
      <c r="C3" s="68">
        <f>VLOOKUP($C$5,'Жадваллар рўйхати'!$A:$E,4,FALSE)</f>
        <v>5</v>
      </c>
      <c r="D3" s="29"/>
      <c r="E3" s="29"/>
      <c r="F3" s="29"/>
      <c r="G3" s="29"/>
      <c r="H3" s="29"/>
    </row>
    <row r="4" spans="2:8" ht="29" x14ac:dyDescent="0.35">
      <c r="B4" s="69" t="s">
        <v>128</v>
      </c>
      <c r="C4" s="70" t="str">
        <f>VLOOKUP($C$5,'Жадваллар рўйхати'!$A:$E,5,FALSE)</f>
        <v>Суғурталовчи/қайта суғурталовчининг битта боғлиқ шахс ёки барча боғлиқ шахсларда жойлаштирилган активлари суммаси ҳисоб-китоби</v>
      </c>
      <c r="D4" s="29"/>
      <c r="E4" s="29"/>
      <c r="F4" s="29"/>
      <c r="G4" s="29"/>
      <c r="H4" s="29"/>
    </row>
    <row r="5" spans="2:8" x14ac:dyDescent="0.35">
      <c r="B5" s="67" t="s">
        <v>124</v>
      </c>
      <c r="C5" s="71" t="s">
        <v>258</v>
      </c>
      <c r="D5" s="29"/>
      <c r="E5" s="29"/>
      <c r="F5" s="29"/>
      <c r="G5" s="29"/>
      <c r="H5" s="29"/>
    </row>
    <row r="6" spans="2:8" x14ac:dyDescent="0.35">
      <c r="B6" s="29"/>
      <c r="C6" s="29"/>
      <c r="D6" s="29"/>
      <c r="E6" s="29"/>
      <c r="F6" s="29"/>
      <c r="G6" s="29"/>
      <c r="H6" s="29"/>
    </row>
    <row r="7" spans="2:8" ht="138" customHeight="1" x14ac:dyDescent="0.35">
      <c r="B7" s="87" t="s">
        <v>253</v>
      </c>
      <c r="C7" s="87" t="s">
        <v>259</v>
      </c>
      <c r="D7" s="72" t="s">
        <v>260</v>
      </c>
      <c r="E7" s="72" t="s">
        <v>261</v>
      </c>
      <c r="F7" s="72" t="s">
        <v>262</v>
      </c>
      <c r="G7" s="72" t="s">
        <v>263</v>
      </c>
      <c r="H7" s="72" t="s">
        <v>264</v>
      </c>
    </row>
    <row r="8" spans="2:8" ht="31.5" customHeight="1" x14ac:dyDescent="0.35">
      <c r="B8" s="73">
        <v>1</v>
      </c>
      <c r="C8" s="74"/>
      <c r="D8" s="82"/>
      <c r="E8" s="90"/>
      <c r="F8" s="82"/>
      <c r="G8" s="82"/>
      <c r="H8" s="82"/>
    </row>
    <row r="9" spans="2:8" ht="25.5" customHeight="1" x14ac:dyDescent="0.35">
      <c r="B9" s="73">
        <f>B8+1</f>
        <v>2</v>
      </c>
      <c r="C9" s="74"/>
      <c r="D9" s="82"/>
      <c r="E9" s="90"/>
      <c r="F9" s="82"/>
      <c r="G9" s="82"/>
      <c r="H9" s="82"/>
    </row>
    <row r="10" spans="2:8" ht="25.5" customHeight="1" x14ac:dyDescent="0.35">
      <c r="B10" s="73">
        <f t="shared" ref="B10:B37" si="0">B9+1</f>
        <v>3</v>
      </c>
      <c r="C10" s="74"/>
      <c r="D10" s="82"/>
      <c r="E10" s="90"/>
      <c r="F10" s="82"/>
      <c r="G10" s="82"/>
      <c r="H10" s="82"/>
    </row>
    <row r="11" spans="2:8" ht="25.5" customHeight="1" x14ac:dyDescent="0.35">
      <c r="B11" s="73">
        <f t="shared" si="0"/>
        <v>4</v>
      </c>
      <c r="C11" s="74"/>
      <c r="D11" s="82"/>
      <c r="E11" s="90"/>
      <c r="F11" s="82"/>
      <c r="G11" s="82"/>
      <c r="H11" s="82"/>
    </row>
    <row r="12" spans="2:8" ht="25.5" customHeight="1" x14ac:dyDescent="0.35">
      <c r="B12" s="73">
        <f t="shared" si="0"/>
        <v>5</v>
      </c>
      <c r="C12" s="74"/>
      <c r="D12" s="82"/>
      <c r="E12" s="90"/>
      <c r="F12" s="82"/>
      <c r="G12" s="82"/>
      <c r="H12" s="82"/>
    </row>
    <row r="13" spans="2:8" ht="34.5" customHeight="1" x14ac:dyDescent="0.35">
      <c r="B13" s="73">
        <f t="shared" si="0"/>
        <v>6</v>
      </c>
      <c r="C13" s="74"/>
      <c r="D13" s="82"/>
      <c r="E13" s="90"/>
      <c r="F13" s="82"/>
      <c r="G13" s="82"/>
      <c r="H13" s="82"/>
    </row>
    <row r="14" spans="2:8" ht="42.75" customHeight="1" x14ac:dyDescent="0.35">
      <c r="B14" s="73">
        <f t="shared" si="0"/>
        <v>7</v>
      </c>
      <c r="C14" s="74"/>
      <c r="D14" s="82"/>
      <c r="E14" s="90"/>
      <c r="F14" s="82"/>
      <c r="G14" s="82"/>
      <c r="H14" s="82"/>
    </row>
    <row r="15" spans="2:8" ht="36.75" customHeight="1" x14ac:dyDescent="0.35">
      <c r="B15" s="73">
        <f t="shared" si="0"/>
        <v>8</v>
      </c>
      <c r="C15" s="74"/>
      <c r="D15" s="82"/>
      <c r="E15" s="90"/>
      <c r="F15" s="82"/>
      <c r="G15" s="82"/>
      <c r="H15" s="82"/>
    </row>
    <row r="16" spans="2:8" ht="25.5" customHeight="1" x14ac:dyDescent="0.35">
      <c r="B16" s="73">
        <f t="shared" si="0"/>
        <v>9</v>
      </c>
      <c r="C16" s="74"/>
      <c r="D16" s="82"/>
      <c r="E16" s="90"/>
      <c r="F16" s="82"/>
      <c r="G16" s="82"/>
      <c r="H16" s="82"/>
    </row>
    <row r="17" spans="2:8" ht="25.5" customHeight="1" x14ac:dyDescent="0.35">
      <c r="B17" s="73">
        <f t="shared" si="0"/>
        <v>10</v>
      </c>
      <c r="C17" s="74"/>
      <c r="D17" s="82"/>
      <c r="E17" s="90"/>
      <c r="F17" s="82"/>
      <c r="G17" s="82"/>
      <c r="H17" s="82"/>
    </row>
    <row r="18" spans="2:8" ht="39" customHeight="1" x14ac:dyDescent="0.35">
      <c r="B18" s="73">
        <f t="shared" si="0"/>
        <v>11</v>
      </c>
      <c r="C18" s="74"/>
      <c r="D18" s="82"/>
      <c r="E18" s="90"/>
      <c r="F18" s="82"/>
      <c r="G18" s="82"/>
      <c r="H18" s="82"/>
    </row>
    <row r="19" spans="2:8" ht="25.5" customHeight="1" x14ac:dyDescent="0.35">
      <c r="B19" s="73">
        <f t="shared" si="0"/>
        <v>12</v>
      </c>
      <c r="C19" s="74"/>
      <c r="D19" s="82"/>
      <c r="E19" s="90"/>
      <c r="F19" s="82"/>
      <c r="G19" s="82"/>
      <c r="H19" s="82"/>
    </row>
    <row r="20" spans="2:8" ht="35.25" customHeight="1" x14ac:dyDescent="0.35">
      <c r="B20" s="73">
        <f t="shared" si="0"/>
        <v>13</v>
      </c>
      <c r="C20" s="74"/>
      <c r="D20" s="82"/>
      <c r="E20" s="90"/>
      <c r="F20" s="82"/>
      <c r="G20" s="82"/>
      <c r="H20" s="82"/>
    </row>
    <row r="21" spans="2:8" ht="15.5" x14ac:dyDescent="0.35">
      <c r="B21" s="73">
        <f t="shared" si="0"/>
        <v>14</v>
      </c>
      <c r="C21" s="74"/>
      <c r="D21" s="82"/>
      <c r="E21" s="90"/>
      <c r="F21" s="82"/>
      <c r="G21" s="82"/>
      <c r="H21" s="82"/>
    </row>
    <row r="22" spans="2:8" ht="15.5" x14ac:dyDescent="0.35">
      <c r="B22" s="73">
        <f t="shared" si="0"/>
        <v>15</v>
      </c>
      <c r="C22" s="74"/>
      <c r="D22" s="82"/>
      <c r="E22" s="90"/>
      <c r="F22" s="82"/>
      <c r="G22" s="82"/>
      <c r="H22" s="82"/>
    </row>
    <row r="23" spans="2:8" ht="15.5" x14ac:dyDescent="0.35">
      <c r="B23" s="73">
        <f t="shared" si="0"/>
        <v>16</v>
      </c>
      <c r="C23" s="74"/>
      <c r="D23" s="82"/>
      <c r="E23" s="90"/>
      <c r="F23" s="82"/>
      <c r="G23" s="82"/>
      <c r="H23" s="82"/>
    </row>
    <row r="24" spans="2:8" ht="15.5" x14ac:dyDescent="0.35">
      <c r="B24" s="73">
        <f t="shared" si="0"/>
        <v>17</v>
      </c>
      <c r="C24" s="74"/>
      <c r="D24" s="82"/>
      <c r="E24" s="90"/>
      <c r="F24" s="82"/>
      <c r="G24" s="82"/>
      <c r="H24" s="82"/>
    </row>
    <row r="25" spans="2:8" ht="15.5" x14ac:dyDescent="0.35">
      <c r="B25" s="73">
        <f t="shared" si="0"/>
        <v>18</v>
      </c>
      <c r="C25" s="74"/>
      <c r="D25" s="82"/>
      <c r="E25" s="90"/>
      <c r="F25" s="82"/>
      <c r="G25" s="82"/>
      <c r="H25" s="82"/>
    </row>
    <row r="26" spans="2:8" ht="15.5" x14ac:dyDescent="0.35">
      <c r="B26" s="73">
        <f t="shared" si="0"/>
        <v>19</v>
      </c>
      <c r="C26" s="74"/>
      <c r="D26" s="82"/>
      <c r="E26" s="90"/>
      <c r="F26" s="82"/>
      <c r="G26" s="82"/>
      <c r="H26" s="82"/>
    </row>
    <row r="27" spans="2:8" ht="15.5" x14ac:dyDescent="0.35">
      <c r="B27" s="73">
        <f t="shared" si="0"/>
        <v>20</v>
      </c>
      <c r="C27" s="74"/>
      <c r="D27" s="82"/>
      <c r="E27" s="90"/>
      <c r="F27" s="82"/>
      <c r="G27" s="82"/>
      <c r="H27" s="82"/>
    </row>
    <row r="28" spans="2:8" ht="15.5" x14ac:dyDescent="0.35">
      <c r="B28" s="73">
        <f t="shared" si="0"/>
        <v>21</v>
      </c>
      <c r="C28" s="74"/>
      <c r="D28" s="82"/>
      <c r="E28" s="90"/>
      <c r="F28" s="82"/>
      <c r="G28" s="82"/>
      <c r="H28" s="82"/>
    </row>
    <row r="29" spans="2:8" ht="15.5" x14ac:dyDescent="0.35">
      <c r="B29" s="73">
        <f t="shared" si="0"/>
        <v>22</v>
      </c>
      <c r="C29" s="74"/>
      <c r="D29" s="82"/>
      <c r="E29" s="90"/>
      <c r="F29" s="82"/>
      <c r="G29" s="82"/>
      <c r="H29" s="82"/>
    </row>
    <row r="30" spans="2:8" ht="15.5" x14ac:dyDescent="0.35">
      <c r="B30" s="73">
        <f t="shared" si="0"/>
        <v>23</v>
      </c>
      <c r="C30" s="74"/>
      <c r="D30" s="82"/>
      <c r="E30" s="90"/>
      <c r="F30" s="82"/>
      <c r="G30" s="82"/>
      <c r="H30" s="82"/>
    </row>
    <row r="31" spans="2:8" ht="15.5" x14ac:dyDescent="0.35">
      <c r="B31" s="73">
        <f t="shared" si="0"/>
        <v>24</v>
      </c>
      <c r="C31" s="74"/>
      <c r="D31" s="82"/>
      <c r="E31" s="90"/>
      <c r="F31" s="82"/>
      <c r="G31" s="82"/>
      <c r="H31" s="82"/>
    </row>
    <row r="32" spans="2:8" ht="15.5" x14ac:dyDescent="0.35">
      <c r="B32" s="73">
        <f t="shared" si="0"/>
        <v>25</v>
      </c>
      <c r="C32" s="74"/>
      <c r="D32" s="82"/>
      <c r="E32" s="90"/>
      <c r="F32" s="82"/>
      <c r="G32" s="82"/>
      <c r="H32" s="82"/>
    </row>
    <row r="33" spans="2:8" ht="15.5" x14ac:dyDescent="0.35">
      <c r="B33" s="73">
        <f t="shared" si="0"/>
        <v>26</v>
      </c>
      <c r="C33" s="74"/>
      <c r="D33" s="82"/>
      <c r="E33" s="90"/>
      <c r="F33" s="82"/>
      <c r="G33" s="82"/>
      <c r="H33" s="82"/>
    </row>
    <row r="34" spans="2:8" ht="15.5" x14ac:dyDescent="0.35">
      <c r="B34" s="73">
        <f t="shared" si="0"/>
        <v>27</v>
      </c>
      <c r="C34" s="74"/>
      <c r="D34" s="82"/>
      <c r="E34" s="90"/>
      <c r="F34" s="82"/>
      <c r="G34" s="82"/>
      <c r="H34" s="82"/>
    </row>
    <row r="35" spans="2:8" ht="15.5" x14ac:dyDescent="0.35">
      <c r="B35" s="73">
        <f t="shared" si="0"/>
        <v>28</v>
      </c>
      <c r="C35" s="74"/>
      <c r="D35" s="82"/>
      <c r="E35" s="90"/>
      <c r="F35" s="82"/>
      <c r="G35" s="82"/>
      <c r="H35" s="82"/>
    </row>
    <row r="36" spans="2:8" ht="15.5" x14ac:dyDescent="0.35">
      <c r="B36" s="73">
        <f t="shared" si="0"/>
        <v>29</v>
      </c>
      <c r="C36" s="74"/>
      <c r="D36" s="82"/>
      <c r="E36" s="90"/>
      <c r="F36" s="82"/>
      <c r="G36" s="82"/>
      <c r="H36" s="82"/>
    </row>
    <row r="37" spans="2:8" ht="15.5" x14ac:dyDescent="0.35">
      <c r="B37" s="73">
        <f t="shared" si="0"/>
        <v>30</v>
      </c>
      <c r="C37" s="74"/>
      <c r="D37" s="82"/>
      <c r="E37" s="90"/>
      <c r="F37" s="82"/>
      <c r="G37" s="82"/>
      <c r="H37" s="82"/>
    </row>
  </sheetData>
  <protectedRanges>
    <protectedRange sqref="D9:E20" name="Диапазон1_1"/>
  </protectedRanges>
  <hyperlinks>
    <hyperlink ref="D1" location="'Жадваллар рўйхати'!A1" display="Жадваллар рўйхати" xr:uid="{A9DCA6F8-05E3-4371-ADB1-C792E7D1DD21}"/>
  </hyperlinks>
  <pageMargins left="0.7" right="0.7" top="0.75" bottom="0.75" header="0.3" footer="0.3"/>
  <pageSetup paperSize="9" scale="28"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insert_line_1806_5_uz">
                <anchor moveWithCells="1" sizeWithCells="1">
                  <from>
                    <xdr:col>5</xdr:col>
                    <xdr:colOff>1257300</xdr:colOff>
                    <xdr:row>2</xdr:row>
                    <xdr:rowOff>12700</xdr:rowOff>
                  </from>
                  <to>
                    <xdr:col>7</xdr:col>
                    <xdr:colOff>971550</xdr:colOff>
                    <xdr:row>3</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F3D75-B439-4B7F-88FE-13D0CE2ED5FD}">
  <sheetPr codeName="Лист29">
    <tabColor theme="4" tint="0.79998168889431442"/>
  </sheetPr>
  <dimension ref="B1:H44"/>
  <sheetViews>
    <sheetView view="pageBreakPreview" zoomScale="60" zoomScaleNormal="60" workbookViewId="0">
      <selection activeCell="D10" sqref="D10"/>
    </sheetView>
  </sheetViews>
  <sheetFormatPr defaultRowHeight="14.5" x14ac:dyDescent="0.35"/>
  <cols>
    <col min="2" max="2" width="14" bestFit="1" customWidth="1"/>
    <col min="3" max="3" width="88.7265625" customWidth="1"/>
    <col min="4" max="4" width="27" customWidth="1"/>
    <col min="5" max="5" width="25" customWidth="1"/>
    <col min="6" max="6" width="27.453125" customWidth="1"/>
    <col min="7" max="7" width="33.453125" customWidth="1"/>
    <col min="8" max="8" width="31.26953125" customWidth="1"/>
    <col min="9" max="9" width="23.453125" customWidth="1"/>
  </cols>
  <sheetData>
    <row r="1" spans="2:8" x14ac:dyDescent="0.35">
      <c r="B1" s="62" t="s">
        <v>150</v>
      </c>
      <c r="C1" s="63">
        <f>VLOOKUP($C$5,'Жадваллар рўйхати'!$A:$E,2,FALSE)</f>
        <v>1806</v>
      </c>
      <c r="D1" s="64" t="s">
        <v>151</v>
      </c>
      <c r="E1" s="85"/>
      <c r="F1" s="85"/>
      <c r="G1" s="85"/>
      <c r="H1" s="85"/>
    </row>
    <row r="2" spans="2:8" x14ac:dyDescent="0.35">
      <c r="B2" s="65" t="s">
        <v>126</v>
      </c>
      <c r="C2" s="66" t="str">
        <f>VLOOKUP($C$5,'Жадваллар рўйхати'!$A:$E,3,FALSE)</f>
        <v>Суғурталовчилар ва қайта суғурталовчиларнинг тўлов қобилияти тўғрисидаги низом</v>
      </c>
      <c r="D2" s="29"/>
      <c r="E2" s="86"/>
      <c r="F2" s="91"/>
      <c r="G2" s="85"/>
      <c r="H2" s="85"/>
    </row>
    <row r="3" spans="2:8" x14ac:dyDescent="0.35">
      <c r="B3" s="67" t="s">
        <v>127</v>
      </c>
      <c r="C3" s="68">
        <f>VLOOKUP($C$5,'Жадваллар рўйхати'!$A:$E,4,FALSE)</f>
        <v>6</v>
      </c>
      <c r="D3" s="29"/>
      <c r="E3" s="29"/>
      <c r="F3" s="29"/>
      <c r="G3" s="29"/>
      <c r="H3" s="29"/>
    </row>
    <row r="4" spans="2:8" ht="29" x14ac:dyDescent="0.35">
      <c r="B4" s="69" t="s">
        <v>128</v>
      </c>
      <c r="C4" s="70" t="str">
        <f>VLOOKUP($C$5,'Жадваллар рўйхати'!$A:$E,5,FALSE)</f>
        <v>Суғурталовчи/қайта суғурталовчининг қайта суғурта қилиш операцияларига оид талабларга риоя қилганлиги тўғрисида маълумотлар</v>
      </c>
      <c r="D4" s="29"/>
      <c r="E4" s="29"/>
      <c r="F4" s="29"/>
      <c r="G4" s="29"/>
      <c r="H4" s="29"/>
    </row>
    <row r="5" spans="2:8" x14ac:dyDescent="0.35">
      <c r="B5" s="67" t="s">
        <v>124</v>
      </c>
      <c r="C5" s="176" t="s">
        <v>265</v>
      </c>
      <c r="D5" s="29"/>
      <c r="E5" s="29"/>
      <c r="F5" s="29"/>
      <c r="G5" s="29"/>
      <c r="H5" s="29"/>
    </row>
    <row r="6" spans="2:8" x14ac:dyDescent="0.35">
      <c r="B6" s="29"/>
      <c r="C6" s="29"/>
      <c r="D6" s="29"/>
      <c r="E6" s="29"/>
      <c r="F6" s="29"/>
      <c r="G6" s="29"/>
      <c r="H6" s="29"/>
    </row>
    <row r="7" spans="2:8" ht="138" customHeight="1" x14ac:dyDescent="0.35">
      <c r="B7" s="87" t="s">
        <v>266</v>
      </c>
      <c r="C7" s="87" t="s">
        <v>267</v>
      </c>
      <c r="D7" s="72" t="s">
        <v>268</v>
      </c>
      <c r="E7" s="72" t="s">
        <v>269</v>
      </c>
      <c r="F7" s="72" t="s">
        <v>270</v>
      </c>
      <c r="G7" s="29"/>
      <c r="H7" s="29"/>
    </row>
    <row r="8" spans="2:8" ht="75" customHeight="1" x14ac:dyDescent="0.35">
      <c r="B8" s="29"/>
      <c r="C8" s="74" t="s">
        <v>271</v>
      </c>
      <c r="D8" s="92">
        <v>1</v>
      </c>
      <c r="E8" s="93"/>
      <c r="F8" s="94"/>
      <c r="G8" s="29"/>
      <c r="H8" s="29"/>
    </row>
    <row r="9" spans="2:8" ht="36.75" customHeight="1" x14ac:dyDescent="0.35">
      <c r="B9" s="29"/>
      <c r="C9" s="74" t="s">
        <v>272</v>
      </c>
      <c r="D9" s="92">
        <v>2</v>
      </c>
      <c r="E9" s="93"/>
      <c r="F9" s="94"/>
      <c r="G9" s="29"/>
      <c r="H9" s="29"/>
    </row>
    <row r="10" spans="2:8" ht="40.5" customHeight="1" x14ac:dyDescent="0.35">
      <c r="B10" s="29"/>
      <c r="C10" s="74" t="s">
        <v>273</v>
      </c>
      <c r="D10" s="92">
        <v>3</v>
      </c>
      <c r="E10" s="95"/>
      <c r="F10" s="94" t="s">
        <v>274</v>
      </c>
      <c r="G10" s="29"/>
      <c r="H10" s="29"/>
    </row>
    <row r="11" spans="2:8" ht="51.75" customHeight="1" x14ac:dyDescent="0.35">
      <c r="B11" s="29"/>
      <c r="C11" s="74" t="s">
        <v>275</v>
      </c>
      <c r="D11" s="92">
        <v>4</v>
      </c>
      <c r="E11" s="95"/>
      <c r="F11" s="94" t="s">
        <v>276</v>
      </c>
      <c r="G11" s="29"/>
      <c r="H11" s="29"/>
    </row>
    <row r="12" spans="2:8" ht="25.5" customHeight="1" x14ac:dyDescent="0.35">
      <c r="B12" s="29"/>
      <c r="C12" s="29"/>
      <c r="D12" s="29"/>
      <c r="E12" s="29"/>
      <c r="F12" s="29"/>
      <c r="G12" s="29"/>
      <c r="H12" s="29"/>
    </row>
    <row r="13" spans="2:8" ht="34.5" customHeight="1" x14ac:dyDescent="0.35">
      <c r="B13" s="256" t="s">
        <v>277</v>
      </c>
      <c r="C13" s="256"/>
      <c r="D13" s="256"/>
      <c r="E13" s="256"/>
      <c r="F13" s="256"/>
      <c r="G13" s="256"/>
      <c r="H13" s="256"/>
    </row>
    <row r="14" spans="2:8" ht="105.75" customHeight="1" x14ac:dyDescent="0.35">
      <c r="B14" s="87" t="s">
        <v>278</v>
      </c>
      <c r="C14" s="87" t="s">
        <v>279</v>
      </c>
      <c r="D14" s="72" t="s">
        <v>280</v>
      </c>
      <c r="E14" s="72" t="s">
        <v>281</v>
      </c>
      <c r="F14" s="72" t="s">
        <v>282</v>
      </c>
      <c r="G14" s="72" t="s">
        <v>283</v>
      </c>
      <c r="H14" s="72" t="s">
        <v>284</v>
      </c>
    </row>
    <row r="15" spans="2:8" ht="19.5" customHeight="1" x14ac:dyDescent="0.35">
      <c r="B15" s="73">
        <v>1</v>
      </c>
      <c r="C15" s="74"/>
      <c r="D15" s="96"/>
      <c r="E15" s="90"/>
      <c r="F15" s="82"/>
      <c r="G15" s="96"/>
      <c r="H15" s="96"/>
    </row>
    <row r="16" spans="2:8" ht="19.5" customHeight="1" x14ac:dyDescent="0.35">
      <c r="B16" s="73">
        <f>B15+1</f>
        <v>2</v>
      </c>
      <c r="C16" s="74"/>
      <c r="D16" s="96"/>
      <c r="E16" s="90"/>
      <c r="F16" s="82"/>
      <c r="G16" s="96"/>
      <c r="H16" s="96"/>
    </row>
    <row r="17" spans="2:8" ht="19.5" customHeight="1" x14ac:dyDescent="0.35">
      <c r="B17" s="73">
        <f t="shared" ref="B17:B44" si="0">B16+1</f>
        <v>3</v>
      </c>
      <c r="C17" s="74"/>
      <c r="D17" s="96"/>
      <c r="E17" s="97"/>
      <c r="F17" s="82"/>
      <c r="G17" s="96"/>
      <c r="H17" s="96"/>
    </row>
    <row r="18" spans="2:8" ht="19.5" customHeight="1" x14ac:dyDescent="0.35">
      <c r="B18" s="73">
        <f t="shared" si="0"/>
        <v>4</v>
      </c>
      <c r="C18" s="74"/>
      <c r="D18" s="96"/>
      <c r="E18" s="97"/>
      <c r="F18" s="82"/>
      <c r="G18" s="96"/>
      <c r="H18" s="96"/>
    </row>
    <row r="19" spans="2:8" ht="19.5" customHeight="1" x14ac:dyDescent="0.35">
      <c r="B19" s="73">
        <f t="shared" si="0"/>
        <v>5</v>
      </c>
      <c r="C19" s="74"/>
      <c r="D19" s="96"/>
      <c r="E19" s="90"/>
      <c r="F19" s="82"/>
      <c r="G19" s="96"/>
      <c r="H19" s="96"/>
    </row>
    <row r="20" spans="2:8" ht="19.5" customHeight="1" x14ac:dyDescent="0.35">
      <c r="B20" s="73">
        <f t="shared" si="0"/>
        <v>6</v>
      </c>
      <c r="C20" s="74"/>
      <c r="D20" s="96"/>
      <c r="E20" s="90"/>
      <c r="F20" s="82"/>
      <c r="G20" s="96"/>
      <c r="H20" s="96"/>
    </row>
    <row r="21" spans="2:8" ht="19.5" customHeight="1" x14ac:dyDescent="0.35">
      <c r="B21" s="73">
        <f t="shared" si="0"/>
        <v>7</v>
      </c>
      <c r="C21" s="74"/>
      <c r="D21" s="96"/>
      <c r="E21" s="97"/>
      <c r="F21" s="82"/>
      <c r="G21" s="96"/>
      <c r="H21" s="96"/>
    </row>
    <row r="22" spans="2:8" ht="19.5" customHeight="1" x14ac:dyDescent="0.35">
      <c r="B22" s="73">
        <f t="shared" si="0"/>
        <v>8</v>
      </c>
      <c r="C22" s="74"/>
      <c r="D22" s="96"/>
      <c r="E22" s="97"/>
      <c r="F22" s="82"/>
      <c r="G22" s="96"/>
      <c r="H22" s="96"/>
    </row>
    <row r="23" spans="2:8" ht="19.5" customHeight="1" x14ac:dyDescent="0.35">
      <c r="B23" s="73">
        <f t="shared" si="0"/>
        <v>9</v>
      </c>
      <c r="C23" s="74"/>
      <c r="D23" s="96"/>
      <c r="E23" s="90"/>
      <c r="F23" s="82"/>
      <c r="G23" s="96"/>
      <c r="H23" s="96"/>
    </row>
    <row r="24" spans="2:8" ht="19.5" customHeight="1" x14ac:dyDescent="0.35">
      <c r="B24" s="73">
        <f t="shared" si="0"/>
        <v>10</v>
      </c>
      <c r="C24" s="74"/>
      <c r="D24" s="96"/>
      <c r="E24" s="90"/>
      <c r="F24" s="82"/>
      <c r="G24" s="96"/>
      <c r="H24" s="96"/>
    </row>
    <row r="25" spans="2:8" ht="19.5" customHeight="1" x14ac:dyDescent="0.35">
      <c r="B25" s="73">
        <f t="shared" si="0"/>
        <v>11</v>
      </c>
      <c r="C25" s="74"/>
      <c r="D25" s="96"/>
      <c r="E25" s="97"/>
      <c r="F25" s="82"/>
      <c r="G25" s="96"/>
      <c r="H25" s="96"/>
    </row>
    <row r="26" spans="2:8" ht="19.5" customHeight="1" x14ac:dyDescent="0.35">
      <c r="B26" s="73">
        <f t="shared" si="0"/>
        <v>12</v>
      </c>
      <c r="C26" s="74"/>
      <c r="D26" s="96"/>
      <c r="E26" s="97"/>
      <c r="F26" s="82"/>
      <c r="G26" s="96"/>
      <c r="H26" s="96"/>
    </row>
    <row r="27" spans="2:8" ht="19.5" customHeight="1" x14ac:dyDescent="0.35">
      <c r="B27" s="73">
        <f t="shared" si="0"/>
        <v>13</v>
      </c>
      <c r="C27" s="74"/>
      <c r="D27" s="96"/>
      <c r="E27" s="90"/>
      <c r="F27" s="82"/>
      <c r="G27" s="96"/>
      <c r="H27" s="96"/>
    </row>
    <row r="28" spans="2:8" ht="19.5" customHeight="1" x14ac:dyDescent="0.35">
      <c r="B28" s="73">
        <f t="shared" si="0"/>
        <v>14</v>
      </c>
      <c r="C28" s="74"/>
      <c r="D28" s="96"/>
      <c r="E28" s="90"/>
      <c r="F28" s="82"/>
      <c r="G28" s="96"/>
      <c r="H28" s="96"/>
    </row>
    <row r="29" spans="2:8" ht="19.5" customHeight="1" x14ac:dyDescent="0.35">
      <c r="B29" s="73">
        <f t="shared" si="0"/>
        <v>15</v>
      </c>
      <c r="C29" s="74"/>
      <c r="D29" s="96"/>
      <c r="E29" s="97"/>
      <c r="F29" s="82"/>
      <c r="G29" s="96"/>
      <c r="H29" s="96"/>
    </row>
    <row r="30" spans="2:8" ht="19.5" customHeight="1" x14ac:dyDescent="0.35">
      <c r="B30" s="73">
        <f t="shared" si="0"/>
        <v>16</v>
      </c>
      <c r="C30" s="74"/>
      <c r="D30" s="96"/>
      <c r="E30" s="97"/>
      <c r="F30" s="82"/>
      <c r="G30" s="96"/>
      <c r="H30" s="96"/>
    </row>
    <row r="31" spans="2:8" ht="19.5" customHeight="1" x14ac:dyDescent="0.35">
      <c r="B31" s="73">
        <f t="shared" si="0"/>
        <v>17</v>
      </c>
      <c r="C31" s="74"/>
      <c r="D31" s="96"/>
      <c r="E31" s="90"/>
      <c r="F31" s="82"/>
      <c r="G31" s="96"/>
      <c r="H31" s="96"/>
    </row>
    <row r="32" spans="2:8" ht="19.5" customHeight="1" x14ac:dyDescent="0.35">
      <c r="B32" s="73">
        <f t="shared" si="0"/>
        <v>18</v>
      </c>
      <c r="C32" s="74"/>
      <c r="D32" s="96"/>
      <c r="E32" s="90"/>
      <c r="F32" s="82"/>
      <c r="G32" s="96"/>
      <c r="H32" s="96"/>
    </row>
    <row r="33" spans="2:8" ht="19.5" customHeight="1" x14ac:dyDescent="0.35">
      <c r="B33" s="73">
        <f t="shared" si="0"/>
        <v>19</v>
      </c>
      <c r="C33" s="74"/>
      <c r="D33" s="96"/>
      <c r="E33" s="97"/>
      <c r="F33" s="82"/>
      <c r="G33" s="96"/>
      <c r="H33" s="96"/>
    </row>
    <row r="34" spans="2:8" ht="19.5" customHeight="1" x14ac:dyDescent="0.35">
      <c r="B34" s="73">
        <f t="shared" si="0"/>
        <v>20</v>
      </c>
      <c r="C34" s="74"/>
      <c r="D34" s="96"/>
      <c r="E34" s="97"/>
      <c r="F34" s="82"/>
      <c r="G34" s="96"/>
      <c r="H34" s="96"/>
    </row>
    <row r="35" spans="2:8" ht="19.5" customHeight="1" x14ac:dyDescent="0.35">
      <c r="B35" s="73">
        <f t="shared" si="0"/>
        <v>21</v>
      </c>
      <c r="C35" s="74"/>
      <c r="D35" s="96"/>
      <c r="E35" s="90"/>
      <c r="F35" s="82"/>
      <c r="G35" s="96"/>
      <c r="H35" s="96"/>
    </row>
    <row r="36" spans="2:8" ht="19.5" customHeight="1" x14ac:dyDescent="0.35">
      <c r="B36" s="73">
        <f t="shared" si="0"/>
        <v>22</v>
      </c>
      <c r="C36" s="74"/>
      <c r="D36" s="96"/>
      <c r="E36" s="90"/>
      <c r="F36" s="82"/>
      <c r="G36" s="96"/>
      <c r="H36" s="96"/>
    </row>
    <row r="37" spans="2:8" ht="19.5" customHeight="1" x14ac:dyDescent="0.35">
      <c r="B37" s="73">
        <f t="shared" si="0"/>
        <v>23</v>
      </c>
      <c r="C37" s="74"/>
      <c r="D37" s="96"/>
      <c r="E37" s="97"/>
      <c r="F37" s="82"/>
      <c r="G37" s="96"/>
      <c r="H37" s="96"/>
    </row>
    <row r="38" spans="2:8" ht="19.5" customHeight="1" x14ac:dyDescent="0.35">
      <c r="B38" s="73">
        <f t="shared" si="0"/>
        <v>24</v>
      </c>
      <c r="C38" s="74"/>
      <c r="D38" s="96"/>
      <c r="E38" s="97"/>
      <c r="F38" s="82"/>
      <c r="G38" s="96"/>
      <c r="H38" s="96"/>
    </row>
    <row r="39" spans="2:8" ht="19.5" customHeight="1" x14ac:dyDescent="0.35">
      <c r="B39" s="73">
        <f t="shared" si="0"/>
        <v>25</v>
      </c>
      <c r="C39" s="74"/>
      <c r="D39" s="96"/>
      <c r="E39" s="90"/>
      <c r="F39" s="82"/>
      <c r="G39" s="96"/>
      <c r="H39" s="96"/>
    </row>
    <row r="40" spans="2:8" ht="19.5" customHeight="1" x14ac:dyDescent="0.35">
      <c r="B40" s="73">
        <f t="shared" si="0"/>
        <v>26</v>
      </c>
      <c r="C40" s="74"/>
      <c r="D40" s="96"/>
      <c r="E40" s="90"/>
      <c r="F40" s="82"/>
      <c r="G40" s="96"/>
      <c r="H40" s="96"/>
    </row>
    <row r="41" spans="2:8" ht="19.5" customHeight="1" x14ac:dyDescent="0.35">
      <c r="B41" s="73">
        <f t="shared" si="0"/>
        <v>27</v>
      </c>
      <c r="C41" s="74"/>
      <c r="D41" s="96"/>
      <c r="E41" s="90"/>
      <c r="F41" s="82"/>
      <c r="G41" s="96"/>
      <c r="H41" s="96"/>
    </row>
    <row r="42" spans="2:8" ht="19.5" customHeight="1" x14ac:dyDescent="0.35">
      <c r="B42" s="73">
        <f t="shared" si="0"/>
        <v>28</v>
      </c>
      <c r="C42" s="74"/>
      <c r="D42" s="96"/>
      <c r="E42" s="90"/>
      <c r="F42" s="82"/>
      <c r="G42" s="96"/>
      <c r="H42" s="96"/>
    </row>
    <row r="43" spans="2:8" ht="19.5" customHeight="1" x14ac:dyDescent="0.35">
      <c r="B43" s="73">
        <f t="shared" si="0"/>
        <v>29</v>
      </c>
      <c r="C43" s="74"/>
      <c r="D43" s="96"/>
      <c r="E43" s="90"/>
      <c r="F43" s="82"/>
      <c r="G43" s="96"/>
      <c r="H43" s="96"/>
    </row>
    <row r="44" spans="2:8" ht="19.5" customHeight="1" x14ac:dyDescent="0.35">
      <c r="B44" s="73">
        <f t="shared" si="0"/>
        <v>30</v>
      </c>
      <c r="C44" s="74"/>
      <c r="D44" s="96"/>
      <c r="E44" s="90"/>
      <c r="F44" s="82"/>
      <c r="G44" s="96"/>
      <c r="H44" s="96"/>
    </row>
  </sheetData>
  <protectedRanges>
    <protectedRange sqref="D9:E20" name="Диапазон1_1"/>
  </protectedRanges>
  <mergeCells count="1">
    <mergeCell ref="B13:H13"/>
  </mergeCells>
  <hyperlinks>
    <hyperlink ref="D1" location="'Жадваллар рўйхати'!A1" display="Жадваллар рўйхати" xr:uid="{0B4527A0-DA6F-457C-876F-7BAD8C261A81}"/>
  </hyperlinks>
  <pageMargins left="0.7" right="0.7" top="0.75" bottom="0.75" header="0.3" footer="0.3"/>
  <pageSetup paperSize="9" scale="28"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insert_line_1806_6_uz">
                <anchor moveWithCells="1" sizeWithCells="1">
                  <from>
                    <xdr:col>6</xdr:col>
                    <xdr:colOff>552450</xdr:colOff>
                    <xdr:row>3</xdr:row>
                    <xdr:rowOff>12700</xdr:rowOff>
                  </from>
                  <to>
                    <xdr:col>7</xdr:col>
                    <xdr:colOff>1962150</xdr:colOff>
                    <xdr:row>3</xdr:row>
                    <xdr:rowOff>355600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46BD1-E6F8-477B-8BE7-3B247791FED5}">
  <sheetPr codeName="Лист30">
    <tabColor theme="9" tint="0.79998168889431442"/>
  </sheetPr>
  <dimension ref="B1:F36"/>
  <sheetViews>
    <sheetView view="pageBreakPreview" zoomScale="60" zoomScaleNormal="60" workbookViewId="0">
      <selection activeCell="D40" sqref="D40"/>
    </sheetView>
  </sheetViews>
  <sheetFormatPr defaultColWidth="9.1796875" defaultRowHeight="14.5" x14ac:dyDescent="0.35"/>
  <cols>
    <col min="1" max="1" width="9.26953125" style="29" customWidth="1"/>
    <col min="2" max="2" width="14" style="29" bestFit="1" customWidth="1"/>
    <col min="3" max="3" width="144.81640625" style="29" customWidth="1"/>
    <col min="4" max="4" width="25" style="29" customWidth="1"/>
    <col min="5" max="5" width="46.81640625" style="29" bestFit="1" customWidth="1"/>
    <col min="6" max="6" width="11.54296875" style="29" bestFit="1" customWidth="1"/>
    <col min="7" max="16384" width="9.1796875" style="29"/>
  </cols>
  <sheetData>
    <row r="1" spans="2:6" s="85" customFormat="1" x14ac:dyDescent="0.35">
      <c r="B1" s="62" t="s">
        <v>150</v>
      </c>
      <c r="C1" s="63">
        <f>VLOOKUP($C$5,'Жадваллар рўйхати'!$A:$E,2,FALSE)</f>
        <v>1882</v>
      </c>
      <c r="D1" s="98" t="s">
        <v>151</v>
      </c>
    </row>
    <row r="2" spans="2:6" s="85" customFormat="1" x14ac:dyDescent="0.35">
      <c r="B2" s="65" t="s">
        <v>126</v>
      </c>
      <c r="C2" s="66" t="str">
        <f>VLOOKUP($C$5,'Жадваллар рўйхати'!$A:$E,3,FALSE)</f>
        <v>Суғурталовчиларнинг суғурта захиралари тўғрисидаги низом</v>
      </c>
      <c r="D2" s="29"/>
      <c r="E2" s="86"/>
      <c r="F2" s="91"/>
    </row>
    <row r="3" spans="2:6" x14ac:dyDescent="0.35">
      <c r="B3" s="67" t="s">
        <v>127</v>
      </c>
      <c r="C3" s="68">
        <f>VLOOKUP($C$5,'Жадваллар рўйхати'!$A:$E,4,FALSE)</f>
        <v>1</v>
      </c>
    </row>
    <row r="4" spans="2:6" ht="29" x14ac:dyDescent="0.35">
      <c r="B4" s="69" t="s">
        <v>128</v>
      </c>
      <c r="C4" s="70" t="str">
        <f>VLOOKUP($C$5,'Жадваллар рўйхати'!$A:$E,5,FALSE)</f>
        <v>Транспорт воситалари эгаларининг фуқаролик жавобгарлигини мажбурий суғурта қилиш бўйича барқарорлаштириш захирасини ҳисоблаш мақсадида даромадлар, харажатлар ва молиявий натижаларнинг ҳисоб-китоби</v>
      </c>
    </row>
    <row r="5" spans="2:6" x14ac:dyDescent="0.35">
      <c r="B5" s="67" t="s">
        <v>124</v>
      </c>
      <c r="C5" s="71" t="s">
        <v>285</v>
      </c>
    </row>
    <row r="6" spans="2:6" x14ac:dyDescent="0.35">
      <c r="D6" s="23" t="s">
        <v>266</v>
      </c>
    </row>
    <row r="7" spans="2:6" ht="15" x14ac:dyDescent="0.35">
      <c r="B7" s="72" t="s">
        <v>286</v>
      </c>
      <c r="C7" s="72" t="s">
        <v>287</v>
      </c>
      <c r="D7" s="72" t="s">
        <v>288</v>
      </c>
    </row>
    <row r="8" spans="2:6" ht="15.5" x14ac:dyDescent="0.35">
      <c r="B8" s="73" t="s">
        <v>156</v>
      </c>
      <c r="C8" s="74" t="s">
        <v>289</v>
      </c>
      <c r="D8" s="181"/>
    </row>
    <row r="9" spans="2:6" ht="15.5" x14ac:dyDescent="0.35">
      <c r="B9" s="73" t="s">
        <v>158</v>
      </c>
      <c r="C9" s="74" t="s">
        <v>290</v>
      </c>
      <c r="D9" s="181"/>
    </row>
    <row r="10" spans="2:6" ht="15.5" x14ac:dyDescent="0.35">
      <c r="B10" s="73" t="s">
        <v>160</v>
      </c>
      <c r="C10" s="74" t="s">
        <v>291</v>
      </c>
      <c r="D10" s="181"/>
    </row>
    <row r="11" spans="2:6" ht="15.5" x14ac:dyDescent="0.35">
      <c r="B11" s="73" t="s">
        <v>162</v>
      </c>
      <c r="C11" s="74" t="s">
        <v>292</v>
      </c>
      <c r="D11" s="181"/>
    </row>
    <row r="12" spans="2:6" ht="15.5" x14ac:dyDescent="0.35">
      <c r="B12" s="73" t="s">
        <v>164</v>
      </c>
      <c r="C12" s="74" t="s">
        <v>293</v>
      </c>
      <c r="D12" s="181"/>
    </row>
    <row r="13" spans="2:6" ht="15.5" x14ac:dyDescent="0.35">
      <c r="B13" s="73" t="s">
        <v>166</v>
      </c>
      <c r="C13" s="74" t="s">
        <v>294</v>
      </c>
      <c r="D13" s="181"/>
    </row>
    <row r="14" spans="2:6" ht="15.5" x14ac:dyDescent="0.35">
      <c r="B14" s="73" t="s">
        <v>168</v>
      </c>
      <c r="C14" s="74" t="s">
        <v>295</v>
      </c>
      <c r="D14" s="181"/>
    </row>
    <row r="15" spans="2:6" ht="15.5" x14ac:dyDescent="0.35">
      <c r="B15" s="73" t="s">
        <v>170</v>
      </c>
      <c r="C15" s="74" t="s">
        <v>296</v>
      </c>
      <c r="D15" s="181"/>
    </row>
    <row r="16" spans="2:6" ht="15.5" x14ac:dyDescent="0.35">
      <c r="B16" s="73" t="s">
        <v>172</v>
      </c>
      <c r="C16" s="74" t="s">
        <v>297</v>
      </c>
      <c r="D16" s="181"/>
    </row>
    <row r="17" spans="2:4" ht="31" x14ac:dyDescent="0.35">
      <c r="B17" s="73" t="s">
        <v>174</v>
      </c>
      <c r="C17" s="74" t="s">
        <v>298</v>
      </c>
      <c r="D17" s="181"/>
    </row>
    <row r="18" spans="2:4" ht="46.5" x14ac:dyDescent="0.35">
      <c r="B18" s="73" t="s">
        <v>176</v>
      </c>
      <c r="C18" s="74" t="s">
        <v>1295</v>
      </c>
      <c r="D18" s="181"/>
    </row>
    <row r="19" spans="2:4" ht="15.5" x14ac:dyDescent="0.35">
      <c r="B19" s="73" t="s">
        <v>178</v>
      </c>
      <c r="C19" s="74" t="s">
        <v>299</v>
      </c>
      <c r="D19" s="181"/>
    </row>
    <row r="20" spans="2:4" ht="15.5" x14ac:dyDescent="0.35">
      <c r="B20" s="73" t="s">
        <v>180</v>
      </c>
      <c r="C20" s="74" t="s">
        <v>300</v>
      </c>
      <c r="D20" s="181"/>
    </row>
    <row r="21" spans="2:4" ht="31" x14ac:dyDescent="0.35">
      <c r="B21" s="73" t="s">
        <v>182</v>
      </c>
      <c r="C21" s="74" t="s">
        <v>301</v>
      </c>
      <c r="D21" s="181"/>
    </row>
    <row r="22" spans="2:4" ht="15.5" x14ac:dyDescent="0.35">
      <c r="B22" s="73" t="s">
        <v>184</v>
      </c>
      <c r="C22" s="74" t="s">
        <v>302</v>
      </c>
      <c r="D22" s="181"/>
    </row>
    <row r="23" spans="2:4" ht="15.5" x14ac:dyDescent="0.35">
      <c r="B23" s="99"/>
      <c r="C23" s="100"/>
      <c r="D23" s="101"/>
    </row>
    <row r="24" spans="2:4" ht="15" x14ac:dyDescent="0.35">
      <c r="C24" s="102" t="s">
        <v>303</v>
      </c>
      <c r="D24" s="23" t="s">
        <v>278</v>
      </c>
    </row>
    <row r="25" spans="2:4" ht="15" x14ac:dyDescent="0.35">
      <c r="B25" s="72" t="s">
        <v>286</v>
      </c>
      <c r="C25" s="72" t="s">
        <v>287</v>
      </c>
      <c r="D25" s="72" t="s">
        <v>288</v>
      </c>
    </row>
    <row r="26" spans="2:4" ht="15.5" x14ac:dyDescent="0.35">
      <c r="B26" s="73" t="s">
        <v>156</v>
      </c>
      <c r="C26" s="74" t="s">
        <v>304</v>
      </c>
      <c r="D26" s="181"/>
    </row>
    <row r="27" spans="2:4" ht="15.5" x14ac:dyDescent="0.35">
      <c r="B27" s="73" t="s">
        <v>158</v>
      </c>
      <c r="C27" s="74" t="s">
        <v>305</v>
      </c>
      <c r="D27" s="181"/>
    </row>
    <row r="28" spans="2:4" ht="31" x14ac:dyDescent="0.35">
      <c r="B28" s="73" t="s">
        <v>160</v>
      </c>
      <c r="C28" s="74" t="s">
        <v>306</v>
      </c>
      <c r="D28" s="181"/>
    </row>
    <row r="29" spans="2:4" ht="31" x14ac:dyDescent="0.35">
      <c r="B29" s="73" t="s">
        <v>162</v>
      </c>
      <c r="C29" s="74" t="s">
        <v>307</v>
      </c>
      <c r="D29" s="181"/>
    </row>
    <row r="30" spans="2:4" ht="15.5" x14ac:dyDescent="0.35">
      <c r="B30" s="73" t="s">
        <v>164</v>
      </c>
      <c r="C30" s="74" t="s">
        <v>308</v>
      </c>
      <c r="D30" s="181"/>
    </row>
    <row r="31" spans="2:4" ht="31" x14ac:dyDescent="0.35">
      <c r="B31" s="73" t="s">
        <v>309</v>
      </c>
      <c r="C31" s="74" t="s">
        <v>310</v>
      </c>
      <c r="D31" s="181"/>
    </row>
    <row r="32" spans="2:4" ht="31" x14ac:dyDescent="0.35">
      <c r="B32" s="73" t="s">
        <v>166</v>
      </c>
      <c r="C32" s="74" t="s">
        <v>311</v>
      </c>
      <c r="D32" s="181"/>
    </row>
    <row r="34" spans="2:4" x14ac:dyDescent="0.35">
      <c r="B34" s="254" t="s">
        <v>312</v>
      </c>
      <c r="C34" s="254"/>
      <c r="D34" s="254"/>
    </row>
    <row r="35" spans="2:4" x14ac:dyDescent="0.35">
      <c r="B35" s="254"/>
      <c r="C35" s="254"/>
      <c r="D35" s="254"/>
    </row>
    <row r="36" spans="2:4" x14ac:dyDescent="0.35">
      <c r="B36" s="254"/>
      <c r="C36" s="254"/>
      <c r="D36" s="254"/>
    </row>
  </sheetData>
  <sheetProtection algorithmName="SHA-512" hashValue="bj42ugqHGzCQTGDZRlTqtTiiA628SAT7TzehP96eGuPn5hEJsRIvK8+7xrjMn51nxrvO+a+jQYIVWo2TBBsPnA==" saltValue="zxl0yqQmM3wQUwkia6mXYg==" spinCount="100000" sheet="1" objects="1" scenarios="1" formatCells="0"/>
  <protectedRanges>
    <protectedRange sqref="D8:D22 D26:D32" name="Диапазон1"/>
  </protectedRanges>
  <mergeCells count="1">
    <mergeCell ref="B34:D36"/>
  </mergeCells>
  <hyperlinks>
    <hyperlink ref="D1" location="'Жадваллар рўйхати'!A1" display="Список таблиц" xr:uid="{97EAE309-95B1-4293-B6A0-B3857B44696B}"/>
  </hyperlinks>
  <pageMargins left="0.7" right="0.7" top="0.75" bottom="0.75" header="0.3" footer="0.3"/>
  <pageSetup paperSize="9" scale="45"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05E2A-5AB0-410B-A461-898EDC527DF1}">
  <sheetPr codeName="Лист4">
    <tabColor theme="9" tint="0.79998168889431442"/>
  </sheetPr>
  <dimension ref="B1:F34"/>
  <sheetViews>
    <sheetView view="pageBreakPreview" zoomScale="60" zoomScaleNormal="100" workbookViewId="0">
      <selection activeCell="I36" sqref="I36"/>
    </sheetView>
  </sheetViews>
  <sheetFormatPr defaultColWidth="9.1796875" defaultRowHeight="14.5" x14ac:dyDescent="0.35"/>
  <cols>
    <col min="1" max="1" width="9.1796875" style="29"/>
    <col min="2" max="2" width="14" style="29" bestFit="1" customWidth="1"/>
    <col min="3" max="3" width="144.81640625" style="29" customWidth="1"/>
    <col min="4" max="4" width="25" style="29" customWidth="1"/>
    <col min="5" max="5" width="46.81640625" style="29" bestFit="1" customWidth="1"/>
    <col min="6" max="6" width="11.54296875" style="29" bestFit="1" customWidth="1"/>
    <col min="7" max="16384" width="9.1796875" style="29"/>
  </cols>
  <sheetData>
    <row r="1" spans="2:6" s="85" customFormat="1" x14ac:dyDescent="0.35">
      <c r="B1" s="62" t="s">
        <v>150</v>
      </c>
      <c r="C1" s="63">
        <f>VLOOKUP($C$5,'Жадваллар рўйхати'!$A:$E,2,FALSE)</f>
        <v>1882</v>
      </c>
      <c r="D1" s="98" t="s">
        <v>151</v>
      </c>
    </row>
    <row r="2" spans="2:6" s="85" customFormat="1" x14ac:dyDescent="0.35">
      <c r="B2" s="65" t="s">
        <v>126</v>
      </c>
      <c r="C2" s="66" t="str">
        <f>VLOOKUP($C$5,'Жадваллар рўйхати'!$A:$E,3,FALSE)</f>
        <v>Суғурталовчиларнинг суғурта захиралари тўғрисидаги низом</v>
      </c>
      <c r="D2" s="29"/>
      <c r="E2" s="86"/>
      <c r="F2" s="91"/>
    </row>
    <row r="3" spans="2:6" x14ac:dyDescent="0.35">
      <c r="B3" s="67" t="s">
        <v>127</v>
      </c>
      <c r="C3" s="68">
        <f>VLOOKUP($C$5,'Жадваллар рўйхати'!$A:$E,4,FALSE)</f>
        <v>2</v>
      </c>
    </row>
    <row r="4" spans="2:6" ht="29" x14ac:dyDescent="0.35">
      <c r="B4" s="69" t="s">
        <v>128</v>
      </c>
      <c r="C4" s="70" t="str">
        <f>VLOOKUP($C$5,'Жадваллар рўйхати'!$A:$E,5,FALSE)</f>
        <v>Иш берувчининг фуқаролик жавобгарлигини мажбурий суғурта қилиш бўйича барқарорлаштириш захирасини ҳисоблаш мақсадида даромадлар, харажатлар ва молиявий натижаларнинг ҳисоб-китоби</v>
      </c>
    </row>
    <row r="5" spans="2:6" x14ac:dyDescent="0.35">
      <c r="B5" s="67" t="s">
        <v>124</v>
      </c>
      <c r="C5" s="71" t="s">
        <v>313</v>
      </c>
    </row>
    <row r="6" spans="2:6" ht="15" customHeight="1" x14ac:dyDescent="0.35">
      <c r="D6" s="23" t="s">
        <v>266</v>
      </c>
    </row>
    <row r="7" spans="2:6" ht="15" x14ac:dyDescent="0.35">
      <c r="B7" s="72" t="s">
        <v>314</v>
      </c>
      <c r="C7" s="72" t="s">
        <v>287</v>
      </c>
      <c r="D7" s="72" t="s">
        <v>288</v>
      </c>
    </row>
    <row r="8" spans="2:6" ht="15.5" x14ac:dyDescent="0.35">
      <c r="B8" s="103" t="s">
        <v>156</v>
      </c>
      <c r="C8" s="104" t="s">
        <v>289</v>
      </c>
      <c r="D8" s="183"/>
    </row>
    <row r="9" spans="2:6" ht="15.5" x14ac:dyDescent="0.35">
      <c r="B9" s="103" t="s">
        <v>158</v>
      </c>
      <c r="C9" s="104" t="s">
        <v>315</v>
      </c>
      <c r="D9" s="183"/>
    </row>
    <row r="10" spans="2:6" ht="15.5" x14ac:dyDescent="0.35">
      <c r="B10" s="103" t="s">
        <v>160</v>
      </c>
      <c r="C10" s="104" t="s">
        <v>292</v>
      </c>
      <c r="D10" s="183"/>
    </row>
    <row r="11" spans="2:6" ht="15.5" x14ac:dyDescent="0.35">
      <c r="B11" s="103" t="s">
        <v>162</v>
      </c>
      <c r="C11" s="104" t="s">
        <v>293</v>
      </c>
      <c r="D11" s="183"/>
    </row>
    <row r="12" spans="2:6" ht="15.5" x14ac:dyDescent="0.35">
      <c r="B12" s="103" t="s">
        <v>164</v>
      </c>
      <c r="C12" s="104" t="s">
        <v>294</v>
      </c>
      <c r="D12" s="183"/>
    </row>
    <row r="13" spans="2:6" ht="15.5" x14ac:dyDescent="0.35">
      <c r="B13" s="103" t="s">
        <v>166</v>
      </c>
      <c r="C13" s="104" t="s">
        <v>316</v>
      </c>
      <c r="D13" s="183"/>
    </row>
    <row r="14" spans="2:6" ht="15.5" x14ac:dyDescent="0.35">
      <c r="B14" s="103" t="s">
        <v>168</v>
      </c>
      <c r="C14" s="104" t="s">
        <v>296</v>
      </c>
      <c r="D14" s="183"/>
    </row>
    <row r="15" spans="2:6" ht="15.5" x14ac:dyDescent="0.35">
      <c r="B15" s="103" t="s">
        <v>170</v>
      </c>
      <c r="C15" s="104" t="s">
        <v>297</v>
      </c>
      <c r="D15" s="183"/>
    </row>
    <row r="16" spans="2:6" ht="31" x14ac:dyDescent="0.35">
      <c r="B16" s="103" t="s">
        <v>172</v>
      </c>
      <c r="C16" s="104" t="s">
        <v>317</v>
      </c>
      <c r="D16" s="183"/>
    </row>
    <row r="17" spans="2:4" ht="46.5" x14ac:dyDescent="0.35">
      <c r="B17" s="103" t="s">
        <v>174</v>
      </c>
      <c r="C17" s="104" t="s">
        <v>1296</v>
      </c>
      <c r="D17" s="183"/>
    </row>
    <row r="18" spans="2:4" ht="15.5" x14ac:dyDescent="0.35">
      <c r="B18" s="103" t="s">
        <v>176</v>
      </c>
      <c r="C18" s="104" t="s">
        <v>318</v>
      </c>
      <c r="D18" s="183"/>
    </row>
    <row r="19" spans="2:4" ht="15.5" x14ac:dyDescent="0.35">
      <c r="B19" s="103" t="s">
        <v>178</v>
      </c>
      <c r="C19" s="104" t="s">
        <v>319</v>
      </c>
      <c r="D19" s="183"/>
    </row>
    <row r="20" spans="2:4" ht="31" x14ac:dyDescent="0.35">
      <c r="B20" s="103" t="s">
        <v>180</v>
      </c>
      <c r="C20" s="104" t="s">
        <v>320</v>
      </c>
      <c r="D20" s="183"/>
    </row>
    <row r="21" spans="2:4" ht="15.5" x14ac:dyDescent="0.35">
      <c r="B21" s="103" t="s">
        <v>182</v>
      </c>
      <c r="C21" s="104" t="s">
        <v>321</v>
      </c>
      <c r="D21" s="183"/>
    </row>
    <row r="23" spans="2:4" ht="15.5" x14ac:dyDescent="0.35">
      <c r="C23" s="105" t="s">
        <v>322</v>
      </c>
      <c r="D23" s="23" t="s">
        <v>278</v>
      </c>
    </row>
    <row r="24" spans="2:4" ht="15" x14ac:dyDescent="0.35">
      <c r="B24" s="72" t="s">
        <v>314</v>
      </c>
      <c r="C24" s="72" t="s">
        <v>287</v>
      </c>
      <c r="D24" s="72" t="s">
        <v>288</v>
      </c>
    </row>
    <row r="25" spans="2:4" ht="15.5" x14ac:dyDescent="0.35">
      <c r="B25" s="73" t="s">
        <v>156</v>
      </c>
      <c r="C25" s="74" t="s">
        <v>323</v>
      </c>
      <c r="D25" s="181"/>
    </row>
    <row r="26" spans="2:4" ht="15.5" x14ac:dyDescent="0.35">
      <c r="B26" s="73" t="s">
        <v>158</v>
      </c>
      <c r="C26" s="74" t="s">
        <v>324</v>
      </c>
      <c r="D26" s="181"/>
    </row>
    <row r="27" spans="2:4" ht="15.5" x14ac:dyDescent="0.35">
      <c r="B27" s="73" t="s">
        <v>160</v>
      </c>
      <c r="C27" s="74" t="s">
        <v>325</v>
      </c>
      <c r="D27" s="181"/>
    </row>
    <row r="28" spans="2:4" ht="31" x14ac:dyDescent="0.35">
      <c r="B28" s="73" t="s">
        <v>162</v>
      </c>
      <c r="C28" s="74" t="s">
        <v>326</v>
      </c>
      <c r="D28" s="181"/>
    </row>
    <row r="29" spans="2:4" ht="15.5" x14ac:dyDescent="0.35">
      <c r="B29" s="73" t="s">
        <v>164</v>
      </c>
      <c r="C29" s="74" t="s">
        <v>308</v>
      </c>
      <c r="D29" s="181"/>
    </row>
    <row r="30" spans="2:4" ht="31" x14ac:dyDescent="0.35">
      <c r="B30" s="73" t="s">
        <v>166</v>
      </c>
      <c r="C30" s="74" t="s">
        <v>327</v>
      </c>
      <c r="D30" s="181"/>
    </row>
    <row r="32" spans="2:4" x14ac:dyDescent="0.35">
      <c r="B32" s="254" t="s">
        <v>328</v>
      </c>
      <c r="C32" s="254"/>
      <c r="D32" s="254"/>
    </row>
    <row r="33" spans="2:4" x14ac:dyDescent="0.35">
      <c r="B33" s="254"/>
      <c r="C33" s="254"/>
      <c r="D33" s="254"/>
    </row>
    <row r="34" spans="2:4" x14ac:dyDescent="0.35">
      <c r="B34" s="254"/>
      <c r="C34" s="254"/>
      <c r="D34" s="254"/>
    </row>
  </sheetData>
  <sheetProtection algorithmName="SHA-512" hashValue="PvTAL7qRlPJ5oDcrM3vMZQkxFNSRjflmgJxJRlbD1P2Ssw+Qc3bXanilo/H7DcZ3ZWnTHgM7GnoRH8WOnJzv5g==" saltValue="cclZK/fAJ2B2KrEJNsefvA==" spinCount="100000" sheet="1" objects="1" scenarios="1" formatCells="0"/>
  <protectedRanges>
    <protectedRange sqref="D8:D21 D25:D30" name="Диапазон1"/>
  </protectedRanges>
  <mergeCells count="1">
    <mergeCell ref="B32:D34"/>
  </mergeCells>
  <hyperlinks>
    <hyperlink ref="D1" location="'Жадваллар рўйхати'!A1" display="Список таблиц" xr:uid="{A410AFB7-9967-44D8-9EEA-FDB0CC1F706C}"/>
  </hyperlinks>
  <pageMargins left="0.7" right="0.7" top="0.75" bottom="0.75" header="0.3" footer="0.3"/>
  <pageSetup paperSize="9" scale="45"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E04CC-9722-4306-BAD1-50143B3CD853}">
  <sheetPr codeName="Лист5">
    <tabColor theme="9" tint="0.79998168889431442"/>
  </sheetPr>
  <dimension ref="B1:F34"/>
  <sheetViews>
    <sheetView tabSelected="1" view="pageBreakPreview" zoomScale="60" zoomScaleNormal="100" workbookViewId="0">
      <selection activeCell="C4" sqref="C4"/>
    </sheetView>
  </sheetViews>
  <sheetFormatPr defaultColWidth="9.1796875" defaultRowHeight="14.5" x14ac:dyDescent="0.35"/>
  <cols>
    <col min="1" max="1" width="9.26953125" style="29" customWidth="1"/>
    <col min="2" max="2" width="14" style="29" bestFit="1" customWidth="1"/>
    <col min="3" max="3" width="144.81640625" style="29" customWidth="1"/>
    <col min="4" max="4" width="25" style="29" customWidth="1"/>
    <col min="5" max="5" width="46.81640625" style="29" bestFit="1" customWidth="1"/>
    <col min="6" max="6" width="11.54296875" style="29" bestFit="1" customWidth="1"/>
    <col min="7" max="16384" width="9.1796875" style="29"/>
  </cols>
  <sheetData>
    <row r="1" spans="2:6" s="85" customFormat="1" x14ac:dyDescent="0.35">
      <c r="B1" s="62" t="s">
        <v>150</v>
      </c>
      <c r="C1" s="63">
        <f>VLOOKUP($C$5,'Жадваллар рўйхати'!$A:$E,2,FALSE)</f>
        <v>1882</v>
      </c>
      <c r="D1" s="98" t="s">
        <v>151</v>
      </c>
    </row>
    <row r="2" spans="2:6" s="85" customFormat="1" x14ac:dyDescent="0.35">
      <c r="B2" s="65" t="s">
        <v>126</v>
      </c>
      <c r="C2" s="66" t="str">
        <f>VLOOKUP($C$5,'Жадваллар рўйхати'!$A:$E,3,FALSE)</f>
        <v>Суғурталовчиларнинг суғурта захиралари тўғрисидаги низом</v>
      </c>
      <c r="D2" s="29"/>
      <c r="E2" s="86"/>
      <c r="F2" s="91"/>
    </row>
    <row r="3" spans="2:6" x14ac:dyDescent="0.35">
      <c r="B3" s="67" t="s">
        <v>127</v>
      </c>
      <c r="C3" s="68">
        <f>VLOOKUP($C$5,'Жадваллар рўйхати'!$A:$E,4,FALSE)</f>
        <v>3</v>
      </c>
    </row>
    <row r="4" spans="2:6" ht="29" x14ac:dyDescent="0.35">
      <c r="B4" s="69" t="s">
        <v>128</v>
      </c>
      <c r="C4" s="70" t="str">
        <f>VLOOKUP($C$5,'Жадваллар рўйхати'!$A:$E,5,FALSE)</f>
        <v>Ташувчининг фуқаролик жавобгарлигини мажбурий суғурта қилиш бўйича барқарорлаштириш захирасини ҳисоблаш мақсадида даромадлар, харажатлар ва молиявий натижаларнинг ҳисоб-китоби</v>
      </c>
    </row>
    <row r="5" spans="2:6" x14ac:dyDescent="0.35">
      <c r="B5" s="67" t="s">
        <v>124</v>
      </c>
      <c r="C5" s="71" t="s">
        <v>329</v>
      </c>
    </row>
    <row r="6" spans="2:6" x14ac:dyDescent="0.35">
      <c r="D6" s="23" t="s">
        <v>266</v>
      </c>
    </row>
    <row r="7" spans="2:6" ht="15" x14ac:dyDescent="0.35">
      <c r="B7" s="72" t="s">
        <v>330</v>
      </c>
      <c r="C7" s="72" t="s">
        <v>287</v>
      </c>
      <c r="D7" s="72" t="s">
        <v>288</v>
      </c>
    </row>
    <row r="8" spans="2:6" ht="15.5" x14ac:dyDescent="0.35">
      <c r="B8" s="106" t="s">
        <v>156</v>
      </c>
      <c r="C8" s="107" t="s">
        <v>289</v>
      </c>
      <c r="D8" s="182"/>
    </row>
    <row r="9" spans="2:6" ht="15.5" x14ac:dyDescent="0.35">
      <c r="B9" s="106" t="s">
        <v>158</v>
      </c>
      <c r="C9" s="107" t="s">
        <v>315</v>
      </c>
      <c r="D9" s="182"/>
    </row>
    <row r="10" spans="2:6" ht="15.5" x14ac:dyDescent="0.35">
      <c r="B10" s="106" t="s">
        <v>160</v>
      </c>
      <c r="C10" s="107" t="s">
        <v>292</v>
      </c>
      <c r="D10" s="182"/>
    </row>
    <row r="11" spans="2:6" ht="15.5" x14ac:dyDescent="0.35">
      <c r="B11" s="106" t="s">
        <v>162</v>
      </c>
      <c r="C11" s="107" t="s">
        <v>293</v>
      </c>
      <c r="D11" s="182"/>
    </row>
    <row r="12" spans="2:6" ht="15.5" x14ac:dyDescent="0.35">
      <c r="B12" s="106" t="s">
        <v>164</v>
      </c>
      <c r="C12" s="107" t="s">
        <v>294</v>
      </c>
      <c r="D12" s="182"/>
    </row>
    <row r="13" spans="2:6" ht="15.5" x14ac:dyDescent="0.35">
      <c r="B13" s="106" t="s">
        <v>166</v>
      </c>
      <c r="C13" s="107" t="s">
        <v>316</v>
      </c>
      <c r="D13" s="182"/>
    </row>
    <row r="14" spans="2:6" ht="15.5" x14ac:dyDescent="0.35">
      <c r="B14" s="106" t="s">
        <v>168</v>
      </c>
      <c r="C14" s="107" t="s">
        <v>296</v>
      </c>
      <c r="D14" s="182"/>
    </row>
    <row r="15" spans="2:6" ht="15.5" x14ac:dyDescent="0.35">
      <c r="B15" s="106" t="s">
        <v>170</v>
      </c>
      <c r="C15" s="107" t="s">
        <v>297</v>
      </c>
      <c r="D15" s="182"/>
    </row>
    <row r="16" spans="2:6" ht="31" x14ac:dyDescent="0.35">
      <c r="B16" s="106" t="s">
        <v>172</v>
      </c>
      <c r="C16" s="107" t="s">
        <v>317</v>
      </c>
      <c r="D16" s="182"/>
    </row>
    <row r="17" spans="2:4" ht="46.5" x14ac:dyDescent="0.35">
      <c r="B17" s="106" t="s">
        <v>174</v>
      </c>
      <c r="C17" s="107" t="s">
        <v>1297</v>
      </c>
      <c r="D17" s="182"/>
    </row>
    <row r="18" spans="2:4" ht="15.5" x14ac:dyDescent="0.35">
      <c r="B18" s="106" t="s">
        <v>176</v>
      </c>
      <c r="C18" s="107" t="s">
        <v>331</v>
      </c>
      <c r="D18" s="182"/>
    </row>
    <row r="19" spans="2:4" ht="15.5" x14ac:dyDescent="0.35">
      <c r="B19" s="106" t="s">
        <v>178</v>
      </c>
      <c r="C19" s="107" t="s">
        <v>332</v>
      </c>
      <c r="D19" s="182"/>
    </row>
    <row r="20" spans="2:4" ht="31" x14ac:dyDescent="0.35">
      <c r="B20" s="106" t="s">
        <v>180</v>
      </c>
      <c r="C20" s="107" t="s">
        <v>333</v>
      </c>
      <c r="D20" s="182"/>
    </row>
    <row r="21" spans="2:4" ht="15.5" x14ac:dyDescent="0.35">
      <c r="B21" s="106" t="s">
        <v>182</v>
      </c>
      <c r="C21" s="107" t="s">
        <v>334</v>
      </c>
      <c r="D21" s="182"/>
    </row>
    <row r="23" spans="2:4" ht="15.5" x14ac:dyDescent="0.35">
      <c r="C23" s="105" t="s">
        <v>335</v>
      </c>
      <c r="D23" s="23" t="s">
        <v>278</v>
      </c>
    </row>
    <row r="24" spans="2:4" ht="15" x14ac:dyDescent="0.35">
      <c r="B24" s="72" t="s">
        <v>330</v>
      </c>
      <c r="C24" s="72" t="s">
        <v>287</v>
      </c>
      <c r="D24" s="72" t="s">
        <v>288</v>
      </c>
    </row>
    <row r="25" spans="2:4" ht="15.5" x14ac:dyDescent="0.35">
      <c r="B25" s="106" t="s">
        <v>156</v>
      </c>
      <c r="C25" s="108" t="s">
        <v>323</v>
      </c>
      <c r="D25" s="181"/>
    </row>
    <row r="26" spans="2:4" ht="15.5" x14ac:dyDescent="0.35">
      <c r="B26" s="106" t="s">
        <v>158</v>
      </c>
      <c r="C26" s="109" t="s">
        <v>336</v>
      </c>
      <c r="D26" s="181"/>
    </row>
    <row r="27" spans="2:4" ht="15.5" x14ac:dyDescent="0.35">
      <c r="B27" s="106" t="s">
        <v>160</v>
      </c>
      <c r="C27" s="109" t="s">
        <v>337</v>
      </c>
      <c r="D27" s="181"/>
    </row>
    <row r="28" spans="2:4" ht="31" x14ac:dyDescent="0.35">
      <c r="B28" s="106" t="s">
        <v>162</v>
      </c>
      <c r="C28" s="109" t="s">
        <v>338</v>
      </c>
      <c r="D28" s="181"/>
    </row>
    <row r="29" spans="2:4" ht="15.5" x14ac:dyDescent="0.35">
      <c r="B29" s="106" t="s">
        <v>164</v>
      </c>
      <c r="C29" s="109" t="s">
        <v>308</v>
      </c>
      <c r="D29" s="181"/>
    </row>
    <row r="30" spans="2:4" ht="31" x14ac:dyDescent="0.35">
      <c r="B30" s="106" t="s">
        <v>166</v>
      </c>
      <c r="C30" s="109" t="s">
        <v>339</v>
      </c>
      <c r="D30" s="181"/>
    </row>
    <row r="32" spans="2:4" x14ac:dyDescent="0.35">
      <c r="B32" s="254" t="s">
        <v>340</v>
      </c>
      <c r="C32" s="254"/>
      <c r="D32" s="254"/>
    </row>
    <row r="33" spans="2:4" x14ac:dyDescent="0.35">
      <c r="B33" s="254"/>
      <c r="C33" s="254"/>
      <c r="D33" s="254"/>
    </row>
    <row r="34" spans="2:4" x14ac:dyDescent="0.35">
      <c r="B34" s="254"/>
      <c r="C34" s="254"/>
      <c r="D34" s="254"/>
    </row>
  </sheetData>
  <sheetProtection algorithmName="SHA-512" hashValue="a3rOKmvf982MA8zjFv5Mc1tUtrJXo3grPpZRRUMoL0fwQdL54o+ewgsmYe1lJX5Dorbn1p1bYdP/f/VHTpDVew==" saltValue="e6xghRAsSHckPsUqZV25+g==" spinCount="100000" sheet="1" objects="1" scenarios="1" formatCells="0"/>
  <protectedRanges>
    <protectedRange sqref="D8:D21 D25:D30" name="Диапазон1"/>
  </protectedRanges>
  <mergeCells count="1">
    <mergeCell ref="B32:D34"/>
  </mergeCells>
  <hyperlinks>
    <hyperlink ref="D1" location="'Жадваллар рўйхати'!A1" display="Список таблиц" xr:uid="{F5487539-102D-491F-BC3D-24406F5CFA75}"/>
  </hyperlinks>
  <pageMargins left="0.7" right="0.7" top="0.75" bottom="0.75" header="0.3" footer="0.3"/>
  <pageSetup paperSize="9" scale="45"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0C762-AA1F-4DF2-AF16-DB04CE85ACC6}">
  <sheetPr codeName="Лист6">
    <tabColor theme="9" tint="0.79998168889431442"/>
  </sheetPr>
  <dimension ref="B1:H47"/>
  <sheetViews>
    <sheetView view="pageBreakPreview" topLeftCell="A20" zoomScale="60" zoomScaleNormal="100" workbookViewId="0">
      <selection activeCell="B10" sqref="B10:C39"/>
    </sheetView>
  </sheetViews>
  <sheetFormatPr defaultColWidth="9.1796875" defaultRowHeight="14.5" x14ac:dyDescent="0.35"/>
  <cols>
    <col min="1" max="1" width="9.1796875" style="29"/>
    <col min="2" max="2" width="14" style="29" bestFit="1" customWidth="1"/>
    <col min="3" max="3" width="113.81640625" style="29" customWidth="1"/>
    <col min="4" max="8" width="28.54296875" style="29" customWidth="1"/>
    <col min="9" max="16384" width="9.1796875" style="29"/>
  </cols>
  <sheetData>
    <row r="1" spans="2:8" s="85" customFormat="1" x14ac:dyDescent="0.35">
      <c r="B1" s="62" t="s">
        <v>150</v>
      </c>
      <c r="C1" s="63">
        <f>VLOOKUP($C$5,'Жадваллар рўйхати'!$A:$E,2,FALSE)</f>
        <v>1882</v>
      </c>
      <c r="D1" s="98" t="s">
        <v>151</v>
      </c>
    </row>
    <row r="2" spans="2:8" s="85" customFormat="1" x14ac:dyDescent="0.35">
      <c r="B2" s="65" t="s">
        <v>126</v>
      </c>
      <c r="C2" s="66" t="str">
        <f>VLOOKUP($C$5,'Жадваллар рўйхати'!$A:$E,3,FALSE)</f>
        <v>Суғурталовчиларнинг суғурта захиралари тўғрисидаги низом</v>
      </c>
      <c r="D2" s="29"/>
      <c r="E2" s="86"/>
      <c r="F2" s="91"/>
    </row>
    <row r="3" spans="2:8" x14ac:dyDescent="0.35">
      <c r="B3" s="67" t="s">
        <v>127</v>
      </c>
      <c r="C3" s="68">
        <f>VLOOKUP($C$5,'Жадваллар рўйхати'!$A:$E,4,FALSE)</f>
        <v>4</v>
      </c>
    </row>
    <row r="4" spans="2:8" ht="13.5" customHeight="1" x14ac:dyDescent="0.35">
      <c r="B4" s="69" t="s">
        <v>128</v>
      </c>
      <c r="C4" s="70" t="str">
        <f>VLOOKUP($C$5,'Жадваллар рўйхати'!$A:$E,5,FALSE)</f>
        <v>Суғурта захираларининг умумий миқдори</v>
      </c>
    </row>
    <row r="5" spans="2:8" x14ac:dyDescent="0.35">
      <c r="B5" s="67" t="s">
        <v>124</v>
      </c>
      <c r="C5" s="71" t="s">
        <v>341</v>
      </c>
    </row>
    <row r="7" spans="2:8" ht="15" x14ac:dyDescent="0.35">
      <c r="B7" s="259" t="s">
        <v>342</v>
      </c>
      <c r="C7" s="260"/>
      <c r="D7" s="263" t="s">
        <v>343</v>
      </c>
      <c r="E7" s="255" t="s">
        <v>344</v>
      </c>
      <c r="F7" s="255"/>
      <c r="G7" s="255"/>
      <c r="H7" s="255"/>
    </row>
    <row r="8" spans="2:8" ht="15.5" x14ac:dyDescent="0.35">
      <c r="B8" s="261"/>
      <c r="C8" s="262"/>
      <c r="D8" s="264"/>
      <c r="E8" s="112" t="s">
        <v>345</v>
      </c>
      <c r="F8" s="113" t="s">
        <v>346</v>
      </c>
      <c r="G8" s="113" t="s">
        <v>347</v>
      </c>
      <c r="H8" s="113" t="s">
        <v>348</v>
      </c>
    </row>
    <row r="9" spans="2:8" ht="15.5" x14ac:dyDescent="0.35">
      <c r="B9" s="258" t="s">
        <v>349</v>
      </c>
      <c r="C9" s="258"/>
      <c r="D9" s="114"/>
      <c r="E9" s="209"/>
      <c r="F9" s="209"/>
      <c r="G9" s="209"/>
      <c r="H9" s="209"/>
    </row>
    <row r="10" spans="2:8" ht="15.5" x14ac:dyDescent="0.35">
      <c r="B10" s="258" t="s">
        <v>350</v>
      </c>
      <c r="C10" s="258"/>
      <c r="D10" s="209"/>
      <c r="E10" s="209"/>
      <c r="F10" s="209"/>
      <c r="G10" s="209"/>
      <c r="H10" s="209"/>
    </row>
    <row r="11" spans="2:8" ht="15.5" x14ac:dyDescent="0.35">
      <c r="B11" s="258" t="s">
        <v>351</v>
      </c>
      <c r="C11" s="258"/>
      <c r="D11" s="209"/>
      <c r="E11" s="209"/>
      <c r="F11" s="209"/>
      <c r="G11" s="209"/>
      <c r="H11" s="209"/>
    </row>
    <row r="12" spans="2:8" ht="15.5" x14ac:dyDescent="0.35">
      <c r="B12" s="258" t="s">
        <v>352</v>
      </c>
      <c r="C12" s="258"/>
      <c r="D12" s="209"/>
      <c r="E12" s="209"/>
      <c r="F12" s="209"/>
      <c r="G12" s="209"/>
      <c r="H12" s="209"/>
    </row>
    <row r="13" spans="2:8" ht="15.5" x14ac:dyDescent="0.35">
      <c r="B13" s="258" t="s">
        <v>353</v>
      </c>
      <c r="C13" s="258"/>
      <c r="D13" s="209"/>
      <c r="E13" s="209"/>
      <c r="F13" s="209"/>
      <c r="G13" s="209"/>
      <c r="H13" s="209"/>
    </row>
    <row r="14" spans="2:8" ht="15.5" x14ac:dyDescent="0.35">
      <c r="B14" s="258" t="s">
        <v>354</v>
      </c>
      <c r="C14" s="258"/>
      <c r="D14" s="209"/>
      <c r="E14" s="209"/>
      <c r="F14" s="209"/>
      <c r="G14" s="209"/>
      <c r="H14" s="209"/>
    </row>
    <row r="15" spans="2:8" ht="15.5" x14ac:dyDescent="0.35">
      <c r="B15" s="258" t="s">
        <v>355</v>
      </c>
      <c r="C15" s="258"/>
      <c r="D15" s="209"/>
      <c r="E15" s="209"/>
      <c r="F15" s="209"/>
      <c r="G15" s="209"/>
      <c r="H15" s="209"/>
    </row>
    <row r="16" spans="2:8" ht="15.5" x14ac:dyDescent="0.35">
      <c r="B16" s="258" t="s">
        <v>356</v>
      </c>
      <c r="C16" s="258"/>
      <c r="D16" s="209"/>
      <c r="E16" s="209"/>
      <c r="F16" s="209"/>
      <c r="G16" s="209"/>
      <c r="H16" s="209"/>
    </row>
    <row r="17" spans="2:8" ht="15.5" x14ac:dyDescent="0.35">
      <c r="B17" s="258" t="s">
        <v>357</v>
      </c>
      <c r="C17" s="258"/>
      <c r="D17" s="209"/>
      <c r="E17" s="209"/>
      <c r="F17" s="209"/>
      <c r="G17" s="209"/>
      <c r="H17" s="209"/>
    </row>
    <row r="18" spans="2:8" ht="15.5" x14ac:dyDescent="0.35">
      <c r="B18" s="258" t="s">
        <v>358</v>
      </c>
      <c r="C18" s="258"/>
      <c r="D18" s="209"/>
      <c r="E18" s="209"/>
      <c r="F18" s="209"/>
      <c r="G18" s="209"/>
      <c r="H18" s="209"/>
    </row>
    <row r="19" spans="2:8" ht="15.5" x14ac:dyDescent="0.35">
      <c r="B19" s="258" t="s">
        <v>359</v>
      </c>
      <c r="C19" s="258"/>
      <c r="D19" s="209"/>
      <c r="E19" s="209"/>
      <c r="F19" s="209"/>
      <c r="G19" s="209"/>
      <c r="H19" s="209"/>
    </row>
    <row r="20" spans="2:8" ht="15.5" x14ac:dyDescent="0.35">
      <c r="B20" s="258" t="s">
        <v>360</v>
      </c>
      <c r="C20" s="258"/>
      <c r="D20" s="209"/>
      <c r="E20" s="209"/>
      <c r="F20" s="209"/>
      <c r="G20" s="209"/>
      <c r="H20" s="209"/>
    </row>
    <row r="21" spans="2:8" ht="15.5" x14ac:dyDescent="0.35">
      <c r="B21" s="258" t="s">
        <v>361</v>
      </c>
      <c r="C21" s="258"/>
      <c r="D21" s="209"/>
      <c r="E21" s="209"/>
      <c r="F21" s="209"/>
      <c r="G21" s="209"/>
      <c r="H21" s="209"/>
    </row>
    <row r="22" spans="2:8" ht="15.5" x14ac:dyDescent="0.35">
      <c r="B22" s="258" t="s">
        <v>362</v>
      </c>
      <c r="C22" s="258"/>
      <c r="D22" s="209"/>
      <c r="E22" s="209"/>
      <c r="F22" s="209"/>
      <c r="G22" s="209"/>
      <c r="H22" s="209"/>
    </row>
    <row r="23" spans="2:8" ht="15.5" x14ac:dyDescent="0.35">
      <c r="B23" s="258" t="s">
        <v>363</v>
      </c>
      <c r="C23" s="258"/>
      <c r="D23" s="209"/>
      <c r="E23" s="209"/>
      <c r="F23" s="209"/>
      <c r="G23" s="209"/>
      <c r="H23" s="209"/>
    </row>
    <row r="24" spans="2:8" ht="15.5" x14ac:dyDescent="0.35">
      <c r="B24" s="258" t="s">
        <v>364</v>
      </c>
      <c r="C24" s="258"/>
      <c r="D24" s="209"/>
      <c r="E24" s="209"/>
      <c r="F24" s="209"/>
      <c r="G24" s="209"/>
      <c r="H24" s="209"/>
    </row>
    <row r="25" spans="2:8" ht="15.5" x14ac:dyDescent="0.35">
      <c r="B25" s="258" t="s">
        <v>365</v>
      </c>
      <c r="C25" s="258"/>
      <c r="D25" s="209"/>
      <c r="E25" s="209"/>
      <c r="F25" s="209"/>
      <c r="G25" s="209"/>
      <c r="H25" s="209"/>
    </row>
    <row r="26" spans="2:8" ht="15.5" x14ac:dyDescent="0.35">
      <c r="B26" s="258" t="s">
        <v>366</v>
      </c>
      <c r="C26" s="258"/>
      <c r="D26" s="209"/>
      <c r="E26" s="209"/>
      <c r="F26" s="209"/>
      <c r="G26" s="209"/>
      <c r="H26" s="209"/>
    </row>
    <row r="27" spans="2:8" ht="15.5" x14ac:dyDescent="0.35">
      <c r="B27" s="258" t="s">
        <v>367</v>
      </c>
      <c r="C27" s="258"/>
      <c r="D27" s="209"/>
      <c r="E27" s="209"/>
      <c r="F27" s="209"/>
      <c r="G27" s="209"/>
      <c r="H27" s="209"/>
    </row>
    <row r="28" spans="2:8" ht="15.5" x14ac:dyDescent="0.35">
      <c r="B28" s="258" t="s">
        <v>368</v>
      </c>
      <c r="C28" s="258"/>
      <c r="D28" s="209"/>
      <c r="E28" s="209"/>
      <c r="F28" s="209"/>
      <c r="G28" s="209"/>
      <c r="H28" s="209"/>
    </row>
    <row r="29" spans="2:8" ht="15.5" x14ac:dyDescent="0.35">
      <c r="B29" s="258" t="s">
        <v>369</v>
      </c>
      <c r="C29" s="258"/>
      <c r="D29" s="209"/>
      <c r="E29" s="209"/>
      <c r="F29" s="209"/>
      <c r="G29" s="209"/>
      <c r="H29" s="209"/>
    </row>
    <row r="30" spans="2:8" ht="15.5" x14ac:dyDescent="0.35">
      <c r="B30" s="258" t="s">
        <v>370</v>
      </c>
      <c r="C30" s="258"/>
      <c r="D30" s="209"/>
      <c r="E30" s="209"/>
      <c r="F30" s="209"/>
      <c r="G30" s="209"/>
      <c r="H30" s="209"/>
    </row>
    <row r="31" spans="2:8" ht="15.5" x14ac:dyDescent="0.35">
      <c r="B31" s="258" t="s">
        <v>371</v>
      </c>
      <c r="C31" s="258"/>
      <c r="D31" s="209"/>
      <c r="E31" s="209"/>
      <c r="F31" s="209"/>
      <c r="G31" s="209"/>
      <c r="H31" s="209"/>
    </row>
    <row r="32" spans="2:8" ht="15.5" x14ac:dyDescent="0.35">
      <c r="B32" s="258" t="s">
        <v>372</v>
      </c>
      <c r="C32" s="258"/>
      <c r="D32" s="209"/>
      <c r="E32" s="209"/>
      <c r="F32" s="209"/>
      <c r="G32" s="209"/>
      <c r="H32" s="209"/>
    </row>
    <row r="33" spans="2:8" ht="15.5" x14ac:dyDescent="0.35">
      <c r="B33" s="258" t="s">
        <v>373</v>
      </c>
      <c r="C33" s="258"/>
      <c r="D33" s="209"/>
      <c r="E33" s="209"/>
      <c r="F33" s="209"/>
      <c r="G33" s="209"/>
      <c r="H33" s="209"/>
    </row>
    <row r="34" spans="2:8" ht="15.5" x14ac:dyDescent="0.35">
      <c r="B34" s="258" t="s">
        <v>374</v>
      </c>
      <c r="C34" s="258"/>
      <c r="D34" s="209"/>
      <c r="E34" s="209"/>
      <c r="F34" s="209"/>
      <c r="G34" s="209"/>
      <c r="H34" s="209"/>
    </row>
    <row r="35" spans="2:8" ht="15.5" x14ac:dyDescent="0.35">
      <c r="B35" s="258" t="s">
        <v>375</v>
      </c>
      <c r="C35" s="258"/>
      <c r="D35" s="209"/>
      <c r="E35" s="209"/>
      <c r="F35" s="209"/>
      <c r="G35" s="209"/>
      <c r="H35" s="209"/>
    </row>
    <row r="36" spans="2:8" ht="15.5" x14ac:dyDescent="0.35">
      <c r="B36" s="258" t="s">
        <v>376</v>
      </c>
      <c r="C36" s="258"/>
      <c r="D36" s="209"/>
      <c r="E36" s="209"/>
      <c r="F36" s="209"/>
      <c r="G36" s="209"/>
      <c r="H36" s="209"/>
    </row>
    <row r="37" spans="2:8" ht="15.5" x14ac:dyDescent="0.35">
      <c r="B37" s="258" t="s">
        <v>377</v>
      </c>
      <c r="C37" s="258"/>
      <c r="D37" s="209"/>
      <c r="E37" s="209"/>
      <c r="F37" s="209"/>
      <c r="G37" s="209"/>
      <c r="H37" s="209"/>
    </row>
    <row r="38" spans="2:8" ht="15.5" x14ac:dyDescent="0.35">
      <c r="B38" s="258" t="s">
        <v>378</v>
      </c>
      <c r="C38" s="258"/>
      <c r="D38" s="209"/>
      <c r="E38" s="209"/>
      <c r="F38" s="209"/>
      <c r="G38" s="209"/>
      <c r="H38" s="209"/>
    </row>
    <row r="39" spans="2:8" ht="15.5" x14ac:dyDescent="0.35">
      <c r="B39" s="258" t="s">
        <v>379</v>
      </c>
      <c r="C39" s="258"/>
      <c r="D39" s="209"/>
      <c r="E39" s="209"/>
      <c r="F39" s="209"/>
      <c r="G39" s="209"/>
      <c r="H39" s="209"/>
    </row>
    <row r="40" spans="2:8" ht="15.5" x14ac:dyDescent="0.35">
      <c r="B40" s="258" t="s">
        <v>380</v>
      </c>
      <c r="C40" s="258"/>
      <c r="D40" s="209"/>
      <c r="E40" s="209"/>
      <c r="F40" s="209"/>
      <c r="G40" s="209"/>
      <c r="H40" s="209"/>
    </row>
    <row r="41" spans="2:8" ht="15.5" x14ac:dyDescent="0.35">
      <c r="B41" s="258" t="s">
        <v>381</v>
      </c>
      <c r="C41" s="258"/>
      <c r="D41" s="209"/>
      <c r="E41" s="209"/>
      <c r="F41" s="209"/>
      <c r="G41" s="209"/>
      <c r="H41" s="209"/>
    </row>
    <row r="42" spans="2:8" ht="15.5" x14ac:dyDescent="0.35">
      <c r="B42" s="258" t="s">
        <v>382</v>
      </c>
      <c r="C42" s="258"/>
      <c r="D42" s="209"/>
      <c r="E42" s="209"/>
      <c r="F42" s="209"/>
      <c r="G42" s="209"/>
      <c r="H42" s="209"/>
    </row>
    <row r="43" spans="2:8" ht="15.5" x14ac:dyDescent="0.35">
      <c r="B43" s="258" t="s">
        <v>383</v>
      </c>
      <c r="C43" s="258"/>
      <c r="D43" s="209"/>
      <c r="E43" s="209"/>
      <c r="F43" s="209"/>
      <c r="G43" s="209"/>
      <c r="H43" s="209"/>
    </row>
    <row r="44" spans="2:8" ht="15.5" x14ac:dyDescent="0.35">
      <c r="B44" s="258" t="s">
        <v>384</v>
      </c>
      <c r="C44" s="258"/>
      <c r="D44" s="209"/>
      <c r="E44" s="209"/>
      <c r="F44" s="209"/>
      <c r="G44" s="209"/>
      <c r="H44" s="209"/>
    </row>
    <row r="45" spans="2:8" ht="15.5" x14ac:dyDescent="0.35">
      <c r="B45" s="258" t="s">
        <v>385</v>
      </c>
      <c r="C45" s="258"/>
      <c r="D45" s="209"/>
      <c r="E45" s="209"/>
      <c r="F45" s="209"/>
      <c r="G45" s="209"/>
      <c r="H45" s="209"/>
    </row>
    <row r="46" spans="2:8" ht="15.5" x14ac:dyDescent="0.35">
      <c r="B46" s="257" t="s">
        <v>140</v>
      </c>
      <c r="C46" s="257"/>
      <c r="D46" s="209"/>
      <c r="E46" s="209"/>
      <c r="F46" s="209"/>
      <c r="G46" s="209"/>
      <c r="H46" s="209"/>
    </row>
    <row r="47" spans="2:8" ht="15.5" x14ac:dyDescent="0.35">
      <c r="B47" s="257" t="s">
        <v>386</v>
      </c>
      <c r="C47" s="257"/>
      <c r="D47" s="209"/>
      <c r="E47" s="209"/>
      <c r="F47" s="209"/>
      <c r="G47" s="209"/>
      <c r="H47" s="209"/>
    </row>
  </sheetData>
  <sheetProtection algorithmName="SHA-512" hashValue="Uxv99TN9EXnbZAJu2wVr0UW4LmwuMfkPyay6vNgKZ6GWQ7EC9XqNtYV/j0d1hf5I2jgadEXqmOcn6W0lzFoXWg==" saltValue="ms7Ad7Fi3vFt/i7I4F5Gsg==" spinCount="100000" sheet="1" objects="1" scenarios="1" formatCells="0"/>
  <protectedRanges>
    <protectedRange sqref="D9:H47" name="Диапазон1"/>
  </protectedRanges>
  <mergeCells count="42">
    <mergeCell ref="B11:C11"/>
    <mergeCell ref="B7:C8"/>
    <mergeCell ref="D7:D8"/>
    <mergeCell ref="E7:H7"/>
    <mergeCell ref="B9:C9"/>
    <mergeCell ref="B10:C10"/>
    <mergeCell ref="B23:C23"/>
    <mergeCell ref="B12:C12"/>
    <mergeCell ref="B13:C13"/>
    <mergeCell ref="B14:C14"/>
    <mergeCell ref="B15:C15"/>
    <mergeCell ref="B16:C16"/>
    <mergeCell ref="B17:C17"/>
    <mergeCell ref="B18:C18"/>
    <mergeCell ref="B19:C19"/>
    <mergeCell ref="B20:C20"/>
    <mergeCell ref="B21:C21"/>
    <mergeCell ref="B22:C22"/>
    <mergeCell ref="B35:C35"/>
    <mergeCell ref="B24:C24"/>
    <mergeCell ref="B25:C25"/>
    <mergeCell ref="B26:C26"/>
    <mergeCell ref="B27:C27"/>
    <mergeCell ref="B28:C28"/>
    <mergeCell ref="B29:C29"/>
    <mergeCell ref="B30:C30"/>
    <mergeCell ref="B31:C31"/>
    <mergeCell ref="B32:C32"/>
    <mergeCell ref="B33:C33"/>
    <mergeCell ref="B34:C34"/>
    <mergeCell ref="B47:C47"/>
    <mergeCell ref="B36:C36"/>
    <mergeCell ref="B37:C37"/>
    <mergeCell ref="B38:C38"/>
    <mergeCell ref="B39:C39"/>
    <mergeCell ref="B40:C40"/>
    <mergeCell ref="B41:C41"/>
    <mergeCell ref="B42:C42"/>
    <mergeCell ref="B43:C43"/>
    <mergeCell ref="B44:C44"/>
    <mergeCell ref="B45:C45"/>
    <mergeCell ref="B46:C46"/>
  </mergeCells>
  <hyperlinks>
    <hyperlink ref="D1" location="'Жадваллар рўйхати'!A1" display="Список таблиц" xr:uid="{ECF316BB-B8BC-4376-916F-48AED913CBEA}"/>
  </hyperlinks>
  <pageMargins left="0.7" right="0.7" top="0.75" bottom="0.75" header="0.3" footer="0.3"/>
  <pageSetup paperSize="9" scale="31"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37364-8640-4741-9B29-EDE6F9EA70BB}">
  <sheetPr codeName="Лист10">
    <tabColor theme="9" tint="0.79998168889431442"/>
  </sheetPr>
  <dimension ref="B1:H45"/>
  <sheetViews>
    <sheetView view="pageBreakPreview" topLeftCell="A4" zoomScale="60" zoomScaleNormal="100" workbookViewId="0">
      <selection activeCell="E25" sqref="E25"/>
    </sheetView>
  </sheetViews>
  <sheetFormatPr defaultColWidth="9.1796875" defaultRowHeight="14.5" x14ac:dyDescent="0.35"/>
  <cols>
    <col min="1" max="1" width="9.1796875" style="29"/>
    <col min="2" max="2" width="14" style="29" bestFit="1" customWidth="1"/>
    <col min="3" max="3" width="113.81640625" style="29" customWidth="1"/>
    <col min="4" max="8" width="28.54296875" style="29" customWidth="1"/>
    <col min="9" max="16384" width="9.1796875" style="29"/>
  </cols>
  <sheetData>
    <row r="1" spans="2:8" s="85" customFormat="1" x14ac:dyDescent="0.35">
      <c r="B1" s="62" t="s">
        <v>150</v>
      </c>
      <c r="C1" s="63">
        <f>VLOOKUP($C$5,'Жадваллар рўйхати'!$A:$E,2,FALSE)</f>
        <v>1882</v>
      </c>
      <c r="D1" s="98" t="s">
        <v>151</v>
      </c>
    </row>
    <row r="2" spans="2:8" s="85" customFormat="1" x14ac:dyDescent="0.35">
      <c r="B2" s="65" t="s">
        <v>126</v>
      </c>
      <c r="C2" s="66" t="str">
        <f>VLOOKUP($C$5,'Жадваллар рўйхати'!$A:$E,3,FALSE)</f>
        <v>Суғурталовчиларнинг суғурта захиралари тўғрисидаги низом</v>
      </c>
      <c r="D2" s="29"/>
      <c r="E2" s="86"/>
      <c r="F2" s="91"/>
    </row>
    <row r="3" spans="2:8" x14ac:dyDescent="0.35">
      <c r="B3" s="67" t="s">
        <v>127</v>
      </c>
      <c r="C3" s="68">
        <f>VLOOKUP($C$5,'Жадваллар рўйхати'!$A:$E,4,FALSE)</f>
        <v>5</v>
      </c>
    </row>
    <row r="4" spans="2:8" x14ac:dyDescent="0.35">
      <c r="B4" s="69" t="s">
        <v>128</v>
      </c>
      <c r="C4" s="70" t="str">
        <f>VLOOKUP($C$5,'Жадваллар рўйхати'!$A:$E,5,FALSE)</f>
        <v>Активлар таркиби тўғрисида маълумот</v>
      </c>
    </row>
    <row r="5" spans="2:8" x14ac:dyDescent="0.35">
      <c r="B5" s="67" t="s">
        <v>124</v>
      </c>
      <c r="C5" s="71" t="s">
        <v>387</v>
      </c>
    </row>
    <row r="7" spans="2:8" ht="15.75" customHeight="1" x14ac:dyDescent="0.35">
      <c r="B7" s="259" t="s">
        <v>388</v>
      </c>
      <c r="C7" s="260"/>
      <c r="D7" s="255" t="s">
        <v>389</v>
      </c>
      <c r="E7" s="255"/>
      <c r="F7" s="265" t="s">
        <v>390</v>
      </c>
      <c r="G7" s="266"/>
      <c r="H7" s="267"/>
    </row>
    <row r="8" spans="2:8" ht="45.75" customHeight="1" x14ac:dyDescent="0.35">
      <c r="B8" s="261"/>
      <c r="C8" s="262"/>
      <c r="D8" s="72" t="s">
        <v>391</v>
      </c>
      <c r="E8" s="117" t="s">
        <v>392</v>
      </c>
      <c r="F8" s="118" t="s">
        <v>391</v>
      </c>
      <c r="G8" s="118" t="s">
        <v>392</v>
      </c>
      <c r="H8" s="118" t="s">
        <v>348</v>
      </c>
    </row>
    <row r="9" spans="2:8" ht="15.5" x14ac:dyDescent="0.35">
      <c r="B9" s="258" t="s">
        <v>393</v>
      </c>
      <c r="C9" s="258"/>
      <c r="D9" s="184"/>
      <c r="E9" s="185"/>
      <c r="F9" s="184"/>
      <c r="G9" s="184"/>
      <c r="H9" s="184"/>
    </row>
    <row r="10" spans="2:8" ht="15.5" x14ac:dyDescent="0.35">
      <c r="B10" s="258" t="s">
        <v>394</v>
      </c>
      <c r="C10" s="258"/>
      <c r="D10" s="184"/>
      <c r="E10" s="185"/>
      <c r="F10" s="184"/>
      <c r="G10" s="184"/>
      <c r="H10" s="184"/>
    </row>
    <row r="11" spans="2:8" ht="15.5" x14ac:dyDescent="0.35">
      <c r="B11" s="258" t="s">
        <v>395</v>
      </c>
      <c r="C11" s="258"/>
      <c r="D11" s="184"/>
      <c r="E11" s="185"/>
      <c r="F11" s="184"/>
      <c r="G11" s="184"/>
      <c r="H11" s="184"/>
    </row>
    <row r="12" spans="2:8" ht="15.5" x14ac:dyDescent="0.35">
      <c r="B12" s="258" t="s">
        <v>396</v>
      </c>
      <c r="C12" s="258"/>
      <c r="D12" s="184"/>
      <c r="E12" s="185"/>
      <c r="F12" s="184"/>
      <c r="G12" s="184"/>
      <c r="H12" s="184"/>
    </row>
    <row r="13" spans="2:8" ht="15.5" x14ac:dyDescent="0.35">
      <c r="B13" s="258" t="s">
        <v>397</v>
      </c>
      <c r="C13" s="258"/>
      <c r="D13" s="184"/>
      <c r="E13" s="185"/>
      <c r="F13" s="184"/>
      <c r="G13" s="184"/>
      <c r="H13" s="184"/>
    </row>
    <row r="14" spans="2:8" ht="15.5" x14ac:dyDescent="0.35">
      <c r="B14" s="258" t="s">
        <v>398</v>
      </c>
      <c r="C14" s="258"/>
      <c r="D14" s="184"/>
      <c r="E14" s="185"/>
      <c r="F14" s="184"/>
      <c r="G14" s="184"/>
      <c r="H14" s="184"/>
    </row>
    <row r="15" spans="2:8" ht="15.5" x14ac:dyDescent="0.35">
      <c r="B15" s="258" t="s">
        <v>399</v>
      </c>
      <c r="C15" s="258"/>
      <c r="D15" s="184"/>
      <c r="E15" s="185"/>
      <c r="F15" s="184"/>
      <c r="G15" s="184"/>
      <c r="H15" s="184"/>
    </row>
    <row r="16" spans="2:8" ht="15.5" x14ac:dyDescent="0.35">
      <c r="B16" s="258" t="s">
        <v>400</v>
      </c>
      <c r="C16" s="258"/>
      <c r="D16" s="184"/>
      <c r="E16" s="185"/>
      <c r="F16" s="184"/>
      <c r="G16" s="184"/>
      <c r="H16" s="184"/>
    </row>
    <row r="17" spans="2:8" ht="15.5" x14ac:dyDescent="0.35">
      <c r="B17" s="258" t="s">
        <v>401</v>
      </c>
      <c r="C17" s="258"/>
      <c r="D17" s="184"/>
      <c r="E17" s="185"/>
      <c r="F17" s="184"/>
      <c r="G17" s="184"/>
      <c r="H17" s="184"/>
    </row>
    <row r="18" spans="2:8" ht="15.5" x14ac:dyDescent="0.35">
      <c r="B18" s="258" t="s">
        <v>402</v>
      </c>
      <c r="C18" s="258"/>
      <c r="D18" s="184"/>
      <c r="E18" s="185"/>
      <c r="F18" s="184"/>
      <c r="G18" s="184"/>
      <c r="H18" s="184"/>
    </row>
    <row r="19" spans="2:8" ht="15.5" x14ac:dyDescent="0.35">
      <c r="B19" s="258" t="s">
        <v>403</v>
      </c>
      <c r="C19" s="258"/>
      <c r="D19" s="184"/>
      <c r="E19" s="185"/>
      <c r="F19" s="184"/>
      <c r="G19" s="184"/>
      <c r="H19" s="184"/>
    </row>
    <row r="20" spans="2:8" ht="15.5" x14ac:dyDescent="0.35">
      <c r="B20" s="258" t="s">
        <v>404</v>
      </c>
      <c r="C20" s="258"/>
      <c r="D20" s="184"/>
      <c r="E20" s="185"/>
      <c r="F20" s="184"/>
      <c r="G20" s="184"/>
      <c r="H20" s="184"/>
    </row>
    <row r="21" spans="2:8" ht="15.5" x14ac:dyDescent="0.35">
      <c r="B21" s="258" t="s">
        <v>405</v>
      </c>
      <c r="C21" s="258"/>
      <c r="D21" s="184"/>
      <c r="E21" s="185"/>
      <c r="F21" s="184"/>
      <c r="G21" s="184"/>
      <c r="H21" s="184"/>
    </row>
    <row r="22" spans="2:8" ht="15.5" x14ac:dyDescent="0.35">
      <c r="B22" s="258" t="s">
        <v>406</v>
      </c>
      <c r="C22" s="258"/>
      <c r="D22" s="184"/>
      <c r="E22" s="185"/>
      <c r="F22" s="184"/>
      <c r="G22" s="184"/>
      <c r="H22" s="184"/>
    </row>
    <row r="23" spans="2:8" ht="15.5" x14ac:dyDescent="0.35">
      <c r="B23" s="258" t="s">
        <v>407</v>
      </c>
      <c r="C23" s="258"/>
      <c r="D23" s="184"/>
      <c r="E23" s="185"/>
      <c r="F23" s="184"/>
      <c r="G23" s="184"/>
      <c r="H23" s="184"/>
    </row>
    <row r="24" spans="2:8" ht="15.5" x14ac:dyDescent="0.35">
      <c r="B24" s="258" t="s">
        <v>408</v>
      </c>
      <c r="C24" s="258"/>
      <c r="D24" s="184"/>
      <c r="E24" s="185"/>
      <c r="F24" s="184"/>
      <c r="G24" s="184"/>
      <c r="H24" s="184"/>
    </row>
    <row r="25" spans="2:8" ht="15.5" x14ac:dyDescent="0.35">
      <c r="B25" s="258" t="s">
        <v>409</v>
      </c>
      <c r="C25" s="258"/>
      <c r="D25" s="184"/>
      <c r="E25" s="185"/>
      <c r="F25" s="184"/>
      <c r="G25" s="184"/>
      <c r="H25" s="184"/>
    </row>
    <row r="26" spans="2:8" ht="15.5" x14ac:dyDescent="0.35">
      <c r="B26" s="258" t="s">
        <v>410</v>
      </c>
      <c r="C26" s="258"/>
      <c r="D26" s="184"/>
      <c r="E26" s="185"/>
      <c r="F26" s="184"/>
      <c r="G26" s="184"/>
      <c r="H26" s="184"/>
    </row>
    <row r="27" spans="2:8" ht="15.5" x14ac:dyDescent="0.35">
      <c r="B27" s="258" t="s">
        <v>411</v>
      </c>
      <c r="C27" s="258"/>
      <c r="D27" s="184"/>
      <c r="E27" s="185"/>
      <c r="F27" s="184"/>
      <c r="G27" s="184"/>
      <c r="H27" s="184"/>
    </row>
    <row r="28" spans="2:8" ht="15.5" x14ac:dyDescent="0.35">
      <c r="B28" s="258" t="s">
        <v>412</v>
      </c>
      <c r="C28" s="258"/>
      <c r="D28" s="184"/>
      <c r="E28" s="185"/>
      <c r="F28" s="184"/>
      <c r="G28" s="184"/>
      <c r="H28" s="184"/>
    </row>
    <row r="29" spans="2:8" ht="15.5" x14ac:dyDescent="0.35">
      <c r="B29" s="258" t="s">
        <v>413</v>
      </c>
      <c r="C29" s="258"/>
      <c r="D29" s="184"/>
      <c r="E29" s="185"/>
      <c r="F29" s="184"/>
      <c r="G29" s="184"/>
      <c r="H29" s="184"/>
    </row>
    <row r="30" spans="2:8" ht="15.5" x14ac:dyDescent="0.35">
      <c r="B30" s="258" t="s">
        <v>414</v>
      </c>
      <c r="C30" s="258"/>
      <c r="D30" s="184"/>
      <c r="E30" s="185"/>
      <c r="F30" s="184"/>
      <c r="G30" s="184"/>
      <c r="H30" s="184"/>
    </row>
    <row r="31" spans="2:8" ht="15.5" x14ac:dyDescent="0.35">
      <c r="B31" s="258" t="s">
        <v>415</v>
      </c>
      <c r="C31" s="258"/>
      <c r="D31" s="184"/>
      <c r="E31" s="185"/>
      <c r="F31" s="184"/>
      <c r="G31" s="184"/>
      <c r="H31" s="184"/>
    </row>
    <row r="32" spans="2:8" ht="15.5" x14ac:dyDescent="0.35">
      <c r="B32" s="258" t="s">
        <v>416</v>
      </c>
      <c r="C32" s="258"/>
      <c r="D32" s="184"/>
      <c r="E32" s="185"/>
      <c r="F32" s="184"/>
      <c r="G32" s="184"/>
      <c r="H32" s="184"/>
    </row>
    <row r="33" spans="2:8" ht="15.5" x14ac:dyDescent="0.35">
      <c r="B33" s="258" t="s">
        <v>417</v>
      </c>
      <c r="C33" s="258"/>
      <c r="D33" s="184"/>
      <c r="E33" s="185"/>
      <c r="F33" s="184"/>
      <c r="G33" s="184"/>
      <c r="H33" s="184"/>
    </row>
    <row r="34" spans="2:8" ht="15.5" x14ac:dyDescent="0.35">
      <c r="B34" s="258" t="s">
        <v>418</v>
      </c>
      <c r="C34" s="258"/>
      <c r="D34" s="184"/>
      <c r="E34" s="185"/>
      <c r="F34" s="184"/>
      <c r="G34" s="184"/>
      <c r="H34" s="184"/>
    </row>
    <row r="35" spans="2:8" ht="15.5" x14ac:dyDescent="0.35">
      <c r="B35" s="258" t="s">
        <v>419</v>
      </c>
      <c r="C35" s="258"/>
      <c r="D35" s="184"/>
      <c r="E35" s="185"/>
      <c r="F35" s="184"/>
      <c r="G35" s="184"/>
      <c r="H35" s="184"/>
    </row>
    <row r="36" spans="2:8" ht="15.5" x14ac:dyDescent="0.35">
      <c r="B36" s="258" t="s">
        <v>420</v>
      </c>
      <c r="C36" s="258"/>
      <c r="D36" s="184"/>
      <c r="E36" s="185"/>
      <c r="F36" s="184"/>
      <c r="G36" s="184"/>
      <c r="H36" s="184"/>
    </row>
    <row r="37" spans="2:8" ht="15.5" x14ac:dyDescent="0.35">
      <c r="B37" s="258" t="s">
        <v>421</v>
      </c>
      <c r="C37" s="258"/>
      <c r="D37" s="184"/>
      <c r="E37" s="185"/>
      <c r="F37" s="184"/>
      <c r="G37" s="184"/>
      <c r="H37" s="184"/>
    </row>
    <row r="38" spans="2:8" ht="15.5" x14ac:dyDescent="0.35">
      <c r="B38" s="258" t="s">
        <v>422</v>
      </c>
      <c r="C38" s="258"/>
      <c r="D38" s="184"/>
      <c r="E38" s="185"/>
      <c r="F38" s="184"/>
      <c r="G38" s="184"/>
      <c r="H38" s="184"/>
    </row>
    <row r="39" spans="2:8" ht="15.5" x14ac:dyDescent="0.35">
      <c r="B39" s="258" t="s">
        <v>423</v>
      </c>
      <c r="C39" s="258"/>
      <c r="D39" s="184"/>
      <c r="E39" s="185"/>
      <c r="F39" s="184"/>
      <c r="G39" s="184"/>
      <c r="H39" s="184"/>
    </row>
    <row r="40" spans="2:8" ht="15.5" x14ac:dyDescent="0.35">
      <c r="B40" s="258" t="s">
        <v>424</v>
      </c>
      <c r="C40" s="258"/>
      <c r="D40" s="184"/>
      <c r="E40" s="185"/>
      <c r="F40" s="184"/>
      <c r="G40" s="184"/>
      <c r="H40" s="184"/>
    </row>
    <row r="41" spans="2:8" ht="15.5" x14ac:dyDescent="0.35">
      <c r="B41" s="258" t="s">
        <v>425</v>
      </c>
      <c r="C41" s="258"/>
      <c r="D41" s="184"/>
      <c r="E41" s="185"/>
      <c r="F41" s="184"/>
      <c r="G41" s="184"/>
      <c r="H41" s="184"/>
    </row>
    <row r="42" spans="2:8" ht="15.5" x14ac:dyDescent="0.35">
      <c r="B42" s="258" t="s">
        <v>426</v>
      </c>
      <c r="C42" s="258"/>
      <c r="D42" s="184"/>
      <c r="E42" s="185"/>
      <c r="F42" s="184"/>
      <c r="G42" s="184"/>
      <c r="H42" s="184"/>
    </row>
    <row r="43" spans="2:8" ht="15.5" x14ac:dyDescent="0.35">
      <c r="B43" s="258" t="s">
        <v>427</v>
      </c>
      <c r="C43" s="258"/>
      <c r="D43" s="184"/>
      <c r="E43" s="185"/>
      <c r="F43" s="184"/>
      <c r="G43" s="184"/>
      <c r="H43" s="184"/>
    </row>
    <row r="44" spans="2:8" ht="15.5" x14ac:dyDescent="0.35">
      <c r="B44" s="258" t="s">
        <v>428</v>
      </c>
      <c r="C44" s="258"/>
      <c r="D44" s="184"/>
      <c r="E44" s="185"/>
      <c r="F44" s="184"/>
      <c r="G44" s="184"/>
      <c r="H44" s="184"/>
    </row>
    <row r="45" spans="2:8" s="85" customFormat="1" ht="15.5" x14ac:dyDescent="0.35">
      <c r="B45" s="257" t="s">
        <v>429</v>
      </c>
      <c r="C45" s="257"/>
      <c r="D45" s="186"/>
      <c r="E45" s="187"/>
      <c r="F45" s="186"/>
      <c r="G45" s="186"/>
      <c r="H45" s="186"/>
    </row>
  </sheetData>
  <sheetProtection algorithmName="SHA-512" hashValue="hRjM2wUsE2KDdUVZjweEiNri4FOBc+9fw3+cLnZgxsbbYuJIcSkrPUKQS/2YTmPBmTJkZCPKz29zhj7aR+nnsg==" saltValue="b9mUWnvlK0MTOPBQ5SCWmg==" spinCount="100000" sheet="1" objects="1" scenarios="1" formatCells="0"/>
  <protectedRanges>
    <protectedRange sqref="D9:H45" name="Диапазон1"/>
  </protectedRanges>
  <mergeCells count="40">
    <mergeCell ref="B11:C11"/>
    <mergeCell ref="B7:C8"/>
    <mergeCell ref="D7:E7"/>
    <mergeCell ref="F7:H7"/>
    <mergeCell ref="B9:C9"/>
    <mergeCell ref="B10:C10"/>
    <mergeCell ref="B23:C23"/>
    <mergeCell ref="B12:C12"/>
    <mergeCell ref="B13:C13"/>
    <mergeCell ref="B14:C14"/>
    <mergeCell ref="B15:C15"/>
    <mergeCell ref="B16:C16"/>
    <mergeCell ref="B17:C17"/>
    <mergeCell ref="B18:C18"/>
    <mergeCell ref="B19:C19"/>
    <mergeCell ref="B20:C20"/>
    <mergeCell ref="B21:C21"/>
    <mergeCell ref="B22:C22"/>
    <mergeCell ref="B35:C35"/>
    <mergeCell ref="B24:C24"/>
    <mergeCell ref="B25:C25"/>
    <mergeCell ref="B26:C26"/>
    <mergeCell ref="B27:C27"/>
    <mergeCell ref="B28:C28"/>
    <mergeCell ref="B29:C29"/>
    <mergeCell ref="B30:C30"/>
    <mergeCell ref="B31:C31"/>
    <mergeCell ref="B32:C32"/>
    <mergeCell ref="B33:C33"/>
    <mergeCell ref="B34:C34"/>
    <mergeCell ref="B42:C42"/>
    <mergeCell ref="B43:C43"/>
    <mergeCell ref="B44:C44"/>
    <mergeCell ref="B45:C45"/>
    <mergeCell ref="B36:C36"/>
    <mergeCell ref="B37:C37"/>
    <mergeCell ref="B38:C38"/>
    <mergeCell ref="B39:C39"/>
    <mergeCell ref="B40:C40"/>
    <mergeCell ref="B41:C41"/>
  </mergeCells>
  <hyperlinks>
    <hyperlink ref="D1" location="'Жадваллар рўйхати'!A1" display="Список таблиц" xr:uid="{75E32288-33CB-4381-97A4-FC591C32EDC8}"/>
  </hyperlinks>
  <pageMargins left="0.7" right="0.7" top="0.75" bottom="0.75" header="0.3" footer="0.3"/>
  <pageSetup paperSize="9" scale="31"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5C865-275C-47F1-9C86-838568D6410B}">
  <sheetPr codeName="Лист11">
    <tabColor theme="5" tint="0.79998168889431442"/>
  </sheetPr>
  <dimension ref="B1:H148"/>
  <sheetViews>
    <sheetView view="pageBreakPreview" topLeftCell="A90" zoomScale="60" zoomScaleNormal="100" workbookViewId="0">
      <selection activeCell="M19" sqref="M19"/>
    </sheetView>
  </sheetViews>
  <sheetFormatPr defaultColWidth="9.1796875" defaultRowHeight="14.5" x14ac:dyDescent="0.35"/>
  <cols>
    <col min="1" max="1" width="9.26953125" style="29" customWidth="1"/>
    <col min="2" max="2" width="14" style="129" bestFit="1" customWidth="1"/>
    <col min="3" max="3" width="17.54296875" style="129" customWidth="1"/>
    <col min="4" max="4" width="59.54296875" style="29" customWidth="1"/>
    <col min="5" max="5" width="12.7265625" style="29" customWidth="1"/>
    <col min="6" max="6" width="19.54296875" style="29" customWidth="1"/>
    <col min="7" max="7" width="18.7265625" style="29" customWidth="1"/>
    <col min="8" max="16384" width="9.1796875" style="29"/>
  </cols>
  <sheetData>
    <row r="1" spans="2:8" s="85" customFormat="1" x14ac:dyDescent="0.35">
      <c r="B1" s="79" t="s">
        <v>150</v>
      </c>
      <c r="C1" s="270">
        <f>VLOOKUP($C$5,'Жадваллар рўйхати'!$A:$E,2,FALSE)</f>
        <v>1945</v>
      </c>
      <c r="D1" s="271"/>
      <c r="E1" s="271"/>
      <c r="F1" s="271"/>
      <c r="G1" s="271"/>
      <c r="H1" s="120" t="s">
        <v>151</v>
      </c>
    </row>
    <row r="2" spans="2:8" s="85" customFormat="1" ht="34.5" customHeight="1" x14ac:dyDescent="0.35">
      <c r="B2" s="65" t="s">
        <v>126</v>
      </c>
      <c r="C2" s="272" t="str">
        <f>VLOOKUP($C$5,'Жадваллар рўйхати'!$A:$E,3,FALSE)</f>
        <v>Суғурталовчиларнинг молиявий ҳисобот шаклларини ва уларни тўлдириш бўйича қоидаларни тасдиқлаш тўғрисидаги Молия вазирлиги буйруғи</v>
      </c>
      <c r="D2" s="273"/>
      <c r="E2" s="273"/>
      <c r="F2" s="273"/>
      <c r="G2" s="273"/>
    </row>
    <row r="3" spans="2:8" x14ac:dyDescent="0.35">
      <c r="B3" s="80" t="s">
        <v>127</v>
      </c>
      <c r="C3" s="274">
        <f>VLOOKUP($C$5,'Жадваллар рўйхати'!$A:$E,4,FALSE)</f>
        <v>1</v>
      </c>
      <c r="D3" s="275"/>
      <c r="E3" s="275"/>
      <c r="F3" s="275"/>
      <c r="G3" s="275"/>
    </row>
    <row r="4" spans="2:8" ht="15" customHeight="1" x14ac:dyDescent="0.35">
      <c r="B4" s="69" t="s">
        <v>128</v>
      </c>
      <c r="C4" s="276" t="str">
        <f>VLOOKUP($C$5,'Жадваллар рўйхати'!$A:$E,5,FALSE)</f>
        <v>Бухгалтерия баланси — 1-сонли шакл — суғурта</v>
      </c>
      <c r="D4" s="277"/>
      <c r="E4" s="277"/>
      <c r="F4" s="277"/>
      <c r="G4" s="277"/>
    </row>
    <row r="5" spans="2:8" x14ac:dyDescent="0.35">
      <c r="B5" s="80" t="s">
        <v>124</v>
      </c>
      <c r="C5" s="274" t="s">
        <v>430</v>
      </c>
      <c r="D5" s="275"/>
      <c r="E5" s="275"/>
      <c r="F5" s="275"/>
      <c r="G5" s="275"/>
    </row>
    <row r="7" spans="2:8" ht="40.5" customHeight="1" x14ac:dyDescent="0.35">
      <c r="B7" s="255" t="s">
        <v>431</v>
      </c>
      <c r="C7" s="255"/>
      <c r="D7" s="255"/>
      <c r="E7" s="72" t="s">
        <v>432</v>
      </c>
      <c r="F7" s="72" t="s">
        <v>433</v>
      </c>
      <c r="G7" s="72" t="s">
        <v>434</v>
      </c>
    </row>
    <row r="8" spans="2:8" ht="15" customHeight="1" x14ac:dyDescent="0.35">
      <c r="B8" s="268" t="s">
        <v>435</v>
      </c>
      <c r="C8" s="268"/>
      <c r="D8" s="268"/>
      <c r="E8" s="124"/>
      <c r="F8" s="184"/>
      <c r="G8" s="185"/>
    </row>
    <row r="9" spans="2:8" ht="15" customHeight="1" x14ac:dyDescent="0.35">
      <c r="B9" s="268" t="s">
        <v>436</v>
      </c>
      <c r="C9" s="268"/>
      <c r="D9" s="268"/>
      <c r="E9" s="124"/>
      <c r="F9" s="184"/>
      <c r="G9" s="185"/>
    </row>
    <row r="10" spans="2:8" ht="15" customHeight="1" x14ac:dyDescent="0.35">
      <c r="B10" s="257" t="s">
        <v>437</v>
      </c>
      <c r="C10" s="257"/>
      <c r="D10" s="257"/>
      <c r="E10" s="124"/>
      <c r="F10" s="184"/>
      <c r="G10" s="185"/>
    </row>
    <row r="11" spans="2:8" ht="15" customHeight="1" x14ac:dyDescent="0.35">
      <c r="B11" s="269" t="s">
        <v>438</v>
      </c>
      <c r="C11" s="269"/>
      <c r="D11" s="269"/>
      <c r="E11" s="127">
        <v>10</v>
      </c>
      <c r="F11" s="184"/>
      <c r="G11" s="185"/>
    </row>
    <row r="12" spans="2:8" ht="15" customHeight="1" x14ac:dyDescent="0.35">
      <c r="B12" s="269" t="s">
        <v>439</v>
      </c>
      <c r="C12" s="269"/>
      <c r="D12" s="269"/>
      <c r="E12" s="106">
        <v>11</v>
      </c>
      <c r="F12" s="184"/>
      <c r="G12" s="185"/>
    </row>
    <row r="13" spans="2:8" ht="15" customHeight="1" x14ac:dyDescent="0.35">
      <c r="B13" s="269" t="s">
        <v>440</v>
      </c>
      <c r="C13" s="269"/>
      <c r="D13" s="269"/>
      <c r="E13" s="106">
        <v>12</v>
      </c>
      <c r="F13" s="184"/>
      <c r="G13" s="185"/>
    </row>
    <row r="14" spans="2:8" ht="15" customHeight="1" x14ac:dyDescent="0.35">
      <c r="B14" s="278" t="s">
        <v>441</v>
      </c>
      <c r="C14" s="278"/>
      <c r="D14" s="278"/>
      <c r="E14" s="106"/>
      <c r="F14" s="184"/>
      <c r="G14" s="185"/>
    </row>
    <row r="15" spans="2:8" ht="15" customHeight="1" x14ac:dyDescent="0.35">
      <c r="B15" s="269" t="s">
        <v>442</v>
      </c>
      <c r="C15" s="269"/>
      <c r="D15" s="269"/>
      <c r="E15" s="106">
        <v>20</v>
      </c>
      <c r="F15" s="184"/>
      <c r="G15" s="185"/>
    </row>
    <row r="16" spans="2:8" ht="15" customHeight="1" x14ac:dyDescent="0.35">
      <c r="B16" s="269" t="s">
        <v>443</v>
      </c>
      <c r="C16" s="269"/>
      <c r="D16" s="269"/>
      <c r="E16" s="106">
        <v>21</v>
      </c>
      <c r="F16" s="184"/>
      <c r="G16" s="185"/>
    </row>
    <row r="17" spans="2:7" ht="15" customHeight="1" x14ac:dyDescent="0.35">
      <c r="B17" s="269" t="s">
        <v>444</v>
      </c>
      <c r="C17" s="269"/>
      <c r="D17" s="269"/>
      <c r="E17" s="106">
        <v>22</v>
      </c>
      <c r="F17" s="184"/>
      <c r="G17" s="185"/>
    </row>
    <row r="18" spans="2:7" ht="15" customHeight="1" x14ac:dyDescent="0.35">
      <c r="B18" s="278" t="s">
        <v>445</v>
      </c>
      <c r="C18" s="278"/>
      <c r="D18" s="278"/>
      <c r="E18" s="106">
        <v>30</v>
      </c>
      <c r="F18" s="184"/>
      <c r="G18" s="185"/>
    </row>
    <row r="19" spans="2:7" ht="15" customHeight="1" x14ac:dyDescent="0.35">
      <c r="B19" s="269" t="s">
        <v>446</v>
      </c>
      <c r="C19" s="269"/>
      <c r="D19" s="269"/>
      <c r="E19" s="106">
        <v>40</v>
      </c>
      <c r="F19" s="184"/>
      <c r="G19" s="185"/>
    </row>
    <row r="20" spans="2:7" ht="15" customHeight="1" x14ac:dyDescent="0.35">
      <c r="B20" s="269" t="s">
        <v>447</v>
      </c>
      <c r="C20" s="269"/>
      <c r="D20" s="269"/>
      <c r="E20" s="106">
        <v>50</v>
      </c>
      <c r="F20" s="184"/>
      <c r="G20" s="185"/>
    </row>
    <row r="21" spans="2:7" ht="15" customHeight="1" x14ac:dyDescent="0.35">
      <c r="B21" s="269" t="s">
        <v>448</v>
      </c>
      <c r="C21" s="269"/>
      <c r="D21" s="269"/>
      <c r="E21" s="106">
        <v>60</v>
      </c>
      <c r="F21" s="184"/>
      <c r="G21" s="185"/>
    </row>
    <row r="22" spans="2:7" ht="15" customHeight="1" x14ac:dyDescent="0.35">
      <c r="B22" s="269" t="s">
        <v>449</v>
      </c>
      <c r="C22" s="269"/>
      <c r="D22" s="269"/>
      <c r="E22" s="106">
        <v>70</v>
      </c>
      <c r="F22" s="184"/>
      <c r="G22" s="185"/>
    </row>
    <row r="23" spans="2:7" ht="15" customHeight="1" x14ac:dyDescent="0.35">
      <c r="B23" s="269" t="s">
        <v>450</v>
      </c>
      <c r="C23" s="269"/>
      <c r="D23" s="269"/>
      <c r="E23" s="106">
        <v>80</v>
      </c>
      <c r="F23" s="184"/>
      <c r="G23" s="185"/>
    </row>
    <row r="24" spans="2:7" ht="15" customHeight="1" x14ac:dyDescent="0.35">
      <c r="B24" s="269" t="s">
        <v>451</v>
      </c>
      <c r="C24" s="269"/>
      <c r="D24" s="269"/>
      <c r="E24" s="106">
        <v>90</v>
      </c>
      <c r="F24" s="184"/>
      <c r="G24" s="185"/>
    </row>
    <row r="25" spans="2:7" ht="15" customHeight="1" x14ac:dyDescent="0.35">
      <c r="B25" s="269" t="s">
        <v>452</v>
      </c>
      <c r="C25" s="269"/>
      <c r="D25" s="269"/>
      <c r="E25" s="106">
        <v>100</v>
      </c>
      <c r="F25" s="184"/>
      <c r="G25" s="185"/>
    </row>
    <row r="26" spans="2:7" ht="15" customHeight="1" x14ac:dyDescent="0.35">
      <c r="B26" s="269" t="s">
        <v>453</v>
      </c>
      <c r="C26" s="269"/>
      <c r="D26" s="269"/>
      <c r="E26" s="106">
        <v>110</v>
      </c>
      <c r="F26" s="184"/>
      <c r="G26" s="185"/>
    </row>
    <row r="27" spans="2:7" ht="15" customHeight="1" x14ac:dyDescent="0.35">
      <c r="B27" s="269" t="s">
        <v>454</v>
      </c>
      <c r="C27" s="269"/>
      <c r="D27" s="269"/>
      <c r="E27" s="106">
        <v>120</v>
      </c>
      <c r="F27" s="184"/>
      <c r="G27" s="185"/>
    </row>
    <row r="28" spans="2:7" ht="15" customHeight="1" x14ac:dyDescent="0.35">
      <c r="B28" s="278" t="s">
        <v>455</v>
      </c>
      <c r="C28" s="278"/>
      <c r="D28" s="278"/>
      <c r="E28" s="106">
        <v>130</v>
      </c>
      <c r="F28" s="184"/>
      <c r="G28" s="185"/>
    </row>
    <row r="29" spans="2:7" ht="15" customHeight="1" x14ac:dyDescent="0.35">
      <c r="B29" s="268" t="s">
        <v>456</v>
      </c>
      <c r="C29" s="268"/>
      <c r="D29" s="268"/>
      <c r="E29" s="124"/>
      <c r="F29" s="184"/>
      <c r="G29" s="185"/>
    </row>
    <row r="30" spans="2:7" ht="15" customHeight="1" x14ac:dyDescent="0.35">
      <c r="B30" s="278" t="s">
        <v>457</v>
      </c>
      <c r="C30" s="278"/>
      <c r="D30" s="278"/>
      <c r="E30" s="106">
        <v>140</v>
      </c>
      <c r="F30" s="184"/>
      <c r="G30" s="185"/>
    </row>
    <row r="31" spans="2:7" ht="15" customHeight="1" x14ac:dyDescent="0.35">
      <c r="B31" s="269" t="s">
        <v>458</v>
      </c>
      <c r="C31" s="269"/>
      <c r="D31" s="269"/>
      <c r="E31" s="106">
        <v>150</v>
      </c>
      <c r="F31" s="184"/>
      <c r="G31" s="185"/>
    </row>
    <row r="32" spans="2:7" ht="15" customHeight="1" x14ac:dyDescent="0.35">
      <c r="B32" s="269" t="s">
        <v>459</v>
      </c>
      <c r="C32" s="269"/>
      <c r="D32" s="269"/>
      <c r="E32" s="106">
        <v>160</v>
      </c>
      <c r="F32" s="184"/>
      <c r="G32" s="185"/>
    </row>
    <row r="33" spans="2:7" ht="15" customHeight="1" x14ac:dyDescent="0.35">
      <c r="B33" s="269" t="s">
        <v>460</v>
      </c>
      <c r="C33" s="269"/>
      <c r="D33" s="269"/>
      <c r="E33" s="106">
        <v>170</v>
      </c>
      <c r="F33" s="184"/>
      <c r="G33" s="185"/>
    </row>
    <row r="34" spans="2:7" ht="15" customHeight="1" x14ac:dyDescent="0.35">
      <c r="B34" s="269" t="s">
        <v>461</v>
      </c>
      <c r="C34" s="269"/>
      <c r="D34" s="269"/>
      <c r="E34" s="106">
        <v>180</v>
      </c>
      <c r="F34" s="184"/>
      <c r="G34" s="185"/>
    </row>
    <row r="35" spans="2:7" ht="15" customHeight="1" x14ac:dyDescent="0.35">
      <c r="B35" s="278" t="s">
        <v>462</v>
      </c>
      <c r="C35" s="278"/>
      <c r="D35" s="278"/>
      <c r="E35" s="106">
        <v>190</v>
      </c>
      <c r="F35" s="184"/>
      <c r="G35" s="185"/>
    </row>
    <row r="36" spans="2:7" ht="15" customHeight="1" x14ac:dyDescent="0.35">
      <c r="B36" s="279" t="s">
        <v>463</v>
      </c>
      <c r="C36" s="279"/>
      <c r="D36" s="279"/>
      <c r="E36" s="106">
        <v>191</v>
      </c>
      <c r="F36" s="184"/>
      <c r="G36" s="185"/>
    </row>
    <row r="37" spans="2:7" ht="15" customHeight="1" x14ac:dyDescent="0.35">
      <c r="B37" s="278" t="s">
        <v>464</v>
      </c>
      <c r="C37" s="278"/>
      <c r="D37" s="278"/>
      <c r="E37" s="106">
        <v>200</v>
      </c>
      <c r="F37" s="184"/>
      <c r="G37" s="185"/>
    </row>
    <row r="38" spans="2:7" ht="15" customHeight="1" x14ac:dyDescent="0.35">
      <c r="B38" s="269" t="s">
        <v>465</v>
      </c>
      <c r="C38" s="269"/>
      <c r="D38" s="269"/>
      <c r="E38" s="106">
        <v>210</v>
      </c>
      <c r="F38" s="184"/>
      <c r="G38" s="185"/>
    </row>
    <row r="39" spans="2:7" ht="30" customHeight="1" x14ac:dyDescent="0.35">
      <c r="B39" s="278" t="s">
        <v>466</v>
      </c>
      <c r="C39" s="278"/>
      <c r="D39" s="278"/>
      <c r="E39" s="106">
        <v>220</v>
      </c>
      <c r="F39" s="184"/>
      <c r="G39" s="185"/>
    </row>
    <row r="40" spans="2:7" ht="15" customHeight="1" x14ac:dyDescent="0.35">
      <c r="B40" s="269" t="s">
        <v>467</v>
      </c>
      <c r="C40" s="269"/>
      <c r="D40" s="269"/>
      <c r="E40" s="106">
        <v>230</v>
      </c>
      <c r="F40" s="184"/>
      <c r="G40" s="185"/>
    </row>
    <row r="41" spans="2:7" ht="15" customHeight="1" x14ac:dyDescent="0.35">
      <c r="B41" s="269" t="s">
        <v>468</v>
      </c>
      <c r="C41" s="269"/>
      <c r="D41" s="269"/>
      <c r="E41" s="106">
        <v>240</v>
      </c>
      <c r="F41" s="184"/>
      <c r="G41" s="185"/>
    </row>
    <row r="42" spans="2:7" ht="15" customHeight="1" x14ac:dyDescent="0.35">
      <c r="B42" s="269" t="s">
        <v>469</v>
      </c>
      <c r="C42" s="269"/>
      <c r="D42" s="269"/>
      <c r="E42" s="106">
        <v>250</v>
      </c>
      <c r="F42" s="184"/>
      <c r="G42" s="185"/>
    </row>
    <row r="43" spans="2:7" ht="30" customHeight="1" x14ac:dyDescent="0.35">
      <c r="B43" s="269" t="s">
        <v>470</v>
      </c>
      <c r="C43" s="269"/>
      <c r="D43" s="269"/>
      <c r="E43" s="106">
        <v>260</v>
      </c>
      <c r="F43" s="184"/>
      <c r="G43" s="185"/>
    </row>
    <row r="44" spans="2:7" ht="15" customHeight="1" x14ac:dyDescent="0.35">
      <c r="B44" s="269" t="s">
        <v>471</v>
      </c>
      <c r="C44" s="269"/>
      <c r="D44" s="269"/>
      <c r="E44" s="106">
        <v>270</v>
      </c>
      <c r="F44" s="184"/>
      <c r="G44" s="185"/>
    </row>
    <row r="45" spans="2:7" ht="15" customHeight="1" x14ac:dyDescent="0.35">
      <c r="B45" s="269" t="s">
        <v>472</v>
      </c>
      <c r="C45" s="269"/>
      <c r="D45" s="269"/>
      <c r="E45" s="106">
        <v>280</v>
      </c>
      <c r="F45" s="184"/>
      <c r="G45" s="185"/>
    </row>
    <row r="46" spans="2:7" ht="15" customHeight="1" x14ac:dyDescent="0.35">
      <c r="B46" s="269" t="s">
        <v>473</v>
      </c>
      <c r="C46" s="269"/>
      <c r="D46" s="269"/>
      <c r="E46" s="106">
        <v>290</v>
      </c>
      <c r="F46" s="184"/>
      <c r="G46" s="185"/>
    </row>
    <row r="47" spans="2:7" ht="15" customHeight="1" x14ac:dyDescent="0.35">
      <c r="B47" s="269" t="s">
        <v>474</v>
      </c>
      <c r="C47" s="269"/>
      <c r="D47" s="269"/>
      <c r="E47" s="106">
        <v>300</v>
      </c>
      <c r="F47" s="184"/>
      <c r="G47" s="185"/>
    </row>
    <row r="48" spans="2:7" ht="15" customHeight="1" x14ac:dyDescent="0.35">
      <c r="B48" s="269" t="s">
        <v>475</v>
      </c>
      <c r="C48" s="269"/>
      <c r="D48" s="269"/>
      <c r="E48" s="106">
        <v>310</v>
      </c>
      <c r="F48" s="184"/>
      <c r="G48" s="185"/>
    </row>
    <row r="49" spans="2:7" ht="15" customHeight="1" x14ac:dyDescent="0.35">
      <c r="B49" s="269" t="s">
        <v>476</v>
      </c>
      <c r="C49" s="269"/>
      <c r="D49" s="269"/>
      <c r="E49" s="106">
        <v>320</v>
      </c>
      <c r="F49" s="184"/>
      <c r="G49" s="185"/>
    </row>
    <row r="50" spans="2:7" ht="15" customHeight="1" x14ac:dyDescent="0.35">
      <c r="B50" s="269" t="s">
        <v>477</v>
      </c>
      <c r="C50" s="269"/>
      <c r="D50" s="269"/>
      <c r="E50" s="106">
        <v>330</v>
      </c>
      <c r="F50" s="184"/>
      <c r="G50" s="185"/>
    </row>
    <row r="51" spans="2:7" ht="15" customHeight="1" x14ac:dyDescent="0.35">
      <c r="B51" s="269" t="s">
        <v>478</v>
      </c>
      <c r="C51" s="269"/>
      <c r="D51" s="269"/>
      <c r="E51" s="106">
        <v>340</v>
      </c>
      <c r="F51" s="184"/>
      <c r="G51" s="185"/>
    </row>
    <row r="52" spans="2:7" ht="15" customHeight="1" x14ac:dyDescent="0.35">
      <c r="B52" s="269" t="s">
        <v>479</v>
      </c>
      <c r="C52" s="269"/>
      <c r="D52" s="269"/>
      <c r="E52" s="106">
        <v>350</v>
      </c>
      <c r="F52" s="184"/>
      <c r="G52" s="185"/>
    </row>
    <row r="53" spans="2:7" ht="15" customHeight="1" x14ac:dyDescent="0.35">
      <c r="B53" s="269" t="s">
        <v>480</v>
      </c>
      <c r="C53" s="269"/>
      <c r="D53" s="269"/>
      <c r="E53" s="106">
        <v>360</v>
      </c>
      <c r="F53" s="184"/>
      <c r="G53" s="185"/>
    </row>
    <row r="54" spans="2:7" ht="15" customHeight="1" x14ac:dyDescent="0.35">
      <c r="B54" s="269" t="s">
        <v>481</v>
      </c>
      <c r="C54" s="269"/>
      <c r="D54" s="269"/>
      <c r="E54" s="106">
        <v>370</v>
      </c>
      <c r="F54" s="184"/>
      <c r="G54" s="185"/>
    </row>
    <row r="55" spans="2:7" ht="15" customHeight="1" x14ac:dyDescent="0.35">
      <c r="B55" s="269" t="s">
        <v>482</v>
      </c>
      <c r="C55" s="269"/>
      <c r="D55" s="269"/>
      <c r="E55" s="106">
        <v>380</v>
      </c>
      <c r="F55" s="184"/>
      <c r="G55" s="185"/>
    </row>
    <row r="56" spans="2:7" ht="15" customHeight="1" x14ac:dyDescent="0.35">
      <c r="B56" s="269" t="s">
        <v>483</v>
      </c>
      <c r="C56" s="269"/>
      <c r="D56" s="269"/>
      <c r="E56" s="106">
        <v>390</v>
      </c>
      <c r="F56" s="184"/>
      <c r="G56" s="185"/>
    </row>
    <row r="57" spans="2:7" ht="15" customHeight="1" x14ac:dyDescent="0.35">
      <c r="B57" s="269" t="s">
        <v>484</v>
      </c>
      <c r="C57" s="269"/>
      <c r="D57" s="269"/>
      <c r="E57" s="106">
        <v>400</v>
      </c>
      <c r="F57" s="184"/>
      <c r="G57" s="185"/>
    </row>
    <row r="58" spans="2:7" ht="15" customHeight="1" x14ac:dyDescent="0.35">
      <c r="B58" s="278" t="s">
        <v>485</v>
      </c>
      <c r="C58" s="278"/>
      <c r="D58" s="278"/>
      <c r="E58" s="106">
        <v>410</v>
      </c>
      <c r="F58" s="184"/>
      <c r="G58" s="185"/>
    </row>
    <row r="59" spans="2:7" ht="15" customHeight="1" x14ac:dyDescent="0.35">
      <c r="B59" s="269" t="s">
        <v>486</v>
      </c>
      <c r="C59" s="269"/>
      <c r="D59" s="269"/>
      <c r="E59" s="106">
        <v>420</v>
      </c>
      <c r="F59" s="184"/>
      <c r="G59" s="185"/>
    </row>
    <row r="60" spans="2:7" ht="15" customHeight="1" x14ac:dyDescent="0.35">
      <c r="B60" s="269" t="s">
        <v>487</v>
      </c>
      <c r="C60" s="269"/>
      <c r="D60" s="269"/>
      <c r="E60" s="106">
        <v>430</v>
      </c>
      <c r="F60" s="184"/>
      <c r="G60" s="185"/>
    </row>
    <row r="61" spans="2:7" ht="15" customHeight="1" x14ac:dyDescent="0.35">
      <c r="B61" s="269" t="s">
        <v>488</v>
      </c>
      <c r="C61" s="269"/>
      <c r="D61" s="269"/>
      <c r="E61" s="106">
        <v>440</v>
      </c>
      <c r="F61" s="184"/>
      <c r="G61" s="185"/>
    </row>
    <row r="62" spans="2:7" ht="15" customHeight="1" x14ac:dyDescent="0.35">
      <c r="B62" s="269" t="s">
        <v>489</v>
      </c>
      <c r="C62" s="269"/>
      <c r="D62" s="269"/>
      <c r="E62" s="106">
        <v>450</v>
      </c>
      <c r="F62" s="184"/>
      <c r="G62" s="185"/>
    </row>
    <row r="63" spans="2:7" ht="15" customHeight="1" x14ac:dyDescent="0.35">
      <c r="B63" s="269" t="s">
        <v>490</v>
      </c>
      <c r="C63" s="269"/>
      <c r="D63" s="269"/>
      <c r="E63" s="106">
        <v>460</v>
      </c>
      <c r="F63" s="184"/>
      <c r="G63" s="185"/>
    </row>
    <row r="64" spans="2:7" ht="15" customHeight="1" x14ac:dyDescent="0.35">
      <c r="B64" s="269" t="s">
        <v>491</v>
      </c>
      <c r="C64" s="269"/>
      <c r="D64" s="269"/>
      <c r="E64" s="106">
        <v>470</v>
      </c>
      <c r="F64" s="184"/>
      <c r="G64" s="185"/>
    </row>
    <row r="65" spans="2:7" ht="15" customHeight="1" x14ac:dyDescent="0.35">
      <c r="B65" s="278" t="s">
        <v>492</v>
      </c>
      <c r="C65" s="278"/>
      <c r="D65" s="278"/>
      <c r="E65" s="106">
        <v>480</v>
      </c>
      <c r="F65" s="184"/>
      <c r="G65" s="185"/>
    </row>
    <row r="66" spans="2:7" ht="15" customHeight="1" x14ac:dyDescent="0.35">
      <c r="B66" s="278" t="s">
        <v>493</v>
      </c>
      <c r="C66" s="278"/>
      <c r="D66" s="278"/>
      <c r="E66" s="128">
        <v>490</v>
      </c>
      <c r="F66" s="188"/>
      <c r="G66" s="187"/>
    </row>
    <row r="67" spans="2:7" ht="15" customHeight="1" x14ac:dyDescent="0.35">
      <c r="B67" s="268" t="s">
        <v>494</v>
      </c>
      <c r="C67" s="268"/>
      <c r="D67" s="268"/>
      <c r="E67" s="124"/>
      <c r="F67" s="184"/>
      <c r="G67" s="185"/>
    </row>
    <row r="68" spans="2:7" ht="15" customHeight="1" x14ac:dyDescent="0.35">
      <c r="B68" s="268" t="s">
        <v>495</v>
      </c>
      <c r="C68" s="268"/>
      <c r="D68" s="268"/>
      <c r="E68" s="124"/>
      <c r="F68" s="184"/>
      <c r="G68" s="185"/>
    </row>
    <row r="69" spans="2:7" ht="15" customHeight="1" x14ac:dyDescent="0.35">
      <c r="B69" s="269" t="s">
        <v>496</v>
      </c>
      <c r="C69" s="269"/>
      <c r="D69" s="269"/>
      <c r="E69" s="106">
        <v>500</v>
      </c>
      <c r="F69" s="184"/>
      <c r="G69" s="185"/>
    </row>
    <row r="70" spans="2:7" ht="15" customHeight="1" x14ac:dyDescent="0.35">
      <c r="B70" s="269" t="s">
        <v>497</v>
      </c>
      <c r="C70" s="269"/>
      <c r="D70" s="269"/>
      <c r="E70" s="106">
        <v>510</v>
      </c>
      <c r="F70" s="184"/>
      <c r="G70" s="185"/>
    </row>
    <row r="71" spans="2:7" ht="15" customHeight="1" x14ac:dyDescent="0.35">
      <c r="B71" s="269" t="s">
        <v>498</v>
      </c>
      <c r="C71" s="269"/>
      <c r="D71" s="269"/>
      <c r="E71" s="106">
        <v>520</v>
      </c>
      <c r="F71" s="184"/>
      <c r="G71" s="185"/>
    </row>
    <row r="72" spans="2:7" ht="15" customHeight="1" x14ac:dyDescent="0.35">
      <c r="B72" s="269" t="s">
        <v>499</v>
      </c>
      <c r="C72" s="269"/>
      <c r="D72" s="269"/>
      <c r="E72" s="106">
        <v>530</v>
      </c>
      <c r="F72" s="184"/>
      <c r="G72" s="185"/>
    </row>
    <row r="73" spans="2:7" ht="15" customHeight="1" x14ac:dyDescent="0.35">
      <c r="B73" s="269" t="s">
        <v>500</v>
      </c>
      <c r="C73" s="269"/>
      <c r="D73" s="269"/>
      <c r="E73" s="106">
        <v>540</v>
      </c>
      <c r="F73" s="184"/>
      <c r="G73" s="185"/>
    </row>
    <row r="74" spans="2:7" ht="15" customHeight="1" x14ac:dyDescent="0.35">
      <c r="B74" s="269" t="s">
        <v>501</v>
      </c>
      <c r="C74" s="269"/>
      <c r="D74" s="269"/>
      <c r="E74" s="106">
        <v>550</v>
      </c>
      <c r="F74" s="184"/>
      <c r="G74" s="185"/>
    </row>
    <row r="75" spans="2:7" ht="15" customHeight="1" x14ac:dyDescent="0.35">
      <c r="B75" s="269" t="s">
        <v>502</v>
      </c>
      <c r="C75" s="269"/>
      <c r="D75" s="269"/>
      <c r="E75" s="106">
        <v>560</v>
      </c>
      <c r="F75" s="184"/>
      <c r="G75" s="185"/>
    </row>
    <row r="76" spans="2:7" ht="15" customHeight="1" x14ac:dyDescent="0.35">
      <c r="B76" s="278" t="s">
        <v>503</v>
      </c>
      <c r="C76" s="278"/>
      <c r="D76" s="278"/>
      <c r="E76" s="106">
        <v>570</v>
      </c>
      <c r="F76" s="184"/>
      <c r="G76" s="185"/>
    </row>
    <row r="77" spans="2:7" ht="15" customHeight="1" x14ac:dyDescent="0.35">
      <c r="B77" s="268" t="s">
        <v>504</v>
      </c>
      <c r="C77" s="268"/>
      <c r="D77" s="268"/>
      <c r="E77" s="124"/>
      <c r="F77" s="184"/>
      <c r="G77" s="185"/>
    </row>
    <row r="78" spans="2:7" ht="15" customHeight="1" x14ac:dyDescent="0.35">
      <c r="B78" s="278" t="s">
        <v>505</v>
      </c>
      <c r="C78" s="278"/>
      <c r="D78" s="278"/>
      <c r="E78" s="73">
        <v>580</v>
      </c>
      <c r="F78" s="184"/>
      <c r="G78" s="185"/>
    </row>
    <row r="79" spans="2:7" ht="15" customHeight="1" x14ac:dyDescent="0.35">
      <c r="B79" s="269" t="s">
        <v>506</v>
      </c>
      <c r="C79" s="269"/>
      <c r="D79" s="269"/>
      <c r="E79" s="73">
        <v>590</v>
      </c>
      <c r="F79" s="184"/>
      <c r="G79" s="185"/>
    </row>
    <row r="80" spans="2:7" ht="15" customHeight="1" x14ac:dyDescent="0.35">
      <c r="B80" s="269" t="s">
        <v>507</v>
      </c>
      <c r="C80" s="269"/>
      <c r="D80" s="269"/>
      <c r="E80" s="73">
        <v>600</v>
      </c>
      <c r="F80" s="184"/>
      <c r="G80" s="185"/>
    </row>
    <row r="81" spans="2:7" ht="15" customHeight="1" x14ac:dyDescent="0.35">
      <c r="B81" s="269" t="s">
        <v>508</v>
      </c>
      <c r="C81" s="269"/>
      <c r="D81" s="269"/>
      <c r="E81" s="73">
        <v>610</v>
      </c>
      <c r="F81" s="184"/>
      <c r="G81" s="185"/>
    </row>
    <row r="82" spans="2:7" ht="15" customHeight="1" x14ac:dyDescent="0.35">
      <c r="B82" s="269" t="s">
        <v>509</v>
      </c>
      <c r="C82" s="269"/>
      <c r="D82" s="269"/>
      <c r="E82" s="73">
        <v>620</v>
      </c>
      <c r="F82" s="184"/>
      <c r="G82" s="185"/>
    </row>
    <row r="83" spans="2:7" ht="15" customHeight="1" x14ac:dyDescent="0.35">
      <c r="B83" s="269" t="s">
        <v>510</v>
      </c>
      <c r="C83" s="269"/>
      <c r="D83" s="269"/>
      <c r="E83" s="73">
        <v>630</v>
      </c>
      <c r="F83" s="184"/>
      <c r="G83" s="185"/>
    </row>
    <row r="84" spans="2:7" ht="15" customHeight="1" x14ac:dyDescent="0.35">
      <c r="B84" s="269" t="s">
        <v>511</v>
      </c>
      <c r="C84" s="269"/>
      <c r="D84" s="269"/>
      <c r="E84" s="73">
        <v>640</v>
      </c>
      <c r="F84" s="184"/>
      <c r="G84" s="185"/>
    </row>
    <row r="85" spans="2:7" ht="15" customHeight="1" x14ac:dyDescent="0.35">
      <c r="B85" s="269" t="s">
        <v>512</v>
      </c>
      <c r="C85" s="269"/>
      <c r="D85" s="269"/>
      <c r="E85" s="73">
        <v>650</v>
      </c>
      <c r="F85" s="184"/>
      <c r="G85" s="185"/>
    </row>
    <row r="86" spans="2:7" ht="15" customHeight="1" x14ac:dyDescent="0.35">
      <c r="B86" s="269" t="s">
        <v>513</v>
      </c>
      <c r="C86" s="269"/>
      <c r="D86" s="269"/>
      <c r="E86" s="73">
        <v>660</v>
      </c>
      <c r="F86" s="184"/>
      <c r="G86" s="185"/>
    </row>
    <row r="87" spans="2:7" ht="30" customHeight="1" x14ac:dyDescent="0.35">
      <c r="B87" s="278" t="s">
        <v>514</v>
      </c>
      <c r="C87" s="278"/>
      <c r="D87" s="278"/>
      <c r="E87" s="73">
        <v>670</v>
      </c>
      <c r="F87" s="184"/>
      <c r="G87" s="185"/>
    </row>
    <row r="88" spans="2:7" ht="15" customHeight="1" x14ac:dyDescent="0.35">
      <c r="B88" s="269" t="s">
        <v>515</v>
      </c>
      <c r="C88" s="269"/>
      <c r="D88" s="269"/>
      <c r="E88" s="73">
        <v>680</v>
      </c>
      <c r="F88" s="184"/>
      <c r="G88" s="185"/>
    </row>
    <row r="89" spans="2:7" ht="30" customHeight="1" x14ac:dyDescent="0.35">
      <c r="B89" s="269" t="s">
        <v>516</v>
      </c>
      <c r="C89" s="269"/>
      <c r="D89" s="269"/>
      <c r="E89" s="73">
        <v>690</v>
      </c>
      <c r="F89" s="184"/>
      <c r="G89" s="185"/>
    </row>
    <row r="90" spans="2:7" ht="30" customHeight="1" x14ac:dyDescent="0.35">
      <c r="B90" s="269" t="s">
        <v>517</v>
      </c>
      <c r="C90" s="269"/>
      <c r="D90" s="269"/>
      <c r="E90" s="73">
        <v>700</v>
      </c>
      <c r="F90" s="184"/>
      <c r="G90" s="185"/>
    </row>
    <row r="91" spans="2:7" ht="15" customHeight="1" x14ac:dyDescent="0.35">
      <c r="B91" s="269" t="s">
        <v>518</v>
      </c>
      <c r="C91" s="269"/>
      <c r="D91" s="269"/>
      <c r="E91" s="73">
        <v>710</v>
      </c>
      <c r="F91" s="184"/>
      <c r="G91" s="185"/>
    </row>
    <row r="92" spans="2:7" ht="15" customHeight="1" x14ac:dyDescent="0.35">
      <c r="B92" s="278" t="s">
        <v>519</v>
      </c>
      <c r="C92" s="278"/>
      <c r="D92" s="278"/>
      <c r="E92" s="73">
        <v>720</v>
      </c>
      <c r="F92" s="184"/>
      <c r="G92" s="185"/>
    </row>
    <row r="93" spans="2:7" ht="15" customHeight="1" x14ac:dyDescent="0.35">
      <c r="B93" s="268" t="s">
        <v>520</v>
      </c>
      <c r="C93" s="268"/>
      <c r="D93" s="268"/>
      <c r="E93" s="124"/>
      <c r="F93" s="184"/>
      <c r="G93" s="185"/>
    </row>
    <row r="94" spans="2:7" ht="30" customHeight="1" x14ac:dyDescent="0.35">
      <c r="B94" s="278" t="s">
        <v>521</v>
      </c>
      <c r="C94" s="278"/>
      <c r="D94" s="278"/>
      <c r="E94" s="73">
        <v>730</v>
      </c>
      <c r="F94" s="184"/>
      <c r="G94" s="185"/>
    </row>
    <row r="95" spans="2:7" ht="30" customHeight="1" x14ac:dyDescent="0.35">
      <c r="B95" s="269" t="s">
        <v>522</v>
      </c>
      <c r="C95" s="269"/>
      <c r="D95" s="269"/>
      <c r="E95" s="73">
        <v>731</v>
      </c>
      <c r="F95" s="184"/>
      <c r="G95" s="185"/>
    </row>
    <row r="96" spans="2:7" ht="15" customHeight="1" x14ac:dyDescent="0.35">
      <c r="B96" s="269" t="s">
        <v>523</v>
      </c>
      <c r="C96" s="269"/>
      <c r="D96" s="269"/>
      <c r="E96" s="73">
        <v>740</v>
      </c>
      <c r="F96" s="184"/>
      <c r="G96" s="185"/>
    </row>
    <row r="97" spans="2:7" ht="30" customHeight="1" x14ac:dyDescent="0.35">
      <c r="B97" s="278" t="s">
        <v>524</v>
      </c>
      <c r="C97" s="278"/>
      <c r="D97" s="278"/>
      <c r="E97" s="73">
        <v>750</v>
      </c>
      <c r="F97" s="184"/>
      <c r="G97" s="185"/>
    </row>
    <row r="98" spans="2:7" ht="30" customHeight="1" x14ac:dyDescent="0.35">
      <c r="B98" s="269" t="s">
        <v>525</v>
      </c>
      <c r="C98" s="269"/>
      <c r="D98" s="269"/>
      <c r="E98" s="73">
        <v>760</v>
      </c>
      <c r="F98" s="184"/>
      <c r="G98" s="185"/>
    </row>
    <row r="99" spans="2:7" ht="15" customHeight="1" x14ac:dyDescent="0.35">
      <c r="B99" s="269" t="s">
        <v>526</v>
      </c>
      <c r="C99" s="269"/>
      <c r="D99" s="269"/>
      <c r="E99" s="73">
        <v>770</v>
      </c>
      <c r="F99" s="184"/>
      <c r="G99" s="185"/>
    </row>
    <row r="100" spans="2:7" ht="15" customHeight="1" x14ac:dyDescent="0.35">
      <c r="B100" s="269" t="s">
        <v>527</v>
      </c>
      <c r="C100" s="269"/>
      <c r="D100" s="269"/>
      <c r="E100" s="73">
        <v>780</v>
      </c>
      <c r="F100" s="184"/>
      <c r="G100" s="185"/>
    </row>
    <row r="101" spans="2:7" ht="15" customHeight="1" x14ac:dyDescent="0.35">
      <c r="B101" s="269" t="s">
        <v>528</v>
      </c>
      <c r="C101" s="269"/>
      <c r="D101" s="269"/>
      <c r="E101" s="73">
        <v>790</v>
      </c>
      <c r="F101" s="184"/>
      <c r="G101" s="185"/>
    </row>
    <row r="102" spans="2:7" ht="15" customHeight="1" x14ac:dyDescent="0.35">
      <c r="B102" s="269" t="s">
        <v>529</v>
      </c>
      <c r="C102" s="269"/>
      <c r="D102" s="269"/>
      <c r="E102" s="73">
        <v>800</v>
      </c>
      <c r="F102" s="184"/>
      <c r="G102" s="185"/>
    </row>
    <row r="103" spans="2:7" ht="15" customHeight="1" x14ac:dyDescent="0.35">
      <c r="B103" s="269" t="s">
        <v>530</v>
      </c>
      <c r="C103" s="269"/>
      <c r="D103" s="269"/>
      <c r="E103" s="73">
        <v>810</v>
      </c>
      <c r="F103" s="184"/>
      <c r="G103" s="185"/>
    </row>
    <row r="104" spans="2:7" ht="30" customHeight="1" x14ac:dyDescent="0.35">
      <c r="B104" s="269" t="s">
        <v>531</v>
      </c>
      <c r="C104" s="269"/>
      <c r="D104" s="269"/>
      <c r="E104" s="73">
        <v>820</v>
      </c>
      <c r="F104" s="184"/>
      <c r="G104" s="185"/>
    </row>
    <row r="105" spans="2:7" ht="15" customHeight="1" x14ac:dyDescent="0.35">
      <c r="B105" s="269" t="s">
        <v>532</v>
      </c>
      <c r="C105" s="269"/>
      <c r="D105" s="269"/>
      <c r="E105" s="73">
        <v>830</v>
      </c>
      <c r="F105" s="184"/>
      <c r="G105" s="185"/>
    </row>
    <row r="106" spans="2:7" ht="15" customHeight="1" x14ac:dyDescent="0.35">
      <c r="B106" s="269" t="s">
        <v>533</v>
      </c>
      <c r="C106" s="269"/>
      <c r="D106" s="269"/>
      <c r="E106" s="73">
        <v>840</v>
      </c>
      <c r="F106" s="184"/>
      <c r="G106" s="185"/>
    </row>
    <row r="107" spans="2:7" ht="15" customHeight="1" x14ac:dyDescent="0.35">
      <c r="B107" s="269" t="s">
        <v>534</v>
      </c>
      <c r="C107" s="269"/>
      <c r="D107" s="269"/>
      <c r="E107" s="73">
        <v>850</v>
      </c>
      <c r="F107" s="184"/>
      <c r="G107" s="185"/>
    </row>
    <row r="108" spans="2:7" ht="15" customHeight="1" x14ac:dyDescent="0.35">
      <c r="B108" s="269" t="s">
        <v>535</v>
      </c>
      <c r="C108" s="269"/>
      <c r="D108" s="269"/>
      <c r="E108" s="73">
        <v>860</v>
      </c>
      <c r="F108" s="184"/>
      <c r="G108" s="185"/>
    </row>
    <row r="109" spans="2:7" ht="15" customHeight="1" x14ac:dyDescent="0.35">
      <c r="B109" s="269" t="s">
        <v>536</v>
      </c>
      <c r="C109" s="269"/>
      <c r="D109" s="269"/>
      <c r="E109" s="73">
        <v>870</v>
      </c>
      <c r="F109" s="184"/>
      <c r="G109" s="185"/>
    </row>
    <row r="110" spans="2:7" ht="15" customHeight="1" x14ac:dyDescent="0.35">
      <c r="B110" s="269" t="s">
        <v>537</v>
      </c>
      <c r="C110" s="269"/>
      <c r="D110" s="269"/>
      <c r="E110" s="73">
        <v>880</v>
      </c>
      <c r="F110" s="184"/>
      <c r="G110" s="185"/>
    </row>
    <row r="111" spans="2:7" ht="15" customHeight="1" x14ac:dyDescent="0.35">
      <c r="B111" s="269" t="s">
        <v>538</v>
      </c>
      <c r="C111" s="269"/>
      <c r="D111" s="269"/>
      <c r="E111" s="73">
        <v>890</v>
      </c>
      <c r="F111" s="184"/>
      <c r="G111" s="185"/>
    </row>
    <row r="112" spans="2:7" ht="15" customHeight="1" x14ac:dyDescent="0.35">
      <c r="B112" s="269" t="s">
        <v>539</v>
      </c>
      <c r="C112" s="269"/>
      <c r="D112" s="269"/>
      <c r="E112" s="73">
        <v>900</v>
      </c>
      <c r="F112" s="184"/>
      <c r="G112" s="185"/>
    </row>
    <row r="113" spans="2:7" ht="15" customHeight="1" x14ac:dyDescent="0.35">
      <c r="B113" s="269" t="s">
        <v>540</v>
      </c>
      <c r="C113" s="269"/>
      <c r="D113" s="269"/>
      <c r="E113" s="73">
        <v>910</v>
      </c>
      <c r="F113" s="184"/>
      <c r="G113" s="185"/>
    </row>
    <row r="114" spans="2:7" ht="15" customHeight="1" x14ac:dyDescent="0.35">
      <c r="B114" s="269" t="s">
        <v>541</v>
      </c>
      <c r="C114" s="269"/>
      <c r="D114" s="269"/>
      <c r="E114" s="73">
        <v>920</v>
      </c>
      <c r="F114" s="184"/>
      <c r="G114" s="185"/>
    </row>
    <row r="115" spans="2:7" ht="30" customHeight="1" x14ac:dyDescent="0.35">
      <c r="B115" s="278" t="s">
        <v>542</v>
      </c>
      <c r="C115" s="278"/>
      <c r="D115" s="278"/>
      <c r="E115" s="73">
        <v>930</v>
      </c>
      <c r="F115" s="184"/>
      <c r="G115" s="185"/>
    </row>
    <row r="116" spans="2:7" ht="30" customHeight="1" x14ac:dyDescent="0.35">
      <c r="B116" s="269" t="s">
        <v>543</v>
      </c>
      <c r="C116" s="269"/>
      <c r="D116" s="269"/>
      <c r="E116" s="73">
        <v>931</v>
      </c>
      <c r="F116" s="184"/>
      <c r="G116" s="185"/>
    </row>
    <row r="117" spans="2:7" ht="15" customHeight="1" x14ac:dyDescent="0.35">
      <c r="B117" s="279" t="s">
        <v>544</v>
      </c>
      <c r="C117" s="279"/>
      <c r="D117" s="279"/>
      <c r="E117" s="73">
        <v>932</v>
      </c>
      <c r="F117" s="184"/>
      <c r="G117" s="185"/>
    </row>
    <row r="118" spans="2:7" ht="15" customHeight="1" x14ac:dyDescent="0.35">
      <c r="B118" s="269" t="s">
        <v>545</v>
      </c>
      <c r="C118" s="269"/>
      <c r="D118" s="269"/>
      <c r="E118" s="73">
        <v>940</v>
      </c>
      <c r="F118" s="184"/>
      <c r="G118" s="185"/>
    </row>
    <row r="119" spans="2:7" ht="30" customHeight="1" x14ac:dyDescent="0.35">
      <c r="B119" s="278" t="s">
        <v>546</v>
      </c>
      <c r="C119" s="278"/>
      <c r="D119" s="278"/>
      <c r="E119" s="73">
        <v>950</v>
      </c>
      <c r="F119" s="184"/>
      <c r="G119" s="185"/>
    </row>
    <row r="120" spans="2:7" ht="15" customHeight="1" x14ac:dyDescent="0.35">
      <c r="B120" s="269" t="s">
        <v>547</v>
      </c>
      <c r="C120" s="269"/>
      <c r="D120" s="269"/>
      <c r="E120" s="73">
        <v>960</v>
      </c>
      <c r="F120" s="184"/>
      <c r="G120" s="185"/>
    </row>
    <row r="121" spans="2:7" ht="15" customHeight="1" x14ac:dyDescent="0.35">
      <c r="B121" s="269" t="s">
        <v>548</v>
      </c>
      <c r="C121" s="269"/>
      <c r="D121" s="269"/>
      <c r="E121" s="73">
        <v>970</v>
      </c>
      <c r="F121" s="184"/>
      <c r="G121" s="185"/>
    </row>
    <row r="122" spans="2:7" ht="15" customHeight="1" x14ac:dyDescent="0.35">
      <c r="B122" s="269" t="s">
        <v>549</v>
      </c>
      <c r="C122" s="269"/>
      <c r="D122" s="269"/>
      <c r="E122" s="73">
        <v>980</v>
      </c>
      <c r="F122" s="184"/>
      <c r="G122" s="185"/>
    </row>
    <row r="123" spans="2:7" ht="15" customHeight="1" x14ac:dyDescent="0.35">
      <c r="B123" s="269" t="s">
        <v>550</v>
      </c>
      <c r="C123" s="269"/>
      <c r="D123" s="269"/>
      <c r="E123" s="73">
        <v>990</v>
      </c>
      <c r="F123" s="184"/>
      <c r="G123" s="185"/>
    </row>
    <row r="124" spans="2:7" ht="15" customHeight="1" x14ac:dyDescent="0.35">
      <c r="B124" s="269" t="s">
        <v>551</v>
      </c>
      <c r="C124" s="269"/>
      <c r="D124" s="269"/>
      <c r="E124" s="73">
        <v>1000</v>
      </c>
      <c r="F124" s="184"/>
      <c r="G124" s="185"/>
    </row>
    <row r="125" spans="2:7" ht="15" customHeight="1" x14ac:dyDescent="0.35">
      <c r="B125" s="269" t="s">
        <v>552</v>
      </c>
      <c r="C125" s="269"/>
      <c r="D125" s="269"/>
      <c r="E125" s="73">
        <v>1010</v>
      </c>
      <c r="F125" s="184"/>
      <c r="G125" s="185"/>
    </row>
    <row r="126" spans="2:7" ht="30" customHeight="1" x14ac:dyDescent="0.35">
      <c r="B126" s="269" t="s">
        <v>553</v>
      </c>
      <c r="C126" s="269"/>
      <c r="D126" s="269"/>
      <c r="E126" s="73">
        <v>1020</v>
      </c>
      <c r="F126" s="184"/>
      <c r="G126" s="185"/>
    </row>
    <row r="127" spans="2:7" ht="15" customHeight="1" x14ac:dyDescent="0.35">
      <c r="B127" s="269" t="s">
        <v>554</v>
      </c>
      <c r="C127" s="269"/>
      <c r="D127" s="269"/>
      <c r="E127" s="73">
        <v>1030</v>
      </c>
      <c r="F127" s="184"/>
      <c r="G127" s="185"/>
    </row>
    <row r="128" spans="2:7" ht="15" customHeight="1" x14ac:dyDescent="0.35">
      <c r="B128" s="269" t="s">
        <v>555</v>
      </c>
      <c r="C128" s="269"/>
      <c r="D128" s="269"/>
      <c r="E128" s="73">
        <v>1040</v>
      </c>
      <c r="F128" s="184"/>
      <c r="G128" s="185"/>
    </row>
    <row r="129" spans="2:7" ht="15" customHeight="1" x14ac:dyDescent="0.35">
      <c r="B129" s="269" t="s">
        <v>556</v>
      </c>
      <c r="C129" s="269"/>
      <c r="D129" s="269"/>
      <c r="E129" s="73">
        <v>1050</v>
      </c>
      <c r="F129" s="184"/>
      <c r="G129" s="185"/>
    </row>
    <row r="130" spans="2:7" ht="15" customHeight="1" x14ac:dyDescent="0.35">
      <c r="B130" s="269" t="s">
        <v>557</v>
      </c>
      <c r="C130" s="269"/>
      <c r="D130" s="269"/>
      <c r="E130" s="73">
        <v>1060</v>
      </c>
      <c r="F130" s="184"/>
      <c r="G130" s="185"/>
    </row>
    <row r="131" spans="2:7" ht="15" customHeight="1" x14ac:dyDescent="0.35">
      <c r="B131" s="269" t="s">
        <v>558</v>
      </c>
      <c r="C131" s="269"/>
      <c r="D131" s="269"/>
      <c r="E131" s="73">
        <v>1070</v>
      </c>
      <c r="F131" s="184"/>
      <c r="G131" s="185"/>
    </row>
    <row r="132" spans="2:7" ht="15" customHeight="1" x14ac:dyDescent="0.35">
      <c r="B132" s="269" t="s">
        <v>559</v>
      </c>
      <c r="C132" s="269"/>
      <c r="D132" s="269"/>
      <c r="E132" s="73">
        <v>1080</v>
      </c>
      <c r="F132" s="184"/>
      <c r="G132" s="185"/>
    </row>
    <row r="133" spans="2:7" ht="15" customHeight="1" x14ac:dyDescent="0.35">
      <c r="B133" s="269" t="s">
        <v>560</v>
      </c>
      <c r="C133" s="269"/>
      <c r="D133" s="269"/>
      <c r="E133" s="73">
        <v>1090</v>
      </c>
      <c r="F133" s="184"/>
      <c r="G133" s="185"/>
    </row>
    <row r="134" spans="2:7" ht="15" customHeight="1" x14ac:dyDescent="0.35">
      <c r="B134" s="269" t="s">
        <v>561</v>
      </c>
      <c r="C134" s="269"/>
      <c r="D134" s="269"/>
      <c r="E134" s="73">
        <v>1100</v>
      </c>
      <c r="F134" s="184"/>
      <c r="G134" s="185"/>
    </row>
    <row r="135" spans="2:7" ht="15" customHeight="1" x14ac:dyDescent="0.35">
      <c r="B135" s="269" t="s">
        <v>562</v>
      </c>
      <c r="C135" s="269"/>
      <c r="D135" s="269"/>
      <c r="E135" s="73">
        <v>1110</v>
      </c>
      <c r="F135" s="184"/>
      <c r="G135" s="185"/>
    </row>
    <row r="136" spans="2:7" ht="15" customHeight="1" x14ac:dyDescent="0.35">
      <c r="B136" s="269" t="s">
        <v>563</v>
      </c>
      <c r="C136" s="269"/>
      <c r="D136" s="269"/>
      <c r="E136" s="73">
        <v>1120</v>
      </c>
      <c r="F136" s="184"/>
      <c r="G136" s="185"/>
    </row>
    <row r="137" spans="2:7" ht="15" customHeight="1" x14ac:dyDescent="0.35">
      <c r="B137" s="269" t="s">
        <v>564</v>
      </c>
      <c r="C137" s="269"/>
      <c r="D137" s="269"/>
      <c r="E137" s="73">
        <v>1130</v>
      </c>
      <c r="F137" s="184"/>
      <c r="G137" s="185"/>
    </row>
    <row r="138" spans="2:7" ht="15" customHeight="1" x14ac:dyDescent="0.35">
      <c r="B138" s="269" t="s">
        <v>565</v>
      </c>
      <c r="C138" s="269"/>
      <c r="D138" s="269"/>
      <c r="E138" s="73">
        <v>1140</v>
      </c>
      <c r="F138" s="184"/>
      <c r="G138" s="185"/>
    </row>
    <row r="139" spans="2:7" ht="15" customHeight="1" x14ac:dyDescent="0.35">
      <c r="B139" s="269" t="s">
        <v>566</v>
      </c>
      <c r="C139" s="269"/>
      <c r="D139" s="269"/>
      <c r="E139" s="73">
        <v>1150</v>
      </c>
      <c r="F139" s="184"/>
      <c r="G139" s="185"/>
    </row>
    <row r="140" spans="2:7" ht="15" customHeight="1" x14ac:dyDescent="0.35">
      <c r="B140" s="269" t="s">
        <v>567</v>
      </c>
      <c r="C140" s="269"/>
      <c r="D140" s="269"/>
      <c r="E140" s="73">
        <v>1160</v>
      </c>
      <c r="F140" s="184"/>
      <c r="G140" s="185"/>
    </row>
    <row r="141" spans="2:7" ht="15" customHeight="1" x14ac:dyDescent="0.35">
      <c r="B141" s="269" t="s">
        <v>568</v>
      </c>
      <c r="C141" s="269"/>
      <c r="D141" s="269"/>
      <c r="E141" s="73">
        <v>1170</v>
      </c>
      <c r="F141" s="184"/>
      <c r="G141" s="185"/>
    </row>
    <row r="142" spans="2:7" ht="15" customHeight="1" x14ac:dyDescent="0.35">
      <c r="B142" s="269" t="s">
        <v>569</v>
      </c>
      <c r="C142" s="269"/>
      <c r="D142" s="269"/>
      <c r="E142" s="73">
        <v>1180</v>
      </c>
      <c r="F142" s="184"/>
      <c r="G142" s="185"/>
    </row>
    <row r="143" spans="2:7" ht="15" customHeight="1" x14ac:dyDescent="0.35">
      <c r="B143" s="278" t="s">
        <v>570</v>
      </c>
      <c r="C143" s="278"/>
      <c r="D143" s="278"/>
      <c r="E143" s="73">
        <v>1190</v>
      </c>
      <c r="F143" s="184"/>
      <c r="G143" s="185"/>
    </row>
    <row r="144" spans="2:7" ht="15" customHeight="1" x14ac:dyDescent="0.35">
      <c r="B144" s="278" t="s">
        <v>571</v>
      </c>
      <c r="C144" s="278"/>
      <c r="D144" s="278"/>
      <c r="E144" s="123">
        <v>1200</v>
      </c>
      <c r="F144" s="186"/>
      <c r="G144" s="187"/>
    </row>
    <row r="146" spans="2:7" ht="15" customHeight="1" x14ac:dyDescent="0.35">
      <c r="B146" s="280" t="s">
        <v>572</v>
      </c>
      <c r="C146" s="280"/>
      <c r="D146" s="280"/>
      <c r="E146" s="280"/>
      <c r="F146" s="280"/>
      <c r="G146" s="280"/>
    </row>
    <row r="147" spans="2:7" x14ac:dyDescent="0.35">
      <c r="B147" s="280"/>
      <c r="C147" s="280"/>
      <c r="D147" s="280"/>
      <c r="E147" s="280"/>
      <c r="F147" s="280"/>
      <c r="G147" s="280"/>
    </row>
    <row r="148" spans="2:7" x14ac:dyDescent="0.35">
      <c r="B148" s="280"/>
      <c r="C148" s="280"/>
      <c r="D148" s="280"/>
      <c r="E148" s="280"/>
      <c r="F148" s="280"/>
      <c r="G148" s="280"/>
    </row>
  </sheetData>
  <sheetProtection algorithmName="SHA-512" hashValue="py1EwumhrdBolsFDJZjo2LEtR4wYVS6zCAg+gVyfAMEARdU+TSTGOiJBr+TmAub8l5+n5X2lRJ/Pj8HX9HsAIQ==" saltValue="P4toyptlbC7wK2vgREit8g==" spinCount="100000" sheet="1" objects="1" scenarios="1" formatCells="0"/>
  <protectedRanges>
    <protectedRange sqref="F8:G144" name="Диапазон1"/>
  </protectedRanges>
  <mergeCells count="144">
    <mergeCell ref="B140:D140"/>
    <mergeCell ref="B141:D141"/>
    <mergeCell ref="B142:D142"/>
    <mergeCell ref="B143:D143"/>
    <mergeCell ref="B144:D144"/>
    <mergeCell ref="B146:G148"/>
    <mergeCell ref="B134:D134"/>
    <mergeCell ref="B135:D135"/>
    <mergeCell ref="B136:D136"/>
    <mergeCell ref="B137:D137"/>
    <mergeCell ref="B138:D138"/>
    <mergeCell ref="B139:D139"/>
    <mergeCell ref="B128:D128"/>
    <mergeCell ref="B129:D129"/>
    <mergeCell ref="B130:D130"/>
    <mergeCell ref="B131:D131"/>
    <mergeCell ref="B132:D132"/>
    <mergeCell ref="B133:D133"/>
    <mergeCell ref="B122:D122"/>
    <mergeCell ref="B123:D123"/>
    <mergeCell ref="B124:D124"/>
    <mergeCell ref="B125:D125"/>
    <mergeCell ref="B126:D126"/>
    <mergeCell ref="B127:D127"/>
    <mergeCell ref="B116:D116"/>
    <mergeCell ref="B117:D117"/>
    <mergeCell ref="B118:D118"/>
    <mergeCell ref="B119:D119"/>
    <mergeCell ref="B120:D120"/>
    <mergeCell ref="B121:D121"/>
    <mergeCell ref="B110:D110"/>
    <mergeCell ref="B111:D111"/>
    <mergeCell ref="B112:D112"/>
    <mergeCell ref="B113:D113"/>
    <mergeCell ref="B114:D114"/>
    <mergeCell ref="B115:D115"/>
    <mergeCell ref="B104:D104"/>
    <mergeCell ref="B105:D105"/>
    <mergeCell ref="B106:D106"/>
    <mergeCell ref="B107:D107"/>
    <mergeCell ref="B108:D108"/>
    <mergeCell ref="B109:D109"/>
    <mergeCell ref="B98:D98"/>
    <mergeCell ref="B99:D99"/>
    <mergeCell ref="B100:D100"/>
    <mergeCell ref="B101:D101"/>
    <mergeCell ref="B102:D102"/>
    <mergeCell ref="B103:D103"/>
    <mergeCell ref="B92:D92"/>
    <mergeCell ref="B93:D93"/>
    <mergeCell ref="B94:D94"/>
    <mergeCell ref="B95:D95"/>
    <mergeCell ref="B96:D96"/>
    <mergeCell ref="B97:D97"/>
    <mergeCell ref="B86:D86"/>
    <mergeCell ref="B87:D87"/>
    <mergeCell ref="B88:D88"/>
    <mergeCell ref="B89:D89"/>
    <mergeCell ref="B90:D90"/>
    <mergeCell ref="B91:D91"/>
    <mergeCell ref="B80:D80"/>
    <mergeCell ref="B81:D81"/>
    <mergeCell ref="B82:D82"/>
    <mergeCell ref="B83:D83"/>
    <mergeCell ref="B84:D84"/>
    <mergeCell ref="B85:D85"/>
    <mergeCell ref="B74:D74"/>
    <mergeCell ref="B75:D75"/>
    <mergeCell ref="B76:D76"/>
    <mergeCell ref="B77:D77"/>
    <mergeCell ref="B78:D78"/>
    <mergeCell ref="B79:D79"/>
    <mergeCell ref="B68:D68"/>
    <mergeCell ref="B69:D69"/>
    <mergeCell ref="B70:D70"/>
    <mergeCell ref="B71:D71"/>
    <mergeCell ref="B72:D72"/>
    <mergeCell ref="B73:D73"/>
    <mergeCell ref="B62:D62"/>
    <mergeCell ref="B63:D63"/>
    <mergeCell ref="B64:D64"/>
    <mergeCell ref="B65:D65"/>
    <mergeCell ref="B66:D66"/>
    <mergeCell ref="B67:D67"/>
    <mergeCell ref="B56:D56"/>
    <mergeCell ref="B57:D57"/>
    <mergeCell ref="B58:D58"/>
    <mergeCell ref="B59:D59"/>
    <mergeCell ref="B60:D60"/>
    <mergeCell ref="B61:D61"/>
    <mergeCell ref="B50:D50"/>
    <mergeCell ref="B51:D51"/>
    <mergeCell ref="B52:D52"/>
    <mergeCell ref="B53:D53"/>
    <mergeCell ref="B54:D54"/>
    <mergeCell ref="B55:D55"/>
    <mergeCell ref="B44:D44"/>
    <mergeCell ref="B45:D45"/>
    <mergeCell ref="B46:D46"/>
    <mergeCell ref="B47:D47"/>
    <mergeCell ref="B48:D48"/>
    <mergeCell ref="B49:D49"/>
    <mergeCell ref="B38:D38"/>
    <mergeCell ref="B39:D39"/>
    <mergeCell ref="B40:D40"/>
    <mergeCell ref="B41:D41"/>
    <mergeCell ref="B42:D42"/>
    <mergeCell ref="B43:D43"/>
    <mergeCell ref="B32:D32"/>
    <mergeCell ref="B33:D33"/>
    <mergeCell ref="B34:D34"/>
    <mergeCell ref="B35:D35"/>
    <mergeCell ref="B36:D36"/>
    <mergeCell ref="B37:D37"/>
    <mergeCell ref="B26:D26"/>
    <mergeCell ref="B27:D27"/>
    <mergeCell ref="B28:D28"/>
    <mergeCell ref="B29:D29"/>
    <mergeCell ref="B30:D30"/>
    <mergeCell ref="B31:D31"/>
    <mergeCell ref="B20:D20"/>
    <mergeCell ref="B21:D21"/>
    <mergeCell ref="B22:D22"/>
    <mergeCell ref="B23:D23"/>
    <mergeCell ref="B24:D24"/>
    <mergeCell ref="B25:D25"/>
    <mergeCell ref="B14:D14"/>
    <mergeCell ref="B15:D15"/>
    <mergeCell ref="B16:D16"/>
    <mergeCell ref="B17:D17"/>
    <mergeCell ref="B18:D18"/>
    <mergeCell ref="B19:D19"/>
    <mergeCell ref="B8:D8"/>
    <mergeCell ref="B9:D9"/>
    <mergeCell ref="B10:D10"/>
    <mergeCell ref="B11:D11"/>
    <mergeCell ref="B12:D12"/>
    <mergeCell ref="B13:D13"/>
    <mergeCell ref="C1:G1"/>
    <mergeCell ref="C2:G2"/>
    <mergeCell ref="C3:G3"/>
    <mergeCell ref="C4:G4"/>
    <mergeCell ref="C5:G5"/>
    <mergeCell ref="B7:D7"/>
  </mergeCells>
  <hyperlinks>
    <hyperlink ref="B36" r:id="rId1" display="javascript:scrollText(2124481)" xr:uid="{E959A540-62D1-43A7-9885-1AE1C0D3D073}"/>
    <hyperlink ref="B117" r:id="rId2" display="javascript:scrollText(2124481)" xr:uid="{E923EA31-2A47-4AA8-8E68-C1A8C89AE550}"/>
    <hyperlink ref="H1" location="'Жадваллар рўйхати'!A1" display="Список таблиц" xr:uid="{93826A77-2A8C-42EB-8ECD-2CE558A784B1}"/>
  </hyperlinks>
  <pageMargins left="0.7" right="0.7" top="0.75" bottom="0.75" header="0.3" footer="0.3"/>
  <pageSetup paperSize="9" scale="51" orientation="portrait" verticalDpi="0"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84CCC-FB18-4082-B9B8-F1CD3A0ECC9A}">
  <sheetPr codeName="Лист12">
    <tabColor theme="5" tint="0.79998168889431442"/>
  </sheetPr>
  <dimension ref="B1:G25"/>
  <sheetViews>
    <sheetView view="pageBreakPreview" zoomScale="60" zoomScaleNormal="100" workbookViewId="0">
      <selection activeCell="F30" sqref="F30"/>
    </sheetView>
  </sheetViews>
  <sheetFormatPr defaultColWidth="9.1796875" defaultRowHeight="14.5" x14ac:dyDescent="0.35"/>
  <cols>
    <col min="1" max="1" width="9.1796875" style="29"/>
    <col min="2" max="2" width="14" style="129" bestFit="1" customWidth="1"/>
    <col min="3" max="3" width="17.54296875" style="129" customWidth="1"/>
    <col min="4" max="4" width="59.453125" style="129" customWidth="1"/>
    <col min="5" max="5" width="12.54296875" style="29" customWidth="1"/>
    <col min="6" max="7" width="19.54296875" style="29" customWidth="1"/>
    <col min="8" max="16384" width="9.1796875" style="29"/>
  </cols>
  <sheetData>
    <row r="1" spans="2:7" s="85" customFormat="1" x14ac:dyDescent="0.35">
      <c r="B1" s="79" t="s">
        <v>150</v>
      </c>
      <c r="C1" s="270">
        <f>VLOOKUP($C$5,'Жадваллар рўйхати'!$A:$E,2,FALSE)</f>
        <v>1945</v>
      </c>
      <c r="D1" s="271"/>
      <c r="E1" s="271"/>
      <c r="F1" s="98" t="s">
        <v>151</v>
      </c>
    </row>
    <row r="2" spans="2:7" s="85" customFormat="1" ht="34.5" customHeight="1" x14ac:dyDescent="0.35">
      <c r="B2" s="65" t="s">
        <v>126</v>
      </c>
      <c r="C2" s="272" t="str">
        <f>VLOOKUP($C$5,'Жадваллар рўйхати'!$A:$E,3,FALSE)</f>
        <v>Суғурталовчиларнинг молиявий ҳисобот шаклларини ва уларни тўлдириш бўйича қоидаларни тасдиқлаш тўғрисидаги Молия вазирлиги буйруғи</v>
      </c>
      <c r="D2" s="273"/>
      <c r="E2" s="273"/>
    </row>
    <row r="3" spans="2:7" x14ac:dyDescent="0.35">
      <c r="B3" s="80" t="s">
        <v>127</v>
      </c>
      <c r="C3" s="274">
        <f>VLOOKUP($C$5,'Жадваллар рўйхати'!$A:$E,4,FALSE)</f>
        <v>2</v>
      </c>
      <c r="D3" s="275"/>
      <c r="E3" s="275"/>
    </row>
    <row r="4" spans="2:7" ht="15" customHeight="1" x14ac:dyDescent="0.35">
      <c r="B4" s="69" t="s">
        <v>128</v>
      </c>
      <c r="C4" s="276" t="str">
        <f>VLOOKUP($C$5,'Жадваллар рўйхати'!$A:$E,5,FALSE)</f>
        <v>Балансдан ташқари счётларда ҳисобга олинадиган қийматликларнинг мавжудлиги тўғрисида маълумотнома</v>
      </c>
      <c r="D4" s="277"/>
      <c r="E4" s="277"/>
    </row>
    <row r="5" spans="2:7" x14ac:dyDescent="0.35">
      <c r="B5" s="80" t="s">
        <v>124</v>
      </c>
      <c r="C5" s="281" t="s">
        <v>573</v>
      </c>
      <c r="D5" s="282"/>
      <c r="E5" s="282"/>
    </row>
    <row r="7" spans="2:7" ht="30" x14ac:dyDescent="0.35">
      <c r="B7" s="255" t="s">
        <v>431</v>
      </c>
      <c r="C7" s="255"/>
      <c r="D7" s="255"/>
      <c r="E7" s="72" t="s">
        <v>574</v>
      </c>
      <c r="F7" s="72" t="s">
        <v>433</v>
      </c>
      <c r="G7" s="72" t="s">
        <v>434</v>
      </c>
    </row>
    <row r="8" spans="2:7" ht="15" customHeight="1" x14ac:dyDescent="0.35">
      <c r="B8" s="269" t="s">
        <v>575</v>
      </c>
      <c r="C8" s="269"/>
      <c r="D8" s="269"/>
      <c r="E8" s="73">
        <v>1210</v>
      </c>
      <c r="F8" s="125"/>
      <c r="G8" s="125"/>
    </row>
    <row r="9" spans="2:7" ht="15" customHeight="1" x14ac:dyDescent="0.35">
      <c r="B9" s="269" t="s">
        <v>576</v>
      </c>
      <c r="C9" s="269"/>
      <c r="D9" s="269"/>
      <c r="E9" s="73">
        <v>1220</v>
      </c>
      <c r="F9" s="125"/>
      <c r="G9" s="125"/>
    </row>
    <row r="10" spans="2:7" ht="15" customHeight="1" x14ac:dyDescent="0.35">
      <c r="B10" s="269" t="s">
        <v>577</v>
      </c>
      <c r="C10" s="269"/>
      <c r="D10" s="269"/>
      <c r="E10" s="73">
        <v>1230</v>
      </c>
      <c r="F10" s="125"/>
      <c r="G10" s="125"/>
    </row>
    <row r="11" spans="2:7" ht="15" customHeight="1" x14ac:dyDescent="0.35">
      <c r="B11" s="269" t="s">
        <v>578</v>
      </c>
      <c r="C11" s="269"/>
      <c r="D11" s="269"/>
      <c r="E11" s="73">
        <v>1240</v>
      </c>
      <c r="F11" s="125"/>
      <c r="G11" s="125"/>
    </row>
    <row r="12" spans="2:7" ht="15" customHeight="1" x14ac:dyDescent="0.35">
      <c r="B12" s="269" t="s">
        <v>579</v>
      </c>
      <c r="C12" s="269"/>
      <c r="D12" s="269"/>
      <c r="E12" s="73">
        <v>1250</v>
      </c>
      <c r="F12" s="125"/>
      <c r="G12" s="125"/>
    </row>
    <row r="13" spans="2:7" ht="15" customHeight="1" x14ac:dyDescent="0.35">
      <c r="B13" s="269" t="s">
        <v>580</v>
      </c>
      <c r="C13" s="269"/>
      <c r="D13" s="269"/>
      <c r="E13" s="73">
        <v>1260</v>
      </c>
      <c r="F13" s="125"/>
      <c r="G13" s="125"/>
    </row>
    <row r="14" spans="2:7" ht="15" customHeight="1" x14ac:dyDescent="0.35">
      <c r="B14" s="269" t="s">
        <v>581</v>
      </c>
      <c r="C14" s="269"/>
      <c r="D14" s="269"/>
      <c r="E14" s="73">
        <v>1270</v>
      </c>
      <c r="F14" s="125"/>
      <c r="G14" s="125"/>
    </row>
    <row r="15" spans="2:7" ht="15" customHeight="1" x14ac:dyDescent="0.35">
      <c r="B15" s="269" t="s">
        <v>582</v>
      </c>
      <c r="C15" s="269"/>
      <c r="D15" s="269"/>
      <c r="E15" s="73">
        <v>1280</v>
      </c>
      <c r="F15" s="125"/>
      <c r="G15" s="125"/>
    </row>
    <row r="16" spans="2:7" ht="15" customHeight="1" x14ac:dyDescent="0.35">
      <c r="B16" s="269" t="s">
        <v>583</v>
      </c>
      <c r="C16" s="269"/>
      <c r="D16" s="269"/>
      <c r="E16" s="73">
        <v>1290</v>
      </c>
      <c r="F16" s="125"/>
      <c r="G16" s="125"/>
    </row>
    <row r="17" spans="2:7" ht="15" customHeight="1" x14ac:dyDescent="0.35">
      <c r="B17" s="269" t="s">
        <v>584</v>
      </c>
      <c r="C17" s="269"/>
      <c r="D17" s="269"/>
      <c r="E17" s="73">
        <v>1300</v>
      </c>
      <c r="F17" s="125"/>
      <c r="G17" s="125"/>
    </row>
    <row r="18" spans="2:7" ht="15" customHeight="1" x14ac:dyDescent="0.35">
      <c r="B18" s="269" t="s">
        <v>585</v>
      </c>
      <c r="C18" s="269"/>
      <c r="D18" s="269"/>
      <c r="E18" s="73">
        <v>1310</v>
      </c>
      <c r="F18" s="125"/>
      <c r="G18" s="125"/>
    </row>
    <row r="19" spans="2:7" ht="15" customHeight="1" x14ac:dyDescent="0.35">
      <c r="B19" s="269" t="s">
        <v>586</v>
      </c>
      <c r="C19" s="269"/>
      <c r="D19" s="269"/>
      <c r="E19" s="73">
        <v>1320</v>
      </c>
      <c r="F19" s="125"/>
      <c r="G19" s="125"/>
    </row>
    <row r="20" spans="2:7" ht="15" customHeight="1" x14ac:dyDescent="0.35">
      <c r="B20" s="269" t="s">
        <v>587</v>
      </c>
      <c r="C20" s="269"/>
      <c r="D20" s="269"/>
      <c r="E20" s="73">
        <v>1330</v>
      </c>
      <c r="F20" s="125"/>
      <c r="G20" s="125"/>
    </row>
    <row r="21" spans="2:7" ht="15" customHeight="1" x14ac:dyDescent="0.35">
      <c r="B21" s="269" t="s">
        <v>588</v>
      </c>
      <c r="C21" s="269"/>
      <c r="D21" s="269"/>
      <c r="E21" s="73">
        <v>1340</v>
      </c>
      <c r="F21" s="125"/>
      <c r="G21" s="125"/>
    </row>
    <row r="22" spans="2:7" ht="15" customHeight="1" x14ac:dyDescent="0.35"/>
    <row r="23" spans="2:7" ht="15" customHeight="1" x14ac:dyDescent="0.35">
      <c r="B23" s="254" t="s">
        <v>572</v>
      </c>
      <c r="C23" s="254"/>
      <c r="D23" s="254"/>
      <c r="E23" s="254"/>
      <c r="F23" s="254"/>
      <c r="G23" s="254"/>
    </row>
    <row r="24" spans="2:7" x14ac:dyDescent="0.35">
      <c r="B24" s="254"/>
      <c r="C24" s="254"/>
      <c r="D24" s="254"/>
      <c r="E24" s="254"/>
      <c r="F24" s="254"/>
      <c r="G24" s="254"/>
    </row>
    <row r="25" spans="2:7" x14ac:dyDescent="0.35">
      <c r="B25" s="254"/>
      <c r="C25" s="254"/>
      <c r="D25" s="254"/>
      <c r="E25" s="254"/>
      <c r="F25" s="254"/>
      <c r="G25" s="254"/>
    </row>
  </sheetData>
  <sheetProtection algorithmName="SHA-512" hashValue="TkpoQYYKhoq6QQRNFDKpaNtBqjc6LSyUkyQowxXLMd5Qkxh3ZxXzLJYFQhHpdt8f+Ctjeqm0LjjJCgquKC+WQg==" saltValue="/srxNZuHxT07MlTrCu9mBg==" spinCount="100000" sheet="1" objects="1" scenarios="1" formatCells="0"/>
  <protectedRanges>
    <protectedRange sqref="F8:G21" name="Диапазон1"/>
  </protectedRanges>
  <mergeCells count="21">
    <mergeCell ref="B20:D20"/>
    <mergeCell ref="B21:D21"/>
    <mergeCell ref="B23:G25"/>
    <mergeCell ref="B14:D14"/>
    <mergeCell ref="B15:D15"/>
    <mergeCell ref="B16:D16"/>
    <mergeCell ref="B17:D17"/>
    <mergeCell ref="B18:D18"/>
    <mergeCell ref="B19:D19"/>
    <mergeCell ref="B13:D13"/>
    <mergeCell ref="C1:E1"/>
    <mergeCell ref="C2:E2"/>
    <mergeCell ref="C3:E3"/>
    <mergeCell ref="C4:E4"/>
    <mergeCell ref="C5:E5"/>
    <mergeCell ref="B7:D7"/>
    <mergeCell ref="B8:D8"/>
    <mergeCell ref="B9:D9"/>
    <mergeCell ref="B10:D10"/>
    <mergeCell ref="B11:D11"/>
    <mergeCell ref="B12:D12"/>
  </mergeCells>
  <hyperlinks>
    <hyperlink ref="F1" location="'Жадваллар рўйхати'!A1" display="Список таблиц" xr:uid="{EB133CDE-D083-479A-9664-D8F292A7453D}"/>
  </hyperlinks>
  <pageMargins left="0.7" right="0.7" top="0.75" bottom="0.75" header="0.3" footer="0.3"/>
  <pageSetup paperSize="9" scale="57"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2A8E2-7A35-410F-A219-6A4202EC7593}">
  <sheetPr codeName="Лист13">
    <tabColor theme="5" tint="0.79998168889431442"/>
  </sheetPr>
  <dimension ref="B1:I49"/>
  <sheetViews>
    <sheetView view="pageBreakPreview" zoomScale="60" zoomScaleNormal="100" workbookViewId="0">
      <selection activeCell="C6" sqref="C6"/>
    </sheetView>
  </sheetViews>
  <sheetFormatPr defaultColWidth="9.1796875" defaultRowHeight="14.5" x14ac:dyDescent="0.35"/>
  <cols>
    <col min="1" max="1" width="9.1796875" style="29"/>
    <col min="2" max="2" width="14" style="129" bestFit="1" customWidth="1"/>
    <col min="3" max="3" width="17.54296875" style="129" customWidth="1"/>
    <col min="4" max="4" width="59.453125" style="29" customWidth="1"/>
    <col min="5" max="5" width="12.54296875" style="29" customWidth="1"/>
    <col min="6" max="9" width="17.1796875" style="29" customWidth="1"/>
    <col min="10" max="16384" width="9.1796875" style="29"/>
  </cols>
  <sheetData>
    <row r="1" spans="2:9" s="85" customFormat="1" x14ac:dyDescent="0.35">
      <c r="B1" s="79" t="s">
        <v>150</v>
      </c>
      <c r="C1" s="270">
        <f>VLOOKUP($C$5,'Жадваллар рўйхати'!$A:$E,2,FALSE)</f>
        <v>1945</v>
      </c>
      <c r="D1" s="271"/>
      <c r="E1" s="271"/>
      <c r="F1" s="271"/>
      <c r="G1" s="271"/>
      <c r="H1" s="120" t="s">
        <v>151</v>
      </c>
    </row>
    <row r="2" spans="2:9" s="85" customFormat="1" ht="34.5" customHeight="1" x14ac:dyDescent="0.35">
      <c r="B2" s="65" t="s">
        <v>126</v>
      </c>
      <c r="C2" s="272" t="str">
        <f>VLOOKUP($C$5,'Жадваллар рўйхати'!$A:$E,3,FALSE)</f>
        <v>Суғурталовчиларнинг молиявий ҳисобот шаклларини ва уларни тўлдириш бўйича қоидаларни тасдиқлаш тўғрисидаги Молия вазирлиги буйруғи</v>
      </c>
      <c r="D2" s="273"/>
      <c r="E2" s="273"/>
      <c r="F2" s="273"/>
      <c r="G2" s="273"/>
    </row>
    <row r="3" spans="2:9" x14ac:dyDescent="0.35">
      <c r="B3" s="80" t="s">
        <v>127</v>
      </c>
      <c r="C3" s="274">
        <f>VLOOKUP($C$5,'Жадваллар рўйхати'!$A:$E,4,FALSE)</f>
        <v>3</v>
      </c>
      <c r="D3" s="275"/>
      <c r="E3" s="275"/>
      <c r="F3" s="275"/>
      <c r="G3" s="275"/>
    </row>
    <row r="4" spans="2:9" ht="15" customHeight="1" x14ac:dyDescent="0.35">
      <c r="B4" s="69" t="s">
        <v>128</v>
      </c>
      <c r="C4" s="276" t="str">
        <f>VLOOKUP($C$5,'Жадваллар рўйхати'!$A:$E,5,FALSE)</f>
        <v>Молиявий натижалар тўғрисидаги ҳисобот — 2-сонли шакл — суғурта</v>
      </c>
      <c r="D4" s="277"/>
      <c r="E4" s="277"/>
      <c r="F4" s="277"/>
      <c r="G4" s="277"/>
    </row>
    <row r="5" spans="2:9" x14ac:dyDescent="0.35">
      <c r="B5" s="80" t="s">
        <v>124</v>
      </c>
      <c r="C5" s="274" t="s">
        <v>589</v>
      </c>
      <c r="D5" s="275"/>
      <c r="E5" s="275"/>
      <c r="F5" s="275"/>
      <c r="G5" s="275"/>
    </row>
    <row r="7" spans="2:9" ht="15" customHeight="1" x14ac:dyDescent="0.35">
      <c r="B7" s="259" t="s">
        <v>431</v>
      </c>
      <c r="C7" s="283"/>
      <c r="D7" s="260"/>
      <c r="E7" s="255" t="s">
        <v>432</v>
      </c>
      <c r="F7" s="255" t="s">
        <v>590</v>
      </c>
      <c r="G7" s="255"/>
      <c r="H7" s="255" t="s">
        <v>591</v>
      </c>
      <c r="I7" s="255"/>
    </row>
    <row r="8" spans="2:9" ht="37.5" customHeight="1" x14ac:dyDescent="0.35">
      <c r="B8" s="261"/>
      <c r="C8" s="284"/>
      <c r="D8" s="262"/>
      <c r="E8" s="255"/>
      <c r="F8" s="72" t="s">
        <v>592</v>
      </c>
      <c r="G8" s="72" t="s">
        <v>593</v>
      </c>
      <c r="H8" s="72" t="s">
        <v>592</v>
      </c>
      <c r="I8" s="117" t="s">
        <v>594</v>
      </c>
    </row>
    <row r="9" spans="2:9" ht="30" customHeight="1" x14ac:dyDescent="0.35">
      <c r="B9" s="269" t="s">
        <v>595</v>
      </c>
      <c r="C9" s="269"/>
      <c r="D9" s="269"/>
      <c r="E9" s="73">
        <v>10</v>
      </c>
      <c r="F9" s="114"/>
      <c r="G9" s="130"/>
      <c r="H9" s="114"/>
      <c r="I9" s="130"/>
    </row>
    <row r="10" spans="2:9" ht="30" customHeight="1" x14ac:dyDescent="0.35">
      <c r="B10" s="269" t="s">
        <v>596</v>
      </c>
      <c r="C10" s="269"/>
      <c r="D10" s="269"/>
      <c r="E10" s="73">
        <v>11</v>
      </c>
      <c r="F10" s="114"/>
      <c r="G10" s="130"/>
      <c r="H10" s="114"/>
      <c r="I10" s="130"/>
    </row>
    <row r="11" spans="2:9" ht="15" customHeight="1" x14ac:dyDescent="0.35">
      <c r="B11" s="269" t="s">
        <v>597</v>
      </c>
      <c r="C11" s="269"/>
      <c r="D11" s="269"/>
      <c r="E11" s="73">
        <v>12</v>
      </c>
      <c r="F11" s="130"/>
      <c r="G11" s="114"/>
      <c r="H11" s="130"/>
      <c r="I11" s="114"/>
    </row>
    <row r="12" spans="2:9" ht="15" customHeight="1" x14ac:dyDescent="0.35">
      <c r="B12" s="269" t="s">
        <v>598</v>
      </c>
      <c r="C12" s="269"/>
      <c r="D12" s="269"/>
      <c r="E12" s="73">
        <v>13</v>
      </c>
      <c r="F12" s="114"/>
      <c r="G12" s="130"/>
      <c r="H12" s="114"/>
      <c r="I12" s="130"/>
    </row>
    <row r="13" spans="2:9" ht="30" customHeight="1" x14ac:dyDescent="0.35">
      <c r="B13" s="269" t="s">
        <v>599</v>
      </c>
      <c r="C13" s="269"/>
      <c r="D13" s="269"/>
      <c r="E13" s="73">
        <v>14</v>
      </c>
      <c r="F13" s="114"/>
      <c r="G13" s="114"/>
      <c r="H13" s="114"/>
      <c r="I13" s="114"/>
    </row>
    <row r="14" spans="2:9" ht="52.5" customHeight="1" x14ac:dyDescent="0.35">
      <c r="B14" s="269" t="s">
        <v>600</v>
      </c>
      <c r="C14" s="269"/>
      <c r="D14" s="269"/>
      <c r="E14" s="73">
        <v>15</v>
      </c>
      <c r="F14" s="114"/>
      <c r="G14" s="114"/>
      <c r="H14" s="114"/>
      <c r="I14" s="114"/>
    </row>
    <row r="15" spans="2:9" ht="52.5" customHeight="1" x14ac:dyDescent="0.35">
      <c r="B15" s="269" t="s">
        <v>601</v>
      </c>
      <c r="C15" s="269"/>
      <c r="D15" s="269"/>
      <c r="E15" s="73">
        <v>16</v>
      </c>
      <c r="F15" s="114"/>
      <c r="G15" s="114"/>
      <c r="H15" s="114"/>
      <c r="I15" s="114"/>
    </row>
    <row r="16" spans="2:9" ht="30" customHeight="1" x14ac:dyDescent="0.35">
      <c r="B16" s="269" t="s">
        <v>602</v>
      </c>
      <c r="C16" s="269"/>
      <c r="D16" s="269"/>
      <c r="E16" s="73">
        <v>17</v>
      </c>
      <c r="F16" s="114"/>
      <c r="G16" s="114"/>
      <c r="H16" s="114"/>
      <c r="I16" s="114"/>
    </row>
    <row r="17" spans="2:9" ht="30" customHeight="1" x14ac:dyDescent="0.35">
      <c r="B17" s="269" t="s">
        <v>603</v>
      </c>
      <c r="C17" s="269"/>
      <c r="D17" s="269"/>
      <c r="E17" s="73">
        <v>18</v>
      </c>
      <c r="F17" s="114"/>
      <c r="G17" s="114"/>
      <c r="H17" s="114"/>
      <c r="I17" s="114"/>
    </row>
    <row r="18" spans="2:9" ht="15" customHeight="1" x14ac:dyDescent="0.35">
      <c r="B18" s="269" t="s">
        <v>604</v>
      </c>
      <c r="C18" s="269"/>
      <c r="D18" s="269"/>
      <c r="E18" s="73">
        <v>19</v>
      </c>
      <c r="F18" s="114"/>
      <c r="G18" s="130"/>
      <c r="H18" s="114"/>
      <c r="I18" s="114"/>
    </row>
    <row r="19" spans="2:9" ht="15" customHeight="1" x14ac:dyDescent="0.35">
      <c r="B19" s="269" t="s">
        <v>605</v>
      </c>
      <c r="C19" s="269"/>
      <c r="D19" s="269"/>
      <c r="E19" s="73">
        <v>20</v>
      </c>
      <c r="F19" s="114"/>
      <c r="G19" s="130"/>
      <c r="H19" s="114"/>
      <c r="I19" s="130"/>
    </row>
    <row r="20" spans="2:9" ht="15" customHeight="1" x14ac:dyDescent="0.35">
      <c r="B20" s="269" t="s">
        <v>606</v>
      </c>
      <c r="C20" s="269"/>
      <c r="D20" s="269"/>
      <c r="E20" s="73">
        <v>30</v>
      </c>
      <c r="F20" s="114"/>
      <c r="G20" s="130"/>
      <c r="H20" s="114"/>
      <c r="I20" s="130"/>
    </row>
    <row r="21" spans="2:9" ht="15" customHeight="1" x14ac:dyDescent="0.35">
      <c r="B21" s="269" t="s">
        <v>607</v>
      </c>
      <c r="C21" s="269"/>
      <c r="D21" s="269"/>
      <c r="E21" s="73">
        <v>40</v>
      </c>
      <c r="F21" s="114"/>
      <c r="G21" s="130"/>
      <c r="H21" s="114"/>
      <c r="I21" s="114"/>
    </row>
    <row r="22" spans="2:9" ht="15" customHeight="1" x14ac:dyDescent="0.35">
      <c r="B22" s="269" t="s">
        <v>608</v>
      </c>
      <c r="C22" s="269"/>
      <c r="D22" s="269"/>
      <c r="E22" s="73">
        <v>50</v>
      </c>
      <c r="F22" s="114"/>
      <c r="G22" s="130"/>
      <c r="H22" s="114"/>
      <c r="I22" s="114"/>
    </row>
    <row r="23" spans="2:9" ht="15" customHeight="1" x14ac:dyDescent="0.35">
      <c r="B23" s="269" t="s">
        <v>609</v>
      </c>
      <c r="C23" s="269"/>
      <c r="D23" s="269"/>
      <c r="E23" s="73">
        <v>60</v>
      </c>
      <c r="F23" s="114"/>
      <c r="G23" s="130"/>
      <c r="H23" s="114"/>
      <c r="I23" s="130"/>
    </row>
    <row r="24" spans="2:9" ht="15" customHeight="1" x14ac:dyDescent="0.35">
      <c r="B24" s="269" t="s">
        <v>610</v>
      </c>
      <c r="C24" s="269"/>
      <c r="D24" s="269"/>
      <c r="E24" s="73">
        <v>70</v>
      </c>
      <c r="F24" s="130"/>
      <c r="G24" s="114"/>
      <c r="H24" s="130"/>
      <c r="I24" s="114"/>
    </row>
    <row r="25" spans="2:9" ht="15" customHeight="1" x14ac:dyDescent="0.35">
      <c r="B25" s="269" t="s">
        <v>611</v>
      </c>
      <c r="C25" s="269"/>
      <c r="D25" s="269"/>
      <c r="E25" s="73">
        <v>80</v>
      </c>
      <c r="F25" s="114"/>
      <c r="G25" s="114"/>
      <c r="H25" s="114"/>
      <c r="I25" s="114"/>
    </row>
    <row r="26" spans="2:9" ht="15" customHeight="1" x14ac:dyDescent="0.35">
      <c r="B26" s="269" t="s">
        <v>612</v>
      </c>
      <c r="C26" s="269"/>
      <c r="D26" s="269"/>
      <c r="E26" s="73">
        <v>90</v>
      </c>
      <c r="F26" s="130"/>
      <c r="G26" s="114"/>
      <c r="H26" s="130"/>
      <c r="I26" s="114"/>
    </row>
    <row r="27" spans="2:9" ht="15" customHeight="1" x14ac:dyDescent="0.35">
      <c r="B27" s="269" t="s">
        <v>613</v>
      </c>
      <c r="C27" s="269"/>
      <c r="D27" s="269"/>
      <c r="E27" s="73">
        <v>100</v>
      </c>
      <c r="F27" s="130"/>
      <c r="G27" s="114"/>
      <c r="H27" s="130"/>
      <c r="I27" s="114"/>
    </row>
    <row r="28" spans="2:9" ht="15" customHeight="1" x14ac:dyDescent="0.35">
      <c r="B28" s="269" t="s">
        <v>614</v>
      </c>
      <c r="C28" s="269"/>
      <c r="D28" s="269"/>
      <c r="E28" s="73">
        <v>110</v>
      </c>
      <c r="F28" s="130"/>
      <c r="G28" s="114"/>
      <c r="H28" s="130"/>
      <c r="I28" s="114"/>
    </row>
    <row r="29" spans="2:9" ht="15" customHeight="1" x14ac:dyDescent="0.35">
      <c r="B29" s="269" t="s">
        <v>615</v>
      </c>
      <c r="C29" s="269"/>
      <c r="D29" s="269"/>
      <c r="E29" s="73">
        <v>120</v>
      </c>
      <c r="F29" s="130"/>
      <c r="G29" s="114"/>
      <c r="H29" s="130"/>
      <c r="I29" s="114"/>
    </row>
    <row r="30" spans="2:9" ht="15" customHeight="1" x14ac:dyDescent="0.35">
      <c r="B30" s="269" t="s">
        <v>616</v>
      </c>
      <c r="C30" s="269"/>
      <c r="D30" s="269"/>
      <c r="E30" s="73">
        <v>130</v>
      </c>
      <c r="F30" s="130"/>
      <c r="G30" s="114"/>
      <c r="H30" s="130"/>
      <c r="I30" s="114"/>
    </row>
    <row r="31" spans="2:9" ht="15" customHeight="1" x14ac:dyDescent="0.35">
      <c r="B31" s="269" t="s">
        <v>617</v>
      </c>
      <c r="C31" s="269"/>
      <c r="D31" s="269"/>
      <c r="E31" s="73">
        <v>140</v>
      </c>
      <c r="F31" s="114"/>
      <c r="G31" s="130"/>
      <c r="H31" s="114"/>
      <c r="I31" s="130"/>
    </row>
    <row r="32" spans="2:9" ht="15" customHeight="1" x14ac:dyDescent="0.35">
      <c r="B32" s="269" t="s">
        <v>618</v>
      </c>
      <c r="C32" s="269"/>
      <c r="D32" s="269"/>
      <c r="E32" s="73">
        <v>150</v>
      </c>
      <c r="F32" s="114"/>
      <c r="G32" s="114"/>
      <c r="H32" s="114"/>
      <c r="I32" s="114"/>
    </row>
    <row r="33" spans="2:9" ht="15" customHeight="1" x14ac:dyDescent="0.35">
      <c r="B33" s="269" t="s">
        <v>619</v>
      </c>
      <c r="C33" s="269"/>
      <c r="D33" s="269"/>
      <c r="E33" s="73">
        <v>160</v>
      </c>
      <c r="F33" s="114"/>
      <c r="G33" s="130"/>
      <c r="H33" s="114"/>
      <c r="I33" s="130"/>
    </row>
    <row r="34" spans="2:9" ht="15" customHeight="1" x14ac:dyDescent="0.35">
      <c r="B34" s="269" t="s">
        <v>620</v>
      </c>
      <c r="C34" s="269"/>
      <c r="D34" s="269"/>
      <c r="E34" s="73">
        <v>170</v>
      </c>
      <c r="F34" s="114"/>
      <c r="G34" s="130"/>
      <c r="H34" s="114"/>
      <c r="I34" s="130"/>
    </row>
    <row r="35" spans="2:9" ht="15" customHeight="1" x14ac:dyDescent="0.35">
      <c r="B35" s="269" t="s">
        <v>621</v>
      </c>
      <c r="C35" s="269"/>
      <c r="D35" s="269"/>
      <c r="E35" s="73">
        <v>180</v>
      </c>
      <c r="F35" s="114"/>
      <c r="G35" s="130"/>
      <c r="H35" s="114"/>
      <c r="I35" s="130"/>
    </row>
    <row r="36" spans="2:9" ht="15" customHeight="1" x14ac:dyDescent="0.35">
      <c r="B36" s="269" t="s">
        <v>622</v>
      </c>
      <c r="C36" s="269"/>
      <c r="D36" s="269"/>
      <c r="E36" s="73">
        <v>190</v>
      </c>
      <c r="F36" s="114"/>
      <c r="G36" s="130"/>
      <c r="H36" s="114"/>
      <c r="I36" s="130"/>
    </row>
    <row r="37" spans="2:9" ht="15" customHeight="1" x14ac:dyDescent="0.35">
      <c r="B37" s="269" t="s">
        <v>623</v>
      </c>
      <c r="C37" s="269"/>
      <c r="D37" s="269"/>
      <c r="E37" s="73">
        <v>200</v>
      </c>
      <c r="F37" s="114"/>
      <c r="G37" s="130"/>
      <c r="H37" s="114"/>
      <c r="I37" s="130"/>
    </row>
    <row r="38" spans="2:9" ht="15" customHeight="1" x14ac:dyDescent="0.35">
      <c r="B38" s="269" t="s">
        <v>624</v>
      </c>
      <c r="C38" s="269"/>
      <c r="D38" s="269"/>
      <c r="E38" s="73">
        <v>210</v>
      </c>
      <c r="F38" s="114"/>
      <c r="G38" s="130"/>
      <c r="H38" s="114"/>
      <c r="I38" s="130"/>
    </row>
    <row r="39" spans="2:9" ht="15" customHeight="1" x14ac:dyDescent="0.35">
      <c r="B39" s="269" t="s">
        <v>625</v>
      </c>
      <c r="C39" s="269"/>
      <c r="D39" s="269"/>
      <c r="E39" s="73">
        <v>220</v>
      </c>
      <c r="F39" s="130"/>
      <c r="G39" s="114"/>
      <c r="H39" s="130"/>
      <c r="I39" s="114"/>
    </row>
    <row r="40" spans="2:9" ht="15" customHeight="1" x14ac:dyDescent="0.35">
      <c r="B40" s="269" t="s">
        <v>626</v>
      </c>
      <c r="C40" s="269"/>
      <c r="D40" s="269"/>
      <c r="E40" s="73">
        <v>230</v>
      </c>
      <c r="F40" s="130"/>
      <c r="G40" s="114"/>
      <c r="H40" s="130"/>
      <c r="I40" s="114"/>
    </row>
    <row r="41" spans="2:9" ht="15" customHeight="1" x14ac:dyDescent="0.35">
      <c r="B41" s="269" t="s">
        <v>627</v>
      </c>
      <c r="C41" s="269"/>
      <c r="D41" s="269"/>
      <c r="E41" s="73">
        <v>240</v>
      </c>
      <c r="F41" s="130"/>
      <c r="G41" s="114"/>
      <c r="H41" s="130"/>
      <c r="I41" s="114"/>
    </row>
    <row r="42" spans="2:9" ht="15" customHeight="1" x14ac:dyDescent="0.35">
      <c r="B42" s="269" t="s">
        <v>628</v>
      </c>
      <c r="C42" s="269"/>
      <c r="D42" s="269"/>
      <c r="E42" s="73">
        <v>250</v>
      </c>
      <c r="F42" s="130"/>
      <c r="G42" s="114"/>
      <c r="H42" s="130"/>
      <c r="I42" s="114"/>
    </row>
    <row r="43" spans="2:9" ht="15" customHeight="1" x14ac:dyDescent="0.35">
      <c r="B43" s="269" t="s">
        <v>629</v>
      </c>
      <c r="C43" s="269"/>
      <c r="D43" s="269"/>
      <c r="E43" s="73">
        <v>260</v>
      </c>
      <c r="F43" s="130"/>
      <c r="G43" s="114"/>
      <c r="H43" s="130"/>
      <c r="I43" s="114"/>
    </row>
    <row r="44" spans="2:9" ht="15" customHeight="1" x14ac:dyDescent="0.35">
      <c r="B44" s="269" t="s">
        <v>630</v>
      </c>
      <c r="C44" s="269"/>
      <c r="D44" s="269"/>
      <c r="E44" s="73">
        <v>270</v>
      </c>
      <c r="F44" s="114"/>
      <c r="G44" s="114"/>
      <c r="H44" s="114"/>
      <c r="I44" s="114"/>
    </row>
    <row r="45" spans="2:9" ht="15" customHeight="1" x14ac:dyDescent="0.35">
      <c r="B45" s="269" t="s">
        <v>631</v>
      </c>
      <c r="C45" s="269"/>
      <c r="D45" s="269"/>
      <c r="E45" s="73">
        <v>280</v>
      </c>
      <c r="F45" s="114"/>
      <c r="G45" s="114"/>
      <c r="H45" s="114"/>
      <c r="I45" s="114"/>
    </row>
    <row r="46" spans="2:9" ht="15" customHeight="1" x14ac:dyDescent="0.35">
      <c r="B46" s="269" t="s">
        <v>632</v>
      </c>
      <c r="C46" s="269"/>
      <c r="D46" s="269"/>
      <c r="E46" s="73">
        <v>290</v>
      </c>
      <c r="F46" s="114"/>
      <c r="G46" s="114"/>
      <c r="H46" s="114"/>
      <c r="I46" s="114"/>
    </row>
    <row r="47" spans="2:9" ht="15" customHeight="1" x14ac:dyDescent="0.35">
      <c r="B47" s="269" t="s">
        <v>633</v>
      </c>
      <c r="C47" s="269"/>
      <c r="D47" s="269"/>
      <c r="E47" s="73">
        <v>300</v>
      </c>
      <c r="F47" s="130"/>
      <c r="G47" s="114"/>
      <c r="H47" s="130"/>
      <c r="I47" s="114"/>
    </row>
    <row r="48" spans="2:9" ht="15" customHeight="1" x14ac:dyDescent="0.35">
      <c r="B48" s="269" t="s">
        <v>634</v>
      </c>
      <c r="C48" s="269"/>
      <c r="D48" s="269"/>
      <c r="E48" s="73">
        <v>310</v>
      </c>
      <c r="F48" s="130"/>
      <c r="G48" s="114"/>
      <c r="H48" s="130"/>
      <c r="I48" s="114"/>
    </row>
    <row r="49" spans="2:9" ht="15" customHeight="1" x14ac:dyDescent="0.35">
      <c r="B49" s="269" t="s">
        <v>635</v>
      </c>
      <c r="C49" s="269"/>
      <c r="D49" s="269"/>
      <c r="E49" s="73">
        <v>320</v>
      </c>
      <c r="F49" s="114"/>
      <c r="G49" s="114"/>
      <c r="H49" s="114"/>
      <c r="I49" s="114"/>
    </row>
  </sheetData>
  <sheetProtection algorithmName="SHA-512" hashValue="dEix0nul8+yDnnPrDOM9Xr2hSR22NIl4zsL47tZnLy2qkvC1lPIkQocWJlgbJ0iQ+twQYcDYhvY8E9nGWjFFMw==" saltValue="2bAhT3pkf72xtvumAZyYmw==" spinCount="100000" sheet="1" objects="1" scenarios="1" formatCells="0"/>
  <protectedRanges>
    <protectedRange sqref="F9:I49" name="Диапазон1"/>
  </protectedRanges>
  <mergeCells count="50">
    <mergeCell ref="B49:D49"/>
    <mergeCell ref="B38:D38"/>
    <mergeCell ref="B39:D39"/>
    <mergeCell ref="B40:D40"/>
    <mergeCell ref="B41:D41"/>
    <mergeCell ref="B42:D42"/>
    <mergeCell ref="B43:D43"/>
    <mergeCell ref="B44:D44"/>
    <mergeCell ref="B45:D45"/>
    <mergeCell ref="B46:D46"/>
    <mergeCell ref="B47:D47"/>
    <mergeCell ref="B48:D48"/>
    <mergeCell ref="B37:D37"/>
    <mergeCell ref="B26:D26"/>
    <mergeCell ref="B27:D27"/>
    <mergeCell ref="B28:D28"/>
    <mergeCell ref="B29:D29"/>
    <mergeCell ref="B30:D30"/>
    <mergeCell ref="B31:D31"/>
    <mergeCell ref="B32:D32"/>
    <mergeCell ref="B33:D33"/>
    <mergeCell ref="B34:D34"/>
    <mergeCell ref="B35:D35"/>
    <mergeCell ref="B36:D36"/>
    <mergeCell ref="B25:D25"/>
    <mergeCell ref="B14:D14"/>
    <mergeCell ref="B15:D15"/>
    <mergeCell ref="B16:D16"/>
    <mergeCell ref="B17:D17"/>
    <mergeCell ref="B18:D18"/>
    <mergeCell ref="B19:D19"/>
    <mergeCell ref="B20:D20"/>
    <mergeCell ref="B21:D21"/>
    <mergeCell ref="B22:D22"/>
    <mergeCell ref="B23:D23"/>
    <mergeCell ref="B24:D24"/>
    <mergeCell ref="H7:I7"/>
    <mergeCell ref="B9:D9"/>
    <mergeCell ref="B10:D10"/>
    <mergeCell ref="B11:D11"/>
    <mergeCell ref="B12:D12"/>
    <mergeCell ref="B13:D13"/>
    <mergeCell ref="C1:G1"/>
    <mergeCell ref="C2:G2"/>
    <mergeCell ref="C3:G3"/>
    <mergeCell ref="C4:G4"/>
    <mergeCell ref="C5:G5"/>
    <mergeCell ref="B7:D8"/>
    <mergeCell ref="E7:E8"/>
    <mergeCell ref="F7:G7"/>
  </mergeCells>
  <hyperlinks>
    <hyperlink ref="H1" location="'Жадваллар рўйхати'!A1" display="Список таблиц" xr:uid="{BCD5C12C-5C15-458C-B4F6-2A2C02CE036B}"/>
  </hyperlinks>
  <pageMargins left="0.7" right="0.7" top="0.75" bottom="0.75" header="0.3" footer="0.3"/>
  <pageSetup paperSize="9" scale="48"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61E00-0987-4E0B-939C-70E81E320528}">
  <sheetPr codeName="Лист14">
    <tabColor theme="5" tint="0.79998168889431442"/>
  </sheetPr>
  <dimension ref="B1:G26"/>
  <sheetViews>
    <sheetView view="pageBreakPreview" zoomScale="60" zoomScaleNormal="100" workbookViewId="0">
      <selection activeCell="C4" sqref="C4:E4"/>
    </sheetView>
  </sheetViews>
  <sheetFormatPr defaultColWidth="9.1796875" defaultRowHeight="14.5" x14ac:dyDescent="0.35"/>
  <cols>
    <col min="1" max="1" width="9.1796875" style="29"/>
    <col min="2" max="2" width="14" style="129" bestFit="1" customWidth="1"/>
    <col min="3" max="3" width="17.54296875" style="129" customWidth="1"/>
    <col min="4" max="4" width="59.54296875" style="29" customWidth="1"/>
    <col min="5" max="5" width="12.7265625" style="29" customWidth="1"/>
    <col min="6" max="7" width="28.54296875" style="29" customWidth="1"/>
    <col min="8" max="16384" width="9.1796875" style="29"/>
  </cols>
  <sheetData>
    <row r="1" spans="2:7" s="85" customFormat="1" x14ac:dyDescent="0.35">
      <c r="B1" s="79" t="s">
        <v>150</v>
      </c>
      <c r="C1" s="272">
        <f>VLOOKUP($C$5,'Жадваллар рўйхати'!$A:$E,2,FALSE)</f>
        <v>1945</v>
      </c>
      <c r="D1" s="273"/>
      <c r="E1" s="273"/>
      <c r="F1" s="98" t="s">
        <v>151</v>
      </c>
      <c r="G1" s="131"/>
    </row>
    <row r="2" spans="2:7" s="85" customFormat="1" ht="15" customHeight="1" x14ac:dyDescent="0.35">
      <c r="B2" s="65" t="s">
        <v>126</v>
      </c>
      <c r="C2" s="272" t="str">
        <f>VLOOKUP($C$5,'Жадваллар рўйхати'!$A:$E,3,FALSE)</f>
        <v>Суғурталовчиларнинг молиявий ҳисобот шаклларини ва уларни тўлдириш бўйича қоидаларни тасдиқлаш тўғрисидаги Молия вазирлиги буйруғи</v>
      </c>
      <c r="D2" s="273"/>
      <c r="E2" s="273"/>
      <c r="F2" s="131"/>
      <c r="G2" s="131"/>
    </row>
    <row r="3" spans="2:7" x14ac:dyDescent="0.35">
      <c r="B3" s="80" t="s">
        <v>127</v>
      </c>
      <c r="C3" s="276">
        <f>VLOOKUP($C$5,'Жадваллар рўйхати'!$A:$E,4,FALSE)</f>
        <v>4</v>
      </c>
      <c r="D3" s="277"/>
      <c r="E3" s="277"/>
      <c r="F3" s="132"/>
      <c r="G3" s="132"/>
    </row>
    <row r="4" spans="2:7" ht="15" customHeight="1" x14ac:dyDescent="0.35">
      <c r="B4" s="69" t="s">
        <v>128</v>
      </c>
      <c r="C4" s="276" t="str">
        <f>VLOOKUP($C$5,'Жадваллар рўйхати'!$A:$E,5,FALSE)</f>
        <v>Бюджетга тўловлар тўғрисида маълумотнома</v>
      </c>
      <c r="D4" s="277"/>
      <c r="E4" s="277"/>
      <c r="F4" s="132"/>
      <c r="G4" s="132"/>
    </row>
    <row r="5" spans="2:7" x14ac:dyDescent="0.35">
      <c r="B5" s="80" t="s">
        <v>124</v>
      </c>
      <c r="C5" s="276" t="s">
        <v>636</v>
      </c>
      <c r="D5" s="277"/>
      <c r="E5" s="277"/>
      <c r="F5" s="132"/>
      <c r="G5" s="132"/>
    </row>
    <row r="7" spans="2:7" ht="71.25" customHeight="1" x14ac:dyDescent="0.35">
      <c r="B7" s="255" t="s">
        <v>431</v>
      </c>
      <c r="C7" s="255"/>
      <c r="D7" s="255"/>
      <c r="E7" s="72" t="s">
        <v>432</v>
      </c>
      <c r="F7" s="72" t="s">
        <v>637</v>
      </c>
      <c r="G7" s="72" t="s">
        <v>638</v>
      </c>
    </row>
    <row r="8" spans="2:7" ht="15" customHeight="1" x14ac:dyDescent="0.35">
      <c r="B8" s="269" t="s">
        <v>639</v>
      </c>
      <c r="C8" s="269"/>
      <c r="D8" s="269"/>
      <c r="E8" s="133">
        <v>330</v>
      </c>
      <c r="F8" s="114"/>
      <c r="G8" s="115"/>
    </row>
    <row r="9" spans="2:7" ht="15" customHeight="1" x14ac:dyDescent="0.35">
      <c r="B9" s="269" t="s">
        <v>640</v>
      </c>
      <c r="C9" s="269"/>
      <c r="D9" s="269"/>
      <c r="E9" s="73">
        <v>340</v>
      </c>
      <c r="F9" s="114"/>
      <c r="G9" s="115"/>
    </row>
    <row r="10" spans="2:7" ht="15" customHeight="1" x14ac:dyDescent="0.35">
      <c r="B10" s="269" t="s">
        <v>641</v>
      </c>
      <c r="C10" s="269"/>
      <c r="D10" s="269"/>
      <c r="E10" s="73">
        <v>341</v>
      </c>
      <c r="F10" s="114"/>
      <c r="G10" s="115"/>
    </row>
    <row r="11" spans="2:7" ht="15" customHeight="1" x14ac:dyDescent="0.35">
      <c r="B11" s="269" t="s">
        <v>642</v>
      </c>
      <c r="C11" s="269"/>
      <c r="D11" s="269"/>
      <c r="E11" s="73">
        <v>360</v>
      </c>
      <c r="F11" s="114"/>
      <c r="G11" s="115"/>
    </row>
    <row r="12" spans="2:7" ht="15" customHeight="1" x14ac:dyDescent="0.35">
      <c r="B12" s="269" t="s">
        <v>643</v>
      </c>
      <c r="C12" s="269"/>
      <c r="D12" s="269"/>
      <c r="E12" s="73">
        <v>370</v>
      </c>
      <c r="F12" s="114"/>
      <c r="G12" s="115"/>
    </row>
    <row r="13" spans="2:7" ht="15" customHeight="1" x14ac:dyDescent="0.35">
      <c r="B13" s="269" t="s">
        <v>644</v>
      </c>
      <c r="C13" s="269"/>
      <c r="D13" s="269"/>
      <c r="E13" s="73">
        <v>380</v>
      </c>
      <c r="F13" s="114"/>
      <c r="G13" s="115"/>
    </row>
    <row r="14" spans="2:7" ht="15" customHeight="1" x14ac:dyDescent="0.35">
      <c r="B14" s="269" t="s">
        <v>645</v>
      </c>
      <c r="C14" s="269"/>
      <c r="D14" s="269"/>
      <c r="E14" s="73">
        <v>390</v>
      </c>
      <c r="F14" s="114"/>
      <c r="G14" s="115"/>
    </row>
    <row r="15" spans="2:7" ht="15" customHeight="1" x14ac:dyDescent="0.35">
      <c r="B15" s="269" t="s">
        <v>646</v>
      </c>
      <c r="C15" s="269"/>
      <c r="D15" s="269"/>
      <c r="E15" s="73">
        <v>400</v>
      </c>
      <c r="F15" s="114"/>
      <c r="G15" s="115"/>
    </row>
    <row r="16" spans="2:7" ht="15" customHeight="1" x14ac:dyDescent="0.35">
      <c r="B16" s="269" t="s">
        <v>647</v>
      </c>
      <c r="C16" s="269"/>
      <c r="D16" s="269"/>
      <c r="E16" s="73">
        <v>410</v>
      </c>
      <c r="F16" s="114"/>
      <c r="G16" s="115"/>
    </row>
    <row r="17" spans="2:7" ht="15" customHeight="1" x14ac:dyDescent="0.35">
      <c r="B17" s="269" t="s">
        <v>648</v>
      </c>
      <c r="C17" s="269"/>
      <c r="D17" s="269"/>
      <c r="E17" s="73">
        <v>420</v>
      </c>
      <c r="F17" s="114"/>
      <c r="G17" s="115"/>
    </row>
    <row r="18" spans="2:7" ht="15" customHeight="1" x14ac:dyDescent="0.35">
      <c r="B18" s="269" t="s">
        <v>649</v>
      </c>
      <c r="C18" s="269"/>
      <c r="D18" s="269"/>
      <c r="E18" s="73">
        <v>430</v>
      </c>
      <c r="F18" s="114"/>
      <c r="G18" s="115"/>
    </row>
    <row r="19" spans="2:7" ht="15" customHeight="1" x14ac:dyDescent="0.35">
      <c r="B19" s="269" t="s">
        <v>650</v>
      </c>
      <c r="C19" s="269"/>
      <c r="D19" s="269"/>
      <c r="E19" s="73">
        <v>440</v>
      </c>
      <c r="F19" s="114"/>
      <c r="G19" s="115"/>
    </row>
    <row r="20" spans="2:7" ht="15" customHeight="1" x14ac:dyDescent="0.35">
      <c r="B20" s="269" t="s">
        <v>651</v>
      </c>
      <c r="C20" s="269"/>
      <c r="D20" s="269"/>
      <c r="E20" s="73">
        <v>450</v>
      </c>
      <c r="F20" s="114"/>
      <c r="G20" s="115"/>
    </row>
    <row r="21" spans="2:7" ht="15" customHeight="1" x14ac:dyDescent="0.35">
      <c r="B21" s="269" t="s">
        <v>652</v>
      </c>
      <c r="C21" s="269"/>
      <c r="D21" s="269"/>
      <c r="E21" s="73">
        <v>460</v>
      </c>
      <c r="F21" s="114"/>
      <c r="G21" s="115"/>
    </row>
    <row r="22" spans="2:7" ht="15" customHeight="1" x14ac:dyDescent="0.35">
      <c r="B22" s="269" t="s">
        <v>653</v>
      </c>
      <c r="C22" s="269"/>
      <c r="D22" s="269"/>
      <c r="E22" s="73">
        <v>490</v>
      </c>
      <c r="F22" s="114"/>
      <c r="G22" s="115"/>
    </row>
    <row r="23" spans="2:7" ht="15" customHeight="1" x14ac:dyDescent="0.35">
      <c r="B23" s="269" t="s">
        <v>654</v>
      </c>
      <c r="C23" s="269"/>
      <c r="D23" s="269"/>
      <c r="E23" s="73">
        <v>500</v>
      </c>
      <c r="F23" s="114"/>
      <c r="G23" s="115"/>
    </row>
    <row r="24" spans="2:7" ht="15" customHeight="1" x14ac:dyDescent="0.35">
      <c r="B24" s="269" t="s">
        <v>655</v>
      </c>
      <c r="C24" s="269"/>
      <c r="D24" s="269"/>
      <c r="E24" s="73">
        <v>510</v>
      </c>
      <c r="F24" s="114"/>
      <c r="G24" s="115"/>
    </row>
    <row r="25" spans="2:7" ht="15" customHeight="1" x14ac:dyDescent="0.35">
      <c r="B25" s="269" t="s">
        <v>656</v>
      </c>
      <c r="C25" s="269"/>
      <c r="D25" s="269"/>
      <c r="E25" s="73">
        <v>520</v>
      </c>
      <c r="F25" s="114"/>
      <c r="G25" s="115"/>
    </row>
    <row r="26" spans="2:7" ht="15" customHeight="1" x14ac:dyDescent="0.35">
      <c r="B26" s="278" t="s">
        <v>657</v>
      </c>
      <c r="C26" s="278"/>
      <c r="D26" s="278"/>
      <c r="E26" s="73">
        <v>530</v>
      </c>
      <c r="F26" s="114"/>
      <c r="G26" s="115"/>
    </row>
  </sheetData>
  <sheetProtection algorithmName="SHA-512" hashValue="aZ1WIaCHizxbK3rhlPVJ+jjxRXhc0SYvFewLjPV/lu/J4zxFq61zxRWaXNrfVZ5SevsAuz03Z/2+7bgyXzuO8Q==" saltValue="3m+BM7/gnBIHoyg1kbOC5Q==" spinCount="100000" sheet="1" objects="1" scenarios="1" formatCells="0"/>
  <protectedRanges>
    <protectedRange sqref="F8:G26" name="Диапазон1"/>
  </protectedRanges>
  <mergeCells count="25">
    <mergeCell ref="B26:D26"/>
    <mergeCell ref="B20:D20"/>
    <mergeCell ref="B21:D21"/>
    <mergeCell ref="B22:D22"/>
    <mergeCell ref="B23:D23"/>
    <mergeCell ref="B24:D24"/>
    <mergeCell ref="B25:D25"/>
    <mergeCell ref="B19:D19"/>
    <mergeCell ref="B8:D8"/>
    <mergeCell ref="B9:D9"/>
    <mergeCell ref="B10:D10"/>
    <mergeCell ref="B11:D11"/>
    <mergeCell ref="B12:D12"/>
    <mergeCell ref="B13:D13"/>
    <mergeCell ref="B14:D14"/>
    <mergeCell ref="B15:D15"/>
    <mergeCell ref="B16:D16"/>
    <mergeCell ref="B17:D17"/>
    <mergeCell ref="B18:D18"/>
    <mergeCell ref="B7:D7"/>
    <mergeCell ref="C1:E1"/>
    <mergeCell ref="C2:E2"/>
    <mergeCell ref="C3:E3"/>
    <mergeCell ref="C4:E4"/>
    <mergeCell ref="C5:E5"/>
  </mergeCells>
  <hyperlinks>
    <hyperlink ref="F1" location="'Жадваллар рўйхати'!A1" display="Список таблиц" xr:uid="{3F867E0B-DA0D-4DD0-9AC6-22B85383A635}"/>
  </hyperlinks>
  <pageMargins left="0.7" right="0.7" top="0.75" bottom="0.75" header="0.3" footer="0.3"/>
  <pageSetup paperSize="9" scale="51"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A80D9-D36F-4A99-B601-EE439FDF8F48}">
  <sheetPr codeName="Лист15">
    <tabColor theme="5" tint="0.79998168889431442"/>
  </sheetPr>
  <dimension ref="B1:G47"/>
  <sheetViews>
    <sheetView view="pageBreakPreview" zoomScale="60" zoomScaleNormal="100" workbookViewId="0">
      <selection activeCell="C5" sqref="C5:E5"/>
    </sheetView>
  </sheetViews>
  <sheetFormatPr defaultColWidth="9.1796875" defaultRowHeight="14.5" x14ac:dyDescent="0.35"/>
  <cols>
    <col min="1" max="1" width="9.1796875" style="29"/>
    <col min="2" max="2" width="14" style="129" bestFit="1" customWidth="1"/>
    <col min="3" max="3" width="17.54296875" style="129" customWidth="1"/>
    <col min="4" max="4" width="59.54296875" style="29" customWidth="1"/>
    <col min="5" max="5" width="14.26953125" style="29" customWidth="1"/>
    <col min="6" max="7" width="28.54296875" style="29" customWidth="1"/>
    <col min="8" max="16384" width="9.1796875" style="29"/>
  </cols>
  <sheetData>
    <row r="1" spans="2:7" s="85" customFormat="1" x14ac:dyDescent="0.35">
      <c r="B1" s="79" t="s">
        <v>150</v>
      </c>
      <c r="C1" s="272">
        <f>VLOOKUP($C$5,'Жадваллар рўйхати'!$A:$E,2,FALSE)</f>
        <v>1945</v>
      </c>
      <c r="D1" s="273"/>
      <c r="E1" s="273"/>
      <c r="F1" s="98" t="s">
        <v>151</v>
      </c>
      <c r="G1" s="131"/>
    </row>
    <row r="2" spans="2:7" s="85" customFormat="1" ht="34.5" customHeight="1" x14ac:dyDescent="0.35">
      <c r="B2" s="65" t="s">
        <v>126</v>
      </c>
      <c r="C2" s="272" t="str">
        <f>VLOOKUP($C$5,'Жадваллар рўйхати'!$A:$E,3,FALSE)</f>
        <v>Суғурталовчиларнинг молиявий ҳисобот шаклларини ва уларни тўлдириш бўйича қоидаларни тасдиқлаш тўғрисидаги Молия вазирлиги буйруғи</v>
      </c>
      <c r="D2" s="273"/>
      <c r="E2" s="273"/>
      <c r="F2" s="131"/>
      <c r="G2" s="131"/>
    </row>
    <row r="3" spans="2:7" x14ac:dyDescent="0.35">
      <c r="B3" s="80" t="s">
        <v>127</v>
      </c>
      <c r="C3" s="276">
        <f>VLOOKUP($C$5,'Жадваллар рўйхати'!$A:$E,4,FALSE)</f>
        <v>5</v>
      </c>
      <c r="D3" s="277"/>
      <c r="E3" s="277"/>
      <c r="F3" s="132"/>
      <c r="G3" s="132"/>
    </row>
    <row r="4" spans="2:7" ht="15" customHeight="1" x14ac:dyDescent="0.35">
      <c r="B4" s="69" t="s">
        <v>128</v>
      </c>
      <c r="C4" s="276" t="str">
        <f>VLOOKUP($C$5,'Жадваллар рўйхати'!$A:$E,5,FALSE)</f>
        <v>Пул оқимлари тўғрисидаги ҳисобот — 4-сонли шакл — суғурта</v>
      </c>
      <c r="D4" s="277"/>
      <c r="E4" s="277"/>
      <c r="F4" s="132"/>
      <c r="G4" s="132"/>
    </row>
    <row r="5" spans="2:7" x14ac:dyDescent="0.35">
      <c r="B5" s="80" t="s">
        <v>124</v>
      </c>
      <c r="C5" s="276" t="s">
        <v>658</v>
      </c>
      <c r="D5" s="277"/>
      <c r="E5" s="277"/>
      <c r="F5" s="132"/>
      <c r="G5" s="132"/>
    </row>
    <row r="7" spans="2:7" ht="22.5" customHeight="1" x14ac:dyDescent="0.35">
      <c r="B7" s="255" t="s">
        <v>431</v>
      </c>
      <c r="C7" s="255"/>
      <c r="D7" s="255"/>
      <c r="E7" s="72" t="s">
        <v>432</v>
      </c>
      <c r="F7" s="72" t="s">
        <v>659</v>
      </c>
      <c r="G7" s="81" t="s">
        <v>660</v>
      </c>
    </row>
    <row r="8" spans="2:7" ht="15" customHeight="1" x14ac:dyDescent="0.35">
      <c r="B8" s="268" t="s">
        <v>661</v>
      </c>
      <c r="C8" s="268"/>
      <c r="D8" s="268"/>
      <c r="E8" s="124"/>
      <c r="F8" s="114"/>
      <c r="G8" s="115"/>
    </row>
    <row r="9" spans="2:7" ht="30" customHeight="1" x14ac:dyDescent="0.35">
      <c r="B9" s="269" t="s">
        <v>662</v>
      </c>
      <c r="C9" s="269"/>
      <c r="D9" s="269"/>
      <c r="E9" s="73">
        <v>10</v>
      </c>
      <c r="F9" s="114"/>
      <c r="G9" s="130"/>
    </row>
    <row r="10" spans="2:7" ht="30" customHeight="1" x14ac:dyDescent="0.35">
      <c r="B10" s="269" t="s">
        <v>663</v>
      </c>
      <c r="C10" s="269"/>
      <c r="D10" s="269"/>
      <c r="E10" s="73">
        <v>20</v>
      </c>
      <c r="F10" s="114"/>
      <c r="G10" s="130"/>
    </row>
    <row r="11" spans="2:7" ht="30" customHeight="1" x14ac:dyDescent="0.35">
      <c r="B11" s="269" t="s">
        <v>664</v>
      </c>
      <c r="C11" s="269"/>
      <c r="D11" s="269"/>
      <c r="E11" s="73">
        <v>30</v>
      </c>
      <c r="F11" s="114"/>
      <c r="G11" s="130"/>
    </row>
    <row r="12" spans="2:7" ht="30" customHeight="1" x14ac:dyDescent="0.35">
      <c r="B12" s="269" t="s">
        <v>665</v>
      </c>
      <c r="C12" s="269"/>
      <c r="D12" s="269"/>
      <c r="E12" s="73">
        <v>40</v>
      </c>
      <c r="F12" s="114"/>
      <c r="G12" s="130"/>
    </row>
    <row r="13" spans="2:7" ht="30" customHeight="1" x14ac:dyDescent="0.35">
      <c r="B13" s="269" t="s">
        <v>666</v>
      </c>
      <c r="C13" s="269"/>
      <c r="D13" s="269"/>
      <c r="E13" s="73">
        <v>50</v>
      </c>
      <c r="F13" s="114"/>
      <c r="G13" s="130"/>
    </row>
    <row r="14" spans="2:7" ht="30" customHeight="1" x14ac:dyDescent="0.35">
      <c r="B14" s="269" t="s">
        <v>667</v>
      </c>
      <c r="C14" s="269"/>
      <c r="D14" s="269"/>
      <c r="E14" s="73">
        <v>60</v>
      </c>
      <c r="F14" s="114"/>
      <c r="G14" s="130"/>
    </row>
    <row r="15" spans="2:7" ht="30" customHeight="1" x14ac:dyDescent="0.35">
      <c r="B15" s="269" t="s">
        <v>668</v>
      </c>
      <c r="C15" s="269"/>
      <c r="D15" s="269"/>
      <c r="E15" s="73">
        <v>70</v>
      </c>
      <c r="F15" s="130"/>
      <c r="G15" s="115"/>
    </row>
    <row r="16" spans="2:7" ht="30" customHeight="1" x14ac:dyDescent="0.35">
      <c r="B16" s="269" t="s">
        <v>669</v>
      </c>
      <c r="C16" s="269"/>
      <c r="D16" s="269"/>
      <c r="E16" s="73">
        <v>80</v>
      </c>
      <c r="F16" s="130"/>
      <c r="G16" s="115"/>
    </row>
    <row r="17" spans="2:7" ht="30" customHeight="1" x14ac:dyDescent="0.35">
      <c r="B17" s="269" t="s">
        <v>670</v>
      </c>
      <c r="C17" s="269"/>
      <c r="D17" s="269"/>
      <c r="E17" s="73">
        <v>90</v>
      </c>
      <c r="F17" s="130"/>
      <c r="G17" s="115"/>
    </row>
    <row r="18" spans="2:7" ht="30" customHeight="1" x14ac:dyDescent="0.35">
      <c r="B18" s="269" t="s">
        <v>671</v>
      </c>
      <c r="C18" s="269"/>
      <c r="D18" s="269"/>
      <c r="E18" s="73">
        <v>100</v>
      </c>
      <c r="F18" s="130"/>
      <c r="G18" s="115"/>
    </row>
    <row r="19" spans="2:7" ht="30" customHeight="1" x14ac:dyDescent="0.35">
      <c r="B19" s="269" t="s">
        <v>672</v>
      </c>
      <c r="C19" s="269"/>
      <c r="D19" s="269"/>
      <c r="E19" s="73">
        <v>110</v>
      </c>
      <c r="F19" s="130"/>
      <c r="G19" s="115"/>
    </row>
    <row r="20" spans="2:7" ht="30" customHeight="1" x14ac:dyDescent="0.35">
      <c r="B20" s="269" t="s">
        <v>673</v>
      </c>
      <c r="C20" s="269"/>
      <c r="D20" s="269"/>
      <c r="E20" s="73">
        <v>120</v>
      </c>
      <c r="F20" s="130"/>
      <c r="G20" s="115"/>
    </row>
    <row r="21" spans="2:7" ht="15" customHeight="1" x14ac:dyDescent="0.35">
      <c r="B21" s="269" t="s">
        <v>674</v>
      </c>
      <c r="C21" s="269"/>
      <c r="D21" s="269"/>
      <c r="E21" s="73">
        <v>130</v>
      </c>
      <c r="F21" s="130"/>
      <c r="G21" s="115"/>
    </row>
    <row r="22" spans="2:7" ht="15" customHeight="1" x14ac:dyDescent="0.35">
      <c r="B22" s="269" t="s">
        <v>675</v>
      </c>
      <c r="C22" s="269"/>
      <c r="D22" s="269"/>
      <c r="E22" s="73">
        <v>140</v>
      </c>
      <c r="F22" s="130"/>
      <c r="G22" s="115"/>
    </row>
    <row r="23" spans="2:7" ht="15" customHeight="1" x14ac:dyDescent="0.35">
      <c r="B23" s="269" t="s">
        <v>676</v>
      </c>
      <c r="C23" s="269"/>
      <c r="D23" s="269"/>
      <c r="E23" s="73">
        <v>150</v>
      </c>
      <c r="F23" s="114"/>
      <c r="G23" s="115"/>
    </row>
    <row r="24" spans="2:7" ht="15" customHeight="1" x14ac:dyDescent="0.35">
      <c r="B24" s="269" t="s">
        <v>677</v>
      </c>
      <c r="C24" s="269"/>
      <c r="D24" s="269"/>
      <c r="E24" s="73">
        <v>160</v>
      </c>
      <c r="F24" s="114"/>
      <c r="G24" s="115"/>
    </row>
    <row r="25" spans="2:7" ht="15" customHeight="1" x14ac:dyDescent="0.35">
      <c r="B25" s="268" t="s">
        <v>678</v>
      </c>
      <c r="C25" s="268"/>
      <c r="D25" s="268"/>
      <c r="E25" s="124"/>
      <c r="F25" s="114"/>
      <c r="G25" s="115"/>
    </row>
    <row r="26" spans="2:7" ht="15" customHeight="1" x14ac:dyDescent="0.35">
      <c r="B26" s="269" t="s">
        <v>679</v>
      </c>
      <c r="C26" s="269"/>
      <c r="D26" s="269"/>
      <c r="E26" s="73">
        <v>170</v>
      </c>
      <c r="F26" s="114"/>
      <c r="G26" s="115"/>
    </row>
    <row r="27" spans="2:7" ht="15" customHeight="1" x14ac:dyDescent="0.35">
      <c r="B27" s="269" t="s">
        <v>680</v>
      </c>
      <c r="C27" s="269"/>
      <c r="D27" s="269"/>
      <c r="E27" s="73">
        <v>180</v>
      </c>
      <c r="F27" s="114"/>
      <c r="G27" s="115"/>
    </row>
    <row r="28" spans="2:7" ht="15" customHeight="1" x14ac:dyDescent="0.35">
      <c r="B28" s="269" t="s">
        <v>681</v>
      </c>
      <c r="C28" s="269"/>
      <c r="D28" s="269"/>
      <c r="E28" s="73">
        <v>190</v>
      </c>
      <c r="F28" s="114"/>
      <c r="G28" s="115"/>
    </row>
    <row r="29" spans="2:7" ht="15" customHeight="1" x14ac:dyDescent="0.35">
      <c r="B29" s="269" t="s">
        <v>682</v>
      </c>
      <c r="C29" s="269"/>
      <c r="D29" s="269"/>
      <c r="E29" s="73">
        <v>200</v>
      </c>
      <c r="F29" s="114"/>
      <c r="G29" s="115"/>
    </row>
    <row r="30" spans="2:7" ht="15" customHeight="1" x14ac:dyDescent="0.35">
      <c r="B30" s="269" t="s">
        <v>683</v>
      </c>
      <c r="C30" s="269"/>
      <c r="D30" s="269"/>
      <c r="E30" s="73">
        <v>210</v>
      </c>
      <c r="F30" s="114"/>
      <c r="G30" s="115"/>
    </row>
    <row r="31" spans="2:7" ht="15" customHeight="1" x14ac:dyDescent="0.35">
      <c r="B31" s="268" t="s">
        <v>684</v>
      </c>
      <c r="C31" s="268"/>
      <c r="D31" s="268"/>
      <c r="E31" s="124"/>
      <c r="F31" s="114"/>
      <c r="G31" s="115"/>
    </row>
    <row r="32" spans="2:7" ht="15" customHeight="1" x14ac:dyDescent="0.35">
      <c r="B32" s="269" t="s">
        <v>685</v>
      </c>
      <c r="C32" s="269"/>
      <c r="D32" s="269"/>
      <c r="E32" s="73">
        <v>220</v>
      </c>
      <c r="F32" s="114"/>
      <c r="G32" s="115"/>
    </row>
    <row r="33" spans="2:7" ht="15" customHeight="1" x14ac:dyDescent="0.35">
      <c r="B33" s="269" t="s">
        <v>686</v>
      </c>
      <c r="C33" s="269"/>
      <c r="D33" s="269"/>
      <c r="E33" s="73">
        <v>230</v>
      </c>
      <c r="F33" s="114"/>
      <c r="G33" s="115"/>
    </row>
    <row r="34" spans="2:7" ht="30" customHeight="1" x14ac:dyDescent="0.35">
      <c r="B34" s="269" t="s">
        <v>687</v>
      </c>
      <c r="C34" s="269"/>
      <c r="D34" s="269"/>
      <c r="E34" s="73">
        <v>240</v>
      </c>
      <c r="F34" s="114"/>
      <c r="G34" s="115"/>
    </row>
    <row r="35" spans="2:7" ht="15" customHeight="1" x14ac:dyDescent="0.35">
      <c r="B35" s="269" t="s">
        <v>688</v>
      </c>
      <c r="C35" s="269"/>
      <c r="D35" s="269"/>
      <c r="E35" s="73">
        <v>250</v>
      </c>
      <c r="F35" s="114"/>
      <c r="G35" s="115"/>
    </row>
    <row r="36" spans="2:7" ht="15" customHeight="1" x14ac:dyDescent="0.35">
      <c r="B36" s="269" t="s">
        <v>689</v>
      </c>
      <c r="C36" s="269"/>
      <c r="D36" s="269"/>
      <c r="E36" s="73">
        <v>260</v>
      </c>
      <c r="F36" s="114"/>
      <c r="G36" s="115"/>
    </row>
    <row r="37" spans="2:7" ht="15" customHeight="1" x14ac:dyDescent="0.35">
      <c r="B37" s="269" t="s">
        <v>690</v>
      </c>
      <c r="C37" s="269"/>
      <c r="D37" s="269"/>
      <c r="E37" s="73">
        <v>270</v>
      </c>
      <c r="F37" s="114"/>
      <c r="G37" s="115"/>
    </row>
    <row r="38" spans="2:7" ht="15" customHeight="1" x14ac:dyDescent="0.35">
      <c r="B38" s="269" t="s">
        <v>691</v>
      </c>
      <c r="C38" s="269"/>
      <c r="D38" s="269"/>
      <c r="E38" s="73">
        <v>280</v>
      </c>
      <c r="F38" s="114"/>
      <c r="G38" s="115"/>
    </row>
    <row r="39" spans="2:7" ht="30" customHeight="1" x14ac:dyDescent="0.35">
      <c r="B39" s="269" t="s">
        <v>692</v>
      </c>
      <c r="C39" s="269"/>
      <c r="D39" s="269"/>
      <c r="E39" s="73">
        <v>290</v>
      </c>
      <c r="F39" s="114"/>
      <c r="G39" s="115"/>
    </row>
    <row r="40" spans="2:7" ht="15" customHeight="1" x14ac:dyDescent="0.35">
      <c r="B40" s="268" t="s">
        <v>693</v>
      </c>
      <c r="C40" s="268"/>
      <c r="D40" s="268"/>
      <c r="E40" s="124"/>
      <c r="F40" s="114"/>
      <c r="G40" s="115"/>
    </row>
    <row r="41" spans="2:7" ht="15" customHeight="1" x14ac:dyDescent="0.35">
      <c r="B41" s="269" t="s">
        <v>694</v>
      </c>
      <c r="C41" s="269"/>
      <c r="D41" s="269"/>
      <c r="E41" s="133">
        <v>300</v>
      </c>
      <c r="F41" s="134"/>
      <c r="G41" s="115"/>
    </row>
    <row r="42" spans="2:7" ht="15" customHeight="1" x14ac:dyDescent="0.35">
      <c r="B42" s="269" t="s">
        <v>695</v>
      </c>
      <c r="C42" s="269"/>
      <c r="D42" s="269"/>
      <c r="E42" s="133">
        <v>310</v>
      </c>
      <c r="F42" s="134"/>
      <c r="G42" s="115"/>
    </row>
    <row r="43" spans="2:7" ht="15" customHeight="1" x14ac:dyDescent="0.35">
      <c r="B43" s="269" t="s">
        <v>696</v>
      </c>
      <c r="C43" s="269"/>
      <c r="D43" s="269"/>
      <c r="E43" s="133">
        <v>320</v>
      </c>
      <c r="F43" s="134"/>
      <c r="G43" s="115"/>
    </row>
    <row r="44" spans="2:7" ht="30" customHeight="1" x14ac:dyDescent="0.35">
      <c r="B44" s="269" t="s">
        <v>697</v>
      </c>
      <c r="C44" s="269"/>
      <c r="D44" s="269"/>
      <c r="E44" s="133">
        <v>330</v>
      </c>
      <c r="F44" s="135"/>
      <c r="G44" s="115"/>
    </row>
    <row r="45" spans="2:7" ht="30" customHeight="1" x14ac:dyDescent="0.35">
      <c r="B45" s="269" t="s">
        <v>698</v>
      </c>
      <c r="C45" s="269"/>
      <c r="D45" s="269"/>
      <c r="E45" s="133">
        <v>331</v>
      </c>
      <c r="F45" s="135"/>
      <c r="G45" s="115"/>
    </row>
    <row r="46" spans="2:7" ht="15" customHeight="1" x14ac:dyDescent="0.35">
      <c r="B46" s="269" t="s">
        <v>699</v>
      </c>
      <c r="C46" s="269"/>
      <c r="D46" s="269"/>
      <c r="E46" s="73">
        <v>340</v>
      </c>
      <c r="F46" s="114"/>
      <c r="G46" s="115"/>
    </row>
    <row r="47" spans="2:7" ht="15" customHeight="1" x14ac:dyDescent="0.35">
      <c r="B47" s="269" t="s">
        <v>700</v>
      </c>
      <c r="C47" s="269"/>
      <c r="D47" s="269"/>
      <c r="E47" s="73">
        <v>350</v>
      </c>
      <c r="F47" s="114"/>
      <c r="G47" s="115"/>
    </row>
  </sheetData>
  <sheetProtection algorithmName="SHA-512" hashValue="vxFNrz3Q2mXZTsDf8zSlzxR2sM+knNzhZjdeHxBCV1mOcfuWUcAERqHuFrFM1zGFhYfkZlIY0gEyVcCl8I2WMQ==" saltValue="pW9QnNLn7+1JJqAyKq5m/w==" spinCount="100000" sheet="1" objects="1" scenarios="1" formatCells="0"/>
  <protectedRanges>
    <protectedRange sqref="F8:G47" name="Диапазон1"/>
  </protectedRanges>
  <mergeCells count="46">
    <mergeCell ref="B44:D44"/>
    <mergeCell ref="B45:D45"/>
    <mergeCell ref="B46:D46"/>
    <mergeCell ref="B47:D47"/>
    <mergeCell ref="B38:D38"/>
    <mergeCell ref="B39:D39"/>
    <mergeCell ref="B40:D40"/>
    <mergeCell ref="B41:D41"/>
    <mergeCell ref="B42:D42"/>
    <mergeCell ref="B43:D43"/>
    <mergeCell ref="B37:D37"/>
    <mergeCell ref="B26:D26"/>
    <mergeCell ref="B27:D27"/>
    <mergeCell ref="B28:D28"/>
    <mergeCell ref="B29:D29"/>
    <mergeCell ref="B30:D30"/>
    <mergeCell ref="B31:D31"/>
    <mergeCell ref="B32:D32"/>
    <mergeCell ref="B33:D33"/>
    <mergeCell ref="B34:D34"/>
    <mergeCell ref="B35:D35"/>
    <mergeCell ref="B36:D36"/>
    <mergeCell ref="B25:D25"/>
    <mergeCell ref="B14:D14"/>
    <mergeCell ref="B15:D15"/>
    <mergeCell ref="B16:D16"/>
    <mergeCell ref="B17:D17"/>
    <mergeCell ref="B18:D18"/>
    <mergeCell ref="B19:D19"/>
    <mergeCell ref="B20:D20"/>
    <mergeCell ref="B21:D21"/>
    <mergeCell ref="B22:D22"/>
    <mergeCell ref="B23:D23"/>
    <mergeCell ref="B24:D24"/>
    <mergeCell ref="B13:D13"/>
    <mergeCell ref="C1:E1"/>
    <mergeCell ref="C2:E2"/>
    <mergeCell ref="C3:E3"/>
    <mergeCell ref="C4:E4"/>
    <mergeCell ref="C5:E5"/>
    <mergeCell ref="B7:D7"/>
    <mergeCell ref="B8:D8"/>
    <mergeCell ref="B9:D9"/>
    <mergeCell ref="B10:D10"/>
    <mergeCell ref="B11:D11"/>
    <mergeCell ref="B12:D12"/>
  </mergeCells>
  <hyperlinks>
    <hyperlink ref="F1" location="'Жадваллар рўйхати'!A1" display="Список таблиц" xr:uid="{B324968D-DB69-4B0C-AD54-2F5B9C245AF3}"/>
  </hyperlinks>
  <pageMargins left="0.7" right="0.7" top="0.75" bottom="0.75" header="0.3" footer="0.3"/>
  <pageSetup paperSize="9" scale="50"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D7D64-2EAC-480C-9ABE-E70513BC4F02}">
  <sheetPr codeName="Лист16">
    <tabColor theme="5" tint="0.79998168889431442"/>
  </sheetPr>
  <dimension ref="B1:F19"/>
  <sheetViews>
    <sheetView view="pageBreakPreview" zoomScale="60" zoomScaleNormal="100" workbookViewId="0">
      <selection activeCell="C6" sqref="C6"/>
    </sheetView>
  </sheetViews>
  <sheetFormatPr defaultColWidth="9.1796875" defaultRowHeight="14.5" x14ac:dyDescent="0.35"/>
  <cols>
    <col min="1" max="1" width="9.26953125" style="29" customWidth="1"/>
    <col min="2" max="2" width="14" style="129" bestFit="1" customWidth="1"/>
    <col min="3" max="3" width="17.54296875" style="129" customWidth="1"/>
    <col min="4" max="4" width="59.453125" style="129" customWidth="1"/>
    <col min="5" max="5" width="12.54296875" style="29" customWidth="1"/>
    <col min="6" max="6" width="25.7265625" style="29" customWidth="1"/>
    <col min="7" max="16384" width="9.1796875" style="29"/>
  </cols>
  <sheetData>
    <row r="1" spans="2:6" s="85" customFormat="1" x14ac:dyDescent="0.35">
      <c r="B1" s="79" t="s">
        <v>150</v>
      </c>
      <c r="C1" s="272">
        <f>VLOOKUP($C$5,'Жадваллар рўйхати'!$A:$E,2,FALSE)</f>
        <v>1945</v>
      </c>
      <c r="D1" s="273"/>
      <c r="E1" s="273"/>
      <c r="F1" s="98" t="s">
        <v>151</v>
      </c>
    </row>
    <row r="2" spans="2:6" s="85" customFormat="1" ht="34.5" customHeight="1" x14ac:dyDescent="0.35">
      <c r="B2" s="65" t="s">
        <v>126</v>
      </c>
      <c r="C2" s="272" t="str">
        <f>VLOOKUP($C$5,'Жадваллар рўйхати'!$A:$E,3,FALSE)</f>
        <v>Суғурталовчиларнинг молиявий ҳисобот шаклларини ва уларни тўлдириш бўйича қоидаларни тасдиқлаш тўғрисидаги Молия вазирлиги буйруғи</v>
      </c>
      <c r="D2" s="273"/>
      <c r="E2" s="273"/>
      <c r="F2" s="131"/>
    </row>
    <row r="3" spans="2:6" x14ac:dyDescent="0.35">
      <c r="B3" s="80" t="s">
        <v>127</v>
      </c>
      <c r="C3" s="276">
        <f>VLOOKUP($C$5,'Жадваллар рўйхати'!$A:$E,4,FALSE)</f>
        <v>6</v>
      </c>
      <c r="D3" s="277"/>
      <c r="E3" s="277"/>
      <c r="F3" s="132"/>
    </row>
    <row r="4" spans="2:6" ht="15" customHeight="1" x14ac:dyDescent="0.35">
      <c r="B4" s="69" t="s">
        <v>128</v>
      </c>
      <c r="C4" s="276" t="str">
        <f>VLOOKUP($C$5,'Жадваллар рўйхати'!$A:$E,5,FALSE)</f>
        <v>Чет эл валютасидаги пул маблағларининг ҳаракати тўғрисида маълумотнома</v>
      </c>
      <c r="D4" s="277"/>
      <c r="E4" s="277"/>
      <c r="F4" s="132"/>
    </row>
    <row r="5" spans="2:6" x14ac:dyDescent="0.35">
      <c r="B5" s="80" t="s">
        <v>124</v>
      </c>
      <c r="C5" s="276" t="s">
        <v>701</v>
      </c>
      <c r="D5" s="277"/>
      <c r="E5" s="277"/>
      <c r="F5" s="132"/>
    </row>
    <row r="7" spans="2:6" ht="15" x14ac:dyDescent="0.35">
      <c r="B7" s="255" t="s">
        <v>431</v>
      </c>
      <c r="C7" s="255"/>
      <c r="D7" s="255"/>
      <c r="E7" s="72" t="s">
        <v>432</v>
      </c>
      <c r="F7" s="72" t="s">
        <v>702</v>
      </c>
    </row>
    <row r="8" spans="2:6" ht="15" customHeight="1" x14ac:dyDescent="0.35">
      <c r="B8" s="269" t="s">
        <v>703</v>
      </c>
      <c r="C8" s="269"/>
      <c r="D8" s="269"/>
      <c r="E8" s="73">
        <v>360</v>
      </c>
      <c r="F8" s="114"/>
    </row>
    <row r="9" spans="2:6" ht="15" customHeight="1" x14ac:dyDescent="0.35">
      <c r="B9" s="269" t="s">
        <v>704</v>
      </c>
      <c r="C9" s="269"/>
      <c r="D9" s="269"/>
      <c r="E9" s="73">
        <v>370</v>
      </c>
      <c r="F9" s="114"/>
    </row>
    <row r="10" spans="2:6" ht="15" customHeight="1" x14ac:dyDescent="0.35">
      <c r="B10" s="269" t="s">
        <v>705</v>
      </c>
      <c r="C10" s="269"/>
      <c r="D10" s="269"/>
      <c r="E10" s="73">
        <v>371</v>
      </c>
      <c r="F10" s="114"/>
    </row>
    <row r="11" spans="2:6" ht="15" customHeight="1" x14ac:dyDescent="0.35">
      <c r="B11" s="269" t="s">
        <v>706</v>
      </c>
      <c r="C11" s="269"/>
      <c r="D11" s="269"/>
      <c r="E11" s="73">
        <v>372</v>
      </c>
      <c r="F11" s="114"/>
    </row>
    <row r="12" spans="2:6" ht="15" customHeight="1" x14ac:dyDescent="0.35">
      <c r="B12" s="269" t="s">
        <v>707</v>
      </c>
      <c r="C12" s="269"/>
      <c r="D12" s="269"/>
      <c r="E12" s="73">
        <v>373</v>
      </c>
      <c r="F12" s="114"/>
    </row>
    <row r="13" spans="2:6" ht="15" customHeight="1" x14ac:dyDescent="0.35">
      <c r="B13" s="269" t="s">
        <v>708</v>
      </c>
      <c r="C13" s="269"/>
      <c r="D13" s="269"/>
      <c r="E13" s="73">
        <v>374</v>
      </c>
      <c r="F13" s="114"/>
    </row>
    <row r="14" spans="2:6" ht="15" customHeight="1" x14ac:dyDescent="0.35">
      <c r="B14" s="269" t="s">
        <v>709</v>
      </c>
      <c r="C14" s="269"/>
      <c r="D14" s="269"/>
      <c r="E14" s="73">
        <v>380</v>
      </c>
      <c r="F14" s="114"/>
    </row>
    <row r="15" spans="2:6" ht="15" customHeight="1" x14ac:dyDescent="0.35">
      <c r="B15" s="269" t="s">
        <v>710</v>
      </c>
      <c r="C15" s="269"/>
      <c r="D15" s="269"/>
      <c r="E15" s="73">
        <v>381</v>
      </c>
      <c r="F15" s="114"/>
    </row>
    <row r="16" spans="2:6" ht="15" customHeight="1" x14ac:dyDescent="0.35">
      <c r="B16" s="269" t="s">
        <v>711</v>
      </c>
      <c r="C16" s="269"/>
      <c r="D16" s="269"/>
      <c r="E16" s="73">
        <v>382</v>
      </c>
      <c r="F16" s="114"/>
    </row>
    <row r="17" spans="2:6" ht="15" customHeight="1" x14ac:dyDescent="0.35">
      <c r="B17" s="269" t="s">
        <v>712</v>
      </c>
      <c r="C17" s="269"/>
      <c r="D17" s="269"/>
      <c r="E17" s="73">
        <v>383</v>
      </c>
      <c r="F17" s="114"/>
    </row>
    <row r="18" spans="2:6" ht="30" customHeight="1" x14ac:dyDescent="0.35">
      <c r="B18" s="269" t="s">
        <v>713</v>
      </c>
      <c r="C18" s="269"/>
      <c r="D18" s="269"/>
      <c r="E18" s="73">
        <v>390</v>
      </c>
      <c r="F18" s="114"/>
    </row>
    <row r="19" spans="2:6" ht="15" customHeight="1" x14ac:dyDescent="0.35">
      <c r="B19" s="269" t="s">
        <v>714</v>
      </c>
      <c r="C19" s="269"/>
      <c r="D19" s="269"/>
      <c r="E19" s="73">
        <v>400</v>
      </c>
      <c r="F19" s="114"/>
    </row>
  </sheetData>
  <sheetProtection algorithmName="SHA-512" hashValue="UxOk+QwyZxrG4kt8pP7xjP/2I0YOEjEDZHtnI5zRMDz4x5TSyrkVnhfUN5126YYjQGsBsCKEYC5MzUK5gamOSw==" saltValue="aGbIWBkiweYdcARNieGRBQ==" spinCount="100000" sheet="1" objects="1" scenarios="1"/>
  <protectedRanges>
    <protectedRange sqref="F8:F19" name="Диапазон1"/>
  </protectedRanges>
  <mergeCells count="18">
    <mergeCell ref="B19:D19"/>
    <mergeCell ref="B8:D8"/>
    <mergeCell ref="B9:D9"/>
    <mergeCell ref="B10:D10"/>
    <mergeCell ref="B11:D11"/>
    <mergeCell ref="B12:D12"/>
    <mergeCell ref="B13:D13"/>
    <mergeCell ref="B14:D14"/>
    <mergeCell ref="B15:D15"/>
    <mergeCell ref="B16:D16"/>
    <mergeCell ref="B17:D17"/>
    <mergeCell ref="B18:D18"/>
    <mergeCell ref="B7:D7"/>
    <mergeCell ref="C1:E1"/>
    <mergeCell ref="C2:E2"/>
    <mergeCell ref="C3:E3"/>
    <mergeCell ref="C4:E4"/>
    <mergeCell ref="C5:E5"/>
  </mergeCells>
  <hyperlinks>
    <hyperlink ref="F1" location="'Жадваллар рўйхати'!A1" display="Список таблиц" xr:uid="{398E222F-FC0F-4499-BBA0-7F1110D874C1}"/>
  </hyperlinks>
  <pageMargins left="0.7" right="0.7" top="0.75" bottom="0.75" header="0.3" footer="0.3"/>
  <pageSetup paperSize="9" scale="63"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BA6F3-6FD7-4137-A39A-C2A03A80DFA7}">
  <sheetPr codeName="Лист17">
    <tabColor theme="5" tint="0.79998168889431442"/>
  </sheetPr>
  <dimension ref="B1:L29"/>
  <sheetViews>
    <sheetView view="pageBreakPreview" zoomScale="60" zoomScaleNormal="100" workbookViewId="0">
      <selection activeCell="D49" sqref="D49"/>
    </sheetView>
  </sheetViews>
  <sheetFormatPr defaultColWidth="9.1796875" defaultRowHeight="14.5" x14ac:dyDescent="0.35"/>
  <cols>
    <col min="1" max="1" width="9.1796875" style="29"/>
    <col min="2" max="2" width="14" style="129" bestFit="1" customWidth="1"/>
    <col min="3" max="3" width="17.54296875" style="129" customWidth="1"/>
    <col min="4" max="4" width="31.54296875" style="29" customWidth="1"/>
    <col min="5" max="5" width="12.7265625" style="29" customWidth="1"/>
    <col min="6" max="12" width="17.1796875" style="29" customWidth="1"/>
    <col min="13" max="16384" width="9.1796875" style="29"/>
  </cols>
  <sheetData>
    <row r="1" spans="2:12" s="85" customFormat="1" x14ac:dyDescent="0.35">
      <c r="B1" s="79" t="s">
        <v>150</v>
      </c>
      <c r="C1" s="272">
        <f>VLOOKUP($C$5,'Жадваллар рўйхати'!$A:$E,2,FALSE)</f>
        <v>1945</v>
      </c>
      <c r="D1" s="273"/>
      <c r="E1" s="273"/>
      <c r="F1" s="273"/>
      <c r="G1" s="273"/>
      <c r="H1" s="120" t="s">
        <v>151</v>
      </c>
    </row>
    <row r="2" spans="2:12" s="85" customFormat="1" ht="37.5" customHeight="1" x14ac:dyDescent="0.35">
      <c r="B2" s="65" t="s">
        <v>126</v>
      </c>
      <c r="C2" s="285" t="str">
        <f>VLOOKUP($C$5,'Жадваллар рўйхати'!$A:$E,3,FALSE)</f>
        <v>Суғурталовчиларнинг молиявий ҳисобот шаклларини ва уларни тўлдириш бўйича қоидаларни тасдиқлаш тўғрисидаги Молия вазирлиги буйруғи</v>
      </c>
      <c r="D2" s="286"/>
      <c r="E2" s="286"/>
      <c r="F2" s="286"/>
      <c r="G2" s="286"/>
    </row>
    <row r="3" spans="2:12" x14ac:dyDescent="0.35">
      <c r="B3" s="80" t="s">
        <v>127</v>
      </c>
      <c r="C3" s="276">
        <f>VLOOKUP($C$5,'Жадваллар рўйхати'!$A:$E,4,FALSE)</f>
        <v>7</v>
      </c>
      <c r="D3" s="277"/>
      <c r="E3" s="277"/>
      <c r="F3" s="277"/>
      <c r="G3" s="277"/>
    </row>
    <row r="4" spans="2:12" ht="15" customHeight="1" x14ac:dyDescent="0.35">
      <c r="B4" s="69" t="s">
        <v>128</v>
      </c>
      <c r="C4" s="276" t="str">
        <f>VLOOKUP($C$5,'Жадваллар рўйхати'!$A:$E,5,FALSE)</f>
        <v>Хусусий капитал тўғрисидаги ҳисобот — 5-сонли шакл — суғурта</v>
      </c>
      <c r="D4" s="277"/>
      <c r="E4" s="277"/>
      <c r="F4" s="277"/>
      <c r="G4" s="277"/>
    </row>
    <row r="5" spans="2:12" x14ac:dyDescent="0.35">
      <c r="B5" s="80" t="s">
        <v>124</v>
      </c>
      <c r="C5" s="287" t="s">
        <v>715</v>
      </c>
      <c r="D5" s="288"/>
      <c r="E5" s="288"/>
      <c r="F5" s="288"/>
      <c r="G5" s="288"/>
    </row>
    <row r="7" spans="2:12" ht="67.5" customHeight="1" x14ac:dyDescent="0.35">
      <c r="B7" s="255" t="s">
        <v>431</v>
      </c>
      <c r="C7" s="255"/>
      <c r="D7" s="255"/>
      <c r="E7" s="72" t="s">
        <v>432</v>
      </c>
      <c r="F7" s="72" t="s">
        <v>716</v>
      </c>
      <c r="G7" s="72" t="s">
        <v>717</v>
      </c>
      <c r="H7" s="72" t="s">
        <v>718</v>
      </c>
      <c r="I7" s="72" t="s">
        <v>719</v>
      </c>
      <c r="J7" s="72" t="s">
        <v>720</v>
      </c>
      <c r="K7" s="72" t="s">
        <v>721</v>
      </c>
      <c r="L7" s="72" t="s">
        <v>722</v>
      </c>
    </row>
    <row r="8" spans="2:12" ht="15" customHeight="1" x14ac:dyDescent="0.35">
      <c r="B8" s="269" t="s">
        <v>723</v>
      </c>
      <c r="C8" s="269"/>
      <c r="D8" s="269"/>
      <c r="E8" s="73">
        <v>10</v>
      </c>
      <c r="F8" s="114"/>
      <c r="G8" s="114"/>
      <c r="H8" s="114"/>
      <c r="I8" s="114"/>
      <c r="J8" s="114"/>
      <c r="K8" s="114"/>
      <c r="L8" s="114"/>
    </row>
    <row r="9" spans="2:12" ht="15" customHeight="1" x14ac:dyDescent="0.35">
      <c r="B9" s="269" t="s">
        <v>724</v>
      </c>
      <c r="C9" s="269"/>
      <c r="D9" s="269"/>
      <c r="E9" s="73">
        <v>20</v>
      </c>
      <c r="F9" s="114"/>
      <c r="G9" s="114"/>
      <c r="H9" s="130"/>
      <c r="I9" s="130"/>
      <c r="J9" s="130"/>
      <c r="K9" s="130"/>
      <c r="L9" s="114"/>
    </row>
    <row r="10" spans="2:12" ht="15" customHeight="1" x14ac:dyDescent="0.35">
      <c r="B10" s="269" t="s">
        <v>725</v>
      </c>
      <c r="C10" s="269"/>
      <c r="D10" s="269"/>
      <c r="E10" s="73">
        <v>30</v>
      </c>
      <c r="F10" s="130"/>
      <c r="G10" s="130"/>
      <c r="H10" s="114"/>
      <c r="I10" s="130"/>
      <c r="J10" s="130"/>
      <c r="K10" s="130"/>
      <c r="L10" s="114"/>
    </row>
    <row r="11" spans="2:12" ht="30" customHeight="1" x14ac:dyDescent="0.35">
      <c r="B11" s="269" t="s">
        <v>726</v>
      </c>
      <c r="C11" s="269"/>
      <c r="D11" s="269"/>
      <c r="E11" s="73">
        <v>40</v>
      </c>
      <c r="F11" s="130"/>
      <c r="G11" s="114"/>
      <c r="H11" s="130"/>
      <c r="I11" s="130"/>
      <c r="J11" s="130"/>
      <c r="K11" s="130"/>
      <c r="L11" s="114"/>
    </row>
    <row r="12" spans="2:12" ht="15" customHeight="1" x14ac:dyDescent="0.35">
      <c r="B12" s="269" t="s">
        <v>727</v>
      </c>
      <c r="C12" s="269"/>
      <c r="D12" s="269"/>
      <c r="E12" s="73">
        <v>50</v>
      </c>
      <c r="F12" s="130"/>
      <c r="G12" s="130"/>
      <c r="H12" s="114"/>
      <c r="I12" s="114"/>
      <c r="J12" s="130"/>
      <c r="K12" s="130"/>
      <c r="L12" s="114"/>
    </row>
    <row r="13" spans="2:12" ht="30" customHeight="1" x14ac:dyDescent="0.35">
      <c r="B13" s="269" t="s">
        <v>728</v>
      </c>
      <c r="C13" s="269"/>
      <c r="D13" s="269"/>
      <c r="E13" s="73">
        <v>60</v>
      </c>
      <c r="F13" s="130"/>
      <c r="G13" s="130"/>
      <c r="H13" s="130"/>
      <c r="I13" s="114"/>
      <c r="J13" s="130"/>
      <c r="K13" s="130"/>
      <c r="L13" s="114"/>
    </row>
    <row r="14" spans="2:12" ht="15" customHeight="1" x14ac:dyDescent="0.35">
      <c r="B14" s="269" t="s">
        <v>729</v>
      </c>
      <c r="C14" s="269"/>
      <c r="D14" s="269"/>
      <c r="E14" s="73">
        <v>70</v>
      </c>
      <c r="F14" s="130"/>
      <c r="G14" s="130"/>
      <c r="H14" s="114"/>
      <c r="I14" s="130"/>
      <c r="J14" s="130"/>
      <c r="K14" s="130"/>
      <c r="L14" s="114"/>
    </row>
    <row r="15" spans="2:12" ht="15" customHeight="1" x14ac:dyDescent="0.35">
      <c r="B15" s="269" t="s">
        <v>730</v>
      </c>
      <c r="C15" s="269"/>
      <c r="D15" s="269"/>
      <c r="E15" s="73">
        <v>80</v>
      </c>
      <c r="F15" s="130"/>
      <c r="G15" s="130"/>
      <c r="H15" s="130"/>
      <c r="I15" s="130"/>
      <c r="J15" s="130"/>
      <c r="K15" s="114"/>
      <c r="L15" s="114"/>
    </row>
    <row r="16" spans="2:12" ht="15" customHeight="1" x14ac:dyDescent="0.35">
      <c r="B16" s="269" t="s">
        <v>731</v>
      </c>
      <c r="C16" s="269"/>
      <c r="D16" s="269"/>
      <c r="E16" s="73">
        <v>90</v>
      </c>
      <c r="F16" s="130"/>
      <c r="G16" s="130"/>
      <c r="H16" s="130"/>
      <c r="I16" s="114"/>
      <c r="J16" s="130"/>
      <c r="K16" s="130"/>
      <c r="L16" s="114"/>
    </row>
    <row r="17" spans="2:12" ht="15" customHeight="1" x14ac:dyDescent="0.35">
      <c r="B17" s="269" t="s">
        <v>732</v>
      </c>
      <c r="C17" s="269"/>
      <c r="D17" s="269"/>
      <c r="E17" s="73">
        <v>100</v>
      </c>
      <c r="F17" s="114"/>
      <c r="G17" s="114"/>
      <c r="H17" s="114"/>
      <c r="I17" s="114"/>
      <c r="J17" s="114"/>
      <c r="K17" s="114"/>
      <c r="L17" s="114"/>
    </row>
    <row r="18" spans="2:12" ht="15" customHeight="1" x14ac:dyDescent="0.35">
      <c r="B18" s="278" t="s">
        <v>733</v>
      </c>
      <c r="C18" s="278"/>
      <c r="D18" s="278"/>
      <c r="E18" s="73">
        <v>110</v>
      </c>
      <c r="F18" s="114"/>
      <c r="G18" s="114"/>
      <c r="H18" s="114"/>
      <c r="I18" s="114"/>
      <c r="J18" s="114"/>
      <c r="K18" s="114"/>
      <c r="L18" s="114"/>
    </row>
    <row r="19" spans="2:12" ht="15" customHeight="1" x14ac:dyDescent="0.35">
      <c r="B19" s="269" t="s">
        <v>734</v>
      </c>
      <c r="C19" s="269"/>
      <c r="D19" s="269"/>
      <c r="E19" s="73">
        <v>120</v>
      </c>
      <c r="F19" s="114"/>
      <c r="G19" s="114"/>
      <c r="H19" s="114"/>
      <c r="I19" s="114"/>
      <c r="J19" s="114"/>
      <c r="K19" s="114"/>
      <c r="L19" s="114"/>
    </row>
    <row r="20" spans="2:12" ht="15" customHeight="1" x14ac:dyDescent="0.35">
      <c r="B20" s="278" t="s">
        <v>735</v>
      </c>
      <c r="C20" s="278"/>
      <c r="D20" s="278"/>
      <c r="E20" s="124"/>
      <c r="F20" s="114"/>
      <c r="G20" s="114"/>
      <c r="H20" s="114"/>
      <c r="I20" s="114"/>
      <c r="J20" s="114"/>
      <c r="K20" s="114"/>
      <c r="L20" s="114"/>
    </row>
    <row r="21" spans="2:12" ht="15" customHeight="1" x14ac:dyDescent="0.35">
      <c r="B21" s="269" t="s">
        <v>736</v>
      </c>
      <c r="C21" s="269"/>
      <c r="D21" s="269"/>
      <c r="E21" s="73">
        <v>130</v>
      </c>
      <c r="F21" s="130"/>
      <c r="G21" s="130"/>
      <c r="H21" s="130"/>
      <c r="I21" s="130"/>
      <c r="J21" s="130"/>
      <c r="K21" s="130"/>
      <c r="L21" s="114"/>
    </row>
    <row r="22" spans="2:12" ht="15" customHeight="1" x14ac:dyDescent="0.35">
      <c r="B22" s="269" t="s">
        <v>737</v>
      </c>
      <c r="C22" s="269"/>
      <c r="D22" s="269"/>
      <c r="E22" s="124"/>
      <c r="F22" s="114"/>
      <c r="G22" s="114"/>
      <c r="H22" s="114"/>
      <c r="I22" s="114"/>
      <c r="J22" s="114"/>
      <c r="K22" s="114"/>
      <c r="L22" s="114"/>
    </row>
    <row r="23" spans="2:12" ht="15" customHeight="1" x14ac:dyDescent="0.35">
      <c r="B23" s="269" t="s">
        <v>738</v>
      </c>
      <c r="C23" s="269"/>
      <c r="D23" s="269"/>
      <c r="E23" s="73">
        <v>131</v>
      </c>
      <c r="F23" s="130"/>
      <c r="G23" s="130"/>
      <c r="H23" s="130"/>
      <c r="I23" s="130"/>
      <c r="J23" s="130"/>
      <c r="K23" s="130"/>
      <c r="L23" s="114"/>
    </row>
    <row r="24" spans="2:12" ht="15" customHeight="1" x14ac:dyDescent="0.35">
      <c r="B24" s="269" t="s">
        <v>739</v>
      </c>
      <c r="C24" s="269"/>
      <c r="D24" s="269"/>
      <c r="E24" s="73">
        <v>132</v>
      </c>
      <c r="F24" s="130"/>
      <c r="G24" s="130"/>
      <c r="H24" s="130"/>
      <c r="I24" s="130"/>
      <c r="J24" s="130"/>
      <c r="K24" s="130"/>
      <c r="L24" s="114"/>
    </row>
    <row r="25" spans="2:12" ht="15" customHeight="1" x14ac:dyDescent="0.35">
      <c r="B25" s="269" t="s">
        <v>740</v>
      </c>
      <c r="C25" s="269"/>
      <c r="D25" s="269"/>
      <c r="E25" s="73">
        <v>140</v>
      </c>
      <c r="F25" s="130"/>
      <c r="G25" s="130"/>
      <c r="H25" s="130"/>
      <c r="I25" s="130"/>
      <c r="J25" s="130"/>
      <c r="K25" s="130"/>
      <c r="L25" s="114"/>
    </row>
    <row r="26" spans="2:12" ht="15" customHeight="1" x14ac:dyDescent="0.35">
      <c r="B26" s="269" t="s">
        <v>741</v>
      </c>
      <c r="C26" s="269"/>
      <c r="D26" s="269"/>
      <c r="E26" s="73">
        <v>150</v>
      </c>
      <c r="F26" s="130"/>
      <c r="G26" s="130"/>
      <c r="H26" s="130"/>
      <c r="I26" s="130"/>
      <c r="J26" s="130"/>
      <c r="K26" s="130"/>
      <c r="L26" s="114"/>
    </row>
    <row r="27" spans="2:12" ht="15" customHeight="1" x14ac:dyDescent="0.35">
      <c r="B27" s="269" t="s">
        <v>737</v>
      </c>
      <c r="C27" s="269"/>
      <c r="D27" s="269"/>
      <c r="E27" s="124"/>
      <c r="F27" s="114"/>
      <c r="G27" s="114"/>
      <c r="H27" s="114"/>
      <c r="I27" s="114"/>
      <c r="J27" s="114"/>
      <c r="K27" s="114"/>
      <c r="L27" s="114"/>
    </row>
    <row r="28" spans="2:12" ht="15" customHeight="1" x14ac:dyDescent="0.35">
      <c r="B28" s="269" t="s">
        <v>738</v>
      </c>
      <c r="C28" s="269"/>
      <c r="D28" s="269"/>
      <c r="E28" s="73">
        <v>151</v>
      </c>
      <c r="F28" s="130"/>
      <c r="G28" s="130"/>
      <c r="H28" s="130"/>
      <c r="I28" s="130"/>
      <c r="J28" s="130"/>
      <c r="K28" s="130"/>
      <c r="L28" s="114"/>
    </row>
    <row r="29" spans="2:12" ht="15" customHeight="1" x14ac:dyDescent="0.35">
      <c r="B29" s="269" t="s">
        <v>739</v>
      </c>
      <c r="C29" s="269"/>
      <c r="D29" s="269"/>
      <c r="E29" s="73">
        <v>152</v>
      </c>
      <c r="F29" s="130"/>
      <c r="G29" s="130"/>
      <c r="H29" s="130"/>
      <c r="I29" s="130"/>
      <c r="J29" s="130"/>
      <c r="K29" s="130"/>
      <c r="L29" s="114"/>
    </row>
  </sheetData>
  <sheetProtection algorithmName="SHA-512" hashValue="XhF8D7SfcJv1fv3OXstunke+blavz+jhdrUlC7HbcAorjXO7tAKM2QEllKr9DFefx24aY6EjI4zXXRDJbOsthw==" saltValue="38IMSRAMRsFjlsEZcMPpfg==" spinCount="100000" sheet="1" objects="1" scenarios="1" formatCells="0"/>
  <protectedRanges>
    <protectedRange sqref="F8:L29" name="Диапазон1"/>
  </protectedRanges>
  <mergeCells count="28">
    <mergeCell ref="B26:D26"/>
    <mergeCell ref="B27:D27"/>
    <mergeCell ref="B28:D28"/>
    <mergeCell ref="B29:D29"/>
    <mergeCell ref="B20:D20"/>
    <mergeCell ref="B21:D21"/>
    <mergeCell ref="B22:D22"/>
    <mergeCell ref="B23:D23"/>
    <mergeCell ref="B24:D24"/>
    <mergeCell ref="B25:D25"/>
    <mergeCell ref="B19:D19"/>
    <mergeCell ref="B8:D8"/>
    <mergeCell ref="B9:D9"/>
    <mergeCell ref="B10:D10"/>
    <mergeCell ref="B11:D11"/>
    <mergeCell ref="B12:D12"/>
    <mergeCell ref="B13:D13"/>
    <mergeCell ref="B14:D14"/>
    <mergeCell ref="B15:D15"/>
    <mergeCell ref="B16:D16"/>
    <mergeCell ref="B17:D17"/>
    <mergeCell ref="B18:D18"/>
    <mergeCell ref="B7:D7"/>
    <mergeCell ref="C1:G1"/>
    <mergeCell ref="C2:G2"/>
    <mergeCell ref="C3:G3"/>
    <mergeCell ref="C4:G4"/>
    <mergeCell ref="C5:G5"/>
  </mergeCells>
  <hyperlinks>
    <hyperlink ref="H1" location="'Жадваллар рўйхати'!A1" display="Список таблиц" xr:uid="{98B0747A-8D16-442F-B7AE-7715951795DC}"/>
  </hyperlinks>
  <pageMargins left="0.7" right="0.7" top="0.75" bottom="0.75" header="0.3" footer="0.3"/>
  <pageSetup paperSize="9" scale="42"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E511E-8445-46BE-9012-CB08B8977C8F}">
  <sheetPr codeName="Лист18">
    <tabColor theme="4" tint="0.79998168889431442"/>
  </sheetPr>
  <dimension ref="B1:D43"/>
  <sheetViews>
    <sheetView view="pageBreakPreview" zoomScale="60" zoomScaleNormal="100" workbookViewId="0">
      <selection activeCell="P42" sqref="P41:P42"/>
    </sheetView>
  </sheetViews>
  <sheetFormatPr defaultColWidth="9.1796875" defaultRowHeight="14.5" x14ac:dyDescent="0.35"/>
  <cols>
    <col min="1" max="1" width="7.81640625" style="29" customWidth="1"/>
    <col min="2" max="2" width="13.54296875" style="29" customWidth="1"/>
    <col min="3" max="3" width="121.453125" style="29" customWidth="1"/>
    <col min="4" max="4" width="28.54296875" style="29" customWidth="1"/>
    <col min="5" max="16384" width="9.1796875" style="29"/>
  </cols>
  <sheetData>
    <row r="1" spans="2:4" s="85" customFormat="1" x14ac:dyDescent="0.35">
      <c r="B1" s="62" t="s">
        <v>742</v>
      </c>
      <c r="C1" s="63">
        <f>VLOOKUP($C$5,'Список таблиц'!A:E,2,FALSE)</f>
        <v>1806</v>
      </c>
      <c r="D1" s="98" t="s">
        <v>743</v>
      </c>
    </row>
    <row r="2" spans="2:4" s="85" customFormat="1" ht="15" customHeight="1" x14ac:dyDescent="0.35">
      <c r="B2" s="65" t="s">
        <v>744</v>
      </c>
      <c r="C2" s="119" t="str">
        <f>VLOOKUP($C$5,'Список таблиц'!A:E,3,FALSE)</f>
        <v>Положение о платежеспособности страховщиков и перестраховщиков</v>
      </c>
    </row>
    <row r="3" spans="2:4" x14ac:dyDescent="0.35">
      <c r="B3" s="67" t="s">
        <v>745</v>
      </c>
      <c r="C3" s="68">
        <f>VLOOKUP($C$5,'Список таблиц'!A:E,4,FALSE)</f>
        <v>1</v>
      </c>
    </row>
    <row r="4" spans="2:4" ht="30" customHeight="1" x14ac:dyDescent="0.35">
      <c r="B4" s="69" t="s">
        <v>746</v>
      </c>
      <c r="C4" s="70" t="str">
        <f>VLOOKUP($C$5,'Список таблиц'!A:E,5,FALSE)</f>
        <v>Расчет норматива достаточности маржи платежеспособности страховщика, осуществляющего деятельность в отрасли общего страхования (исключительно по перестрахованию)</v>
      </c>
    </row>
    <row r="5" spans="2:4" x14ac:dyDescent="0.35">
      <c r="B5" s="67" t="s">
        <v>747</v>
      </c>
      <c r="C5" s="71" t="s">
        <v>152</v>
      </c>
    </row>
    <row r="7" spans="2:4" ht="15" x14ac:dyDescent="0.35">
      <c r="B7" s="72" t="s">
        <v>748</v>
      </c>
      <c r="C7" s="72" t="s">
        <v>749</v>
      </c>
      <c r="D7" s="72" t="s">
        <v>750</v>
      </c>
    </row>
    <row r="8" spans="2:4" ht="30" customHeight="1" x14ac:dyDescent="0.35">
      <c r="B8" s="73" t="s">
        <v>156</v>
      </c>
      <c r="C8" s="74" t="s">
        <v>751</v>
      </c>
      <c r="D8" s="189"/>
    </row>
    <row r="9" spans="2:4" ht="15" customHeight="1" x14ac:dyDescent="0.35">
      <c r="B9" s="73" t="s">
        <v>158</v>
      </c>
      <c r="C9" s="74" t="s">
        <v>752</v>
      </c>
      <c r="D9" s="189"/>
    </row>
    <row r="10" spans="2:4" ht="15" customHeight="1" x14ac:dyDescent="0.35">
      <c r="B10" s="73" t="s">
        <v>160</v>
      </c>
      <c r="C10" s="74" t="s">
        <v>753</v>
      </c>
      <c r="D10" s="189"/>
    </row>
    <row r="11" spans="2:4" ht="15" customHeight="1" x14ac:dyDescent="0.35">
      <c r="B11" s="73" t="s">
        <v>162</v>
      </c>
      <c r="C11" s="74" t="s">
        <v>754</v>
      </c>
      <c r="D11" s="189"/>
    </row>
    <row r="12" spans="2:4" ht="30" customHeight="1" x14ac:dyDescent="0.35">
      <c r="B12" s="73" t="s">
        <v>164</v>
      </c>
      <c r="C12" s="74" t="s">
        <v>755</v>
      </c>
      <c r="D12" s="189"/>
    </row>
    <row r="13" spans="2:4" ht="30" customHeight="1" x14ac:dyDescent="0.35">
      <c r="B13" s="73" t="s">
        <v>166</v>
      </c>
      <c r="C13" s="74" t="s">
        <v>756</v>
      </c>
      <c r="D13" s="189"/>
    </row>
    <row r="14" spans="2:4" ht="30" customHeight="1" x14ac:dyDescent="0.35">
      <c r="B14" s="73" t="s">
        <v>168</v>
      </c>
      <c r="C14" s="74" t="s">
        <v>757</v>
      </c>
      <c r="D14" s="189"/>
    </row>
    <row r="15" spans="2:4" s="85" customFormat="1" ht="15" customHeight="1" x14ac:dyDescent="0.35">
      <c r="B15" s="73" t="s">
        <v>170</v>
      </c>
      <c r="C15" s="74" t="s">
        <v>758</v>
      </c>
      <c r="D15" s="189"/>
    </row>
    <row r="16" spans="2:4" ht="30" customHeight="1" x14ac:dyDescent="0.35">
      <c r="B16" s="73" t="s">
        <v>172</v>
      </c>
      <c r="C16" s="74" t="s">
        <v>759</v>
      </c>
      <c r="D16" s="189"/>
    </row>
    <row r="17" spans="2:4" ht="30" customHeight="1" x14ac:dyDescent="0.35">
      <c r="B17" s="73" t="s">
        <v>174</v>
      </c>
      <c r="C17" s="74" t="s">
        <v>760</v>
      </c>
      <c r="D17" s="189"/>
    </row>
    <row r="18" spans="2:4" ht="15" customHeight="1" x14ac:dyDescent="0.35">
      <c r="B18" s="73" t="s">
        <v>176</v>
      </c>
      <c r="C18" s="74" t="s">
        <v>761</v>
      </c>
      <c r="D18" s="189"/>
    </row>
    <row r="19" spans="2:4" ht="15" customHeight="1" x14ac:dyDescent="0.35">
      <c r="B19" s="73" t="s">
        <v>178</v>
      </c>
      <c r="C19" s="74" t="s">
        <v>762</v>
      </c>
      <c r="D19" s="189"/>
    </row>
    <row r="20" spans="2:4" ht="15" customHeight="1" x14ac:dyDescent="0.35">
      <c r="B20" s="73" t="s">
        <v>180</v>
      </c>
      <c r="C20" s="74" t="s">
        <v>763</v>
      </c>
      <c r="D20" s="189"/>
    </row>
    <row r="21" spans="2:4" ht="30" customHeight="1" x14ac:dyDescent="0.35">
      <c r="B21" s="73" t="s">
        <v>182</v>
      </c>
      <c r="C21" s="74" t="s">
        <v>764</v>
      </c>
      <c r="D21" s="189"/>
    </row>
    <row r="22" spans="2:4" ht="15" customHeight="1" x14ac:dyDescent="0.35">
      <c r="B22" s="75" t="s">
        <v>184</v>
      </c>
      <c r="C22" s="76" t="s">
        <v>765</v>
      </c>
      <c r="D22" s="207"/>
    </row>
    <row r="23" spans="2:4" ht="15" customHeight="1" x14ac:dyDescent="0.35">
      <c r="B23" s="73" t="s">
        <v>186</v>
      </c>
      <c r="C23" s="74" t="s">
        <v>766</v>
      </c>
      <c r="D23" s="189"/>
    </row>
    <row r="24" spans="2:4" ht="30" customHeight="1" x14ac:dyDescent="0.35">
      <c r="B24" s="73" t="s">
        <v>188</v>
      </c>
      <c r="C24" s="74" t="s">
        <v>767</v>
      </c>
      <c r="D24" s="189"/>
    </row>
    <row r="25" spans="2:4" ht="15" customHeight="1" x14ac:dyDescent="0.35">
      <c r="B25" s="73" t="s">
        <v>190</v>
      </c>
      <c r="C25" s="74" t="s">
        <v>768</v>
      </c>
      <c r="D25" s="189"/>
    </row>
    <row r="26" spans="2:4" ht="15" customHeight="1" x14ac:dyDescent="0.35">
      <c r="B26" s="73" t="s">
        <v>192</v>
      </c>
      <c r="C26" s="74" t="s">
        <v>769</v>
      </c>
      <c r="D26" s="189"/>
    </row>
    <row r="27" spans="2:4" s="85" customFormat="1" ht="15" customHeight="1" x14ac:dyDescent="0.35">
      <c r="B27" s="73" t="s">
        <v>194</v>
      </c>
      <c r="C27" s="74" t="s">
        <v>770</v>
      </c>
      <c r="D27" s="189"/>
    </row>
    <row r="28" spans="2:4" s="85" customFormat="1" ht="36.75" customHeight="1" x14ac:dyDescent="0.35">
      <c r="B28" s="73" t="s">
        <v>196</v>
      </c>
      <c r="C28" s="74" t="s">
        <v>1289</v>
      </c>
      <c r="D28" s="189"/>
    </row>
    <row r="29" spans="2:4" ht="20.25" customHeight="1" x14ac:dyDescent="0.35">
      <c r="B29" s="73" t="s">
        <v>197</v>
      </c>
      <c r="C29" s="74" t="s">
        <v>771</v>
      </c>
      <c r="D29" s="189"/>
    </row>
    <row r="30" spans="2:4" ht="30" customHeight="1" x14ac:dyDescent="0.35">
      <c r="B30" s="73" t="s">
        <v>199</v>
      </c>
      <c r="C30" s="74" t="s">
        <v>772</v>
      </c>
      <c r="D30" s="189"/>
    </row>
    <row r="31" spans="2:4" ht="15" customHeight="1" x14ac:dyDescent="0.35">
      <c r="B31" s="73" t="s">
        <v>201</v>
      </c>
      <c r="C31" s="74" t="s">
        <v>773</v>
      </c>
      <c r="D31" s="189"/>
    </row>
    <row r="32" spans="2:4" ht="15" customHeight="1" x14ac:dyDescent="0.35">
      <c r="B32" s="73" t="s">
        <v>203</v>
      </c>
      <c r="C32" s="74" t="s">
        <v>774</v>
      </c>
      <c r="D32" s="189"/>
    </row>
    <row r="33" spans="2:4" ht="15" customHeight="1" x14ac:dyDescent="0.35">
      <c r="B33" s="73" t="s">
        <v>205</v>
      </c>
      <c r="C33" s="74" t="s">
        <v>775</v>
      </c>
      <c r="D33" s="189"/>
    </row>
    <row r="34" spans="2:4" ht="15" customHeight="1" x14ac:dyDescent="0.35">
      <c r="B34" s="75" t="s">
        <v>207</v>
      </c>
      <c r="C34" s="76" t="s">
        <v>776</v>
      </c>
      <c r="D34" s="207"/>
    </row>
    <row r="35" spans="2:4" ht="15" customHeight="1" x14ac:dyDescent="0.35">
      <c r="B35" s="77" t="s">
        <v>209</v>
      </c>
      <c r="C35" s="78" t="s">
        <v>777</v>
      </c>
      <c r="D35" s="208"/>
    </row>
    <row r="36" spans="2:4" ht="15.75" customHeight="1" x14ac:dyDescent="0.35"/>
    <row r="38" spans="2:4" ht="31.5" customHeight="1" x14ac:dyDescent="0.35"/>
    <row r="39" spans="2:4" ht="31.5" customHeight="1" x14ac:dyDescent="0.35"/>
    <row r="40" spans="2:4" ht="56.25" customHeight="1" x14ac:dyDescent="0.35"/>
    <row r="41" spans="2:4" ht="15.75" customHeight="1" x14ac:dyDescent="0.35"/>
    <row r="42" spans="2:4" ht="18.75" customHeight="1" x14ac:dyDescent="0.35"/>
    <row r="43" spans="2:4" ht="15.75" customHeight="1" x14ac:dyDescent="0.35"/>
  </sheetData>
  <sheetProtection algorithmName="SHA-512" hashValue="9c0sh/hWitpXupfxXzPDs9aY6HuWu9WCdMHguCysKJuN2nuljRCBXZ2tXNTmzzpKYQjgfnceT/wU4uYJLhrKPA==" saltValue="kPzTNvFBlS/fmhefmP2IuQ==" spinCount="100000" sheet="1" objects="1" scenarios="1" formatCells="0"/>
  <protectedRanges>
    <protectedRange sqref="D8:D35" name="Диапазон1"/>
  </protectedRanges>
  <hyperlinks>
    <hyperlink ref="D1" location="'Список таблиц'!A1" display="Список таблиц" xr:uid="{B062EF3E-6FC1-49A5-84B0-35E95CF5DE11}"/>
  </hyperlinks>
  <pageMargins left="0.7" right="0.7" top="0.75" bottom="0.75" header="0.3" footer="0.3"/>
  <pageSetup paperSize="9" scale="51"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7C49D-D4A0-4DAF-91BD-B23262025241}">
  <sheetPr codeName="Лист19">
    <tabColor theme="4" tint="0.79998168889431442"/>
  </sheetPr>
  <dimension ref="B1:D40"/>
  <sheetViews>
    <sheetView view="pageBreakPreview" zoomScale="60" zoomScaleNormal="100" workbookViewId="0">
      <selection activeCell="D52" sqref="D52"/>
    </sheetView>
  </sheetViews>
  <sheetFormatPr defaultColWidth="9.1796875" defaultRowHeight="14.5" x14ac:dyDescent="0.35"/>
  <cols>
    <col min="1" max="1" width="7.81640625" style="29" customWidth="1"/>
    <col min="2" max="2" width="13.54296875" style="29" customWidth="1"/>
    <col min="3" max="3" width="121.453125" style="29" customWidth="1"/>
    <col min="4" max="4" width="35.7265625" style="29" customWidth="1"/>
    <col min="5" max="16384" width="9.1796875" style="29"/>
  </cols>
  <sheetData>
    <row r="1" spans="2:4" s="85" customFormat="1" x14ac:dyDescent="0.35">
      <c r="B1" s="62" t="s">
        <v>742</v>
      </c>
      <c r="C1" s="63">
        <f>VLOOKUP($C$5,'Список таблиц'!A:E,2,FALSE)</f>
        <v>1806</v>
      </c>
      <c r="D1" s="98" t="s">
        <v>743</v>
      </c>
    </row>
    <row r="2" spans="2:4" s="85" customFormat="1" x14ac:dyDescent="0.35">
      <c r="B2" s="65" t="s">
        <v>744</v>
      </c>
      <c r="C2" s="66" t="str">
        <f>VLOOKUP($C$5,'Список таблиц'!A:E,3,FALSE)</f>
        <v>Положение о платежеспособности страховщиков и перестраховщиков</v>
      </c>
    </row>
    <row r="3" spans="2:4" x14ac:dyDescent="0.35">
      <c r="B3" s="67" t="s">
        <v>745</v>
      </c>
      <c r="C3" s="68">
        <f>VLOOKUP($C$5,'Список таблиц'!A:E,4,FALSE)</f>
        <v>2</v>
      </c>
    </row>
    <row r="4" spans="2:4" ht="29" x14ac:dyDescent="0.35">
      <c r="B4" s="69" t="s">
        <v>746</v>
      </c>
      <c r="C4" s="70" t="str">
        <f>VLOOKUP($C$5,'Список таблиц'!A:E,5,FALSE)</f>
        <v>Расчет норматива достаточности маржи платежеспособности страховщика, осуществляющего деятельность в отрасли страхования жизни</v>
      </c>
    </row>
    <row r="5" spans="2:4" x14ac:dyDescent="0.35">
      <c r="B5" s="67" t="s">
        <v>747</v>
      </c>
      <c r="C5" s="71" t="s">
        <v>211</v>
      </c>
    </row>
    <row r="7" spans="2:4" ht="30" customHeight="1" x14ac:dyDescent="0.35">
      <c r="B7" s="72" t="s">
        <v>748</v>
      </c>
      <c r="C7" s="72" t="s">
        <v>749</v>
      </c>
      <c r="D7" s="72" t="s">
        <v>750</v>
      </c>
    </row>
    <row r="8" spans="2:4" ht="30" customHeight="1" x14ac:dyDescent="0.35">
      <c r="B8" s="73" t="s">
        <v>156</v>
      </c>
      <c r="C8" s="74" t="s">
        <v>751</v>
      </c>
      <c r="D8" s="197"/>
    </row>
    <row r="9" spans="2:4" ht="15" customHeight="1" x14ac:dyDescent="0.35">
      <c r="B9" s="73" t="s">
        <v>158</v>
      </c>
      <c r="C9" s="74" t="s">
        <v>778</v>
      </c>
      <c r="D9" s="197"/>
    </row>
    <row r="10" spans="2:4" ht="15" customHeight="1" x14ac:dyDescent="0.35">
      <c r="B10" s="73" t="s">
        <v>160</v>
      </c>
      <c r="C10" s="74" t="s">
        <v>779</v>
      </c>
      <c r="D10" s="197"/>
    </row>
    <row r="11" spans="2:4" ht="15" customHeight="1" x14ac:dyDescent="0.35">
      <c r="B11" s="73" t="s">
        <v>162</v>
      </c>
      <c r="C11" s="74" t="s">
        <v>780</v>
      </c>
      <c r="D11" s="197"/>
    </row>
    <row r="12" spans="2:4" ht="15" customHeight="1" x14ac:dyDescent="0.35">
      <c r="B12" s="73" t="s">
        <v>164</v>
      </c>
      <c r="C12" s="74" t="s">
        <v>781</v>
      </c>
      <c r="D12" s="197"/>
    </row>
    <row r="13" spans="2:4" ht="30" customHeight="1" x14ac:dyDescent="0.35">
      <c r="B13" s="73" t="s">
        <v>166</v>
      </c>
      <c r="C13" s="74" t="s">
        <v>782</v>
      </c>
      <c r="D13" s="197"/>
    </row>
    <row r="14" spans="2:4" ht="30" customHeight="1" x14ac:dyDescent="0.35">
      <c r="B14" s="73" t="s">
        <v>168</v>
      </c>
      <c r="C14" s="74" t="s">
        <v>783</v>
      </c>
      <c r="D14" s="197"/>
    </row>
    <row r="15" spans="2:4" ht="15" customHeight="1" x14ac:dyDescent="0.35">
      <c r="B15" s="73" t="s">
        <v>170</v>
      </c>
      <c r="C15" s="74" t="s">
        <v>784</v>
      </c>
      <c r="D15" s="197"/>
    </row>
    <row r="16" spans="2:4" ht="30" customHeight="1" x14ac:dyDescent="0.35">
      <c r="B16" s="73" t="s">
        <v>172</v>
      </c>
      <c r="C16" s="74" t="s">
        <v>785</v>
      </c>
      <c r="D16" s="197"/>
    </row>
    <row r="17" spans="2:4" s="85" customFormat="1" ht="52.5" customHeight="1" x14ac:dyDescent="0.35">
      <c r="B17" s="73" t="s">
        <v>174</v>
      </c>
      <c r="C17" s="74" t="s">
        <v>786</v>
      </c>
      <c r="D17" s="197"/>
    </row>
    <row r="18" spans="2:4" ht="15" customHeight="1" x14ac:dyDescent="0.35">
      <c r="B18" s="73" t="s">
        <v>176</v>
      </c>
      <c r="C18" s="74" t="s">
        <v>787</v>
      </c>
      <c r="D18" s="197"/>
    </row>
    <row r="19" spans="2:4" ht="30" customHeight="1" x14ac:dyDescent="0.35">
      <c r="B19" s="73" t="s">
        <v>178</v>
      </c>
      <c r="C19" s="74" t="s">
        <v>788</v>
      </c>
      <c r="D19" s="197"/>
    </row>
    <row r="20" spans="2:4" ht="15" customHeight="1" x14ac:dyDescent="0.35">
      <c r="B20" s="73" t="s">
        <v>180</v>
      </c>
      <c r="C20" s="74" t="s">
        <v>789</v>
      </c>
      <c r="D20" s="197"/>
    </row>
    <row r="21" spans="2:4" ht="15" customHeight="1" x14ac:dyDescent="0.35">
      <c r="B21" s="73" t="s">
        <v>182</v>
      </c>
      <c r="C21" s="74" t="s">
        <v>790</v>
      </c>
      <c r="D21" s="197"/>
    </row>
    <row r="22" spans="2:4" ht="15" customHeight="1" x14ac:dyDescent="0.35">
      <c r="B22" s="73" t="s">
        <v>184</v>
      </c>
      <c r="C22" s="74" t="s">
        <v>791</v>
      </c>
      <c r="D22" s="197"/>
    </row>
    <row r="23" spans="2:4" ht="15" customHeight="1" x14ac:dyDescent="0.35">
      <c r="B23" s="73" t="s">
        <v>186</v>
      </c>
      <c r="C23" s="137" t="s">
        <v>792</v>
      </c>
      <c r="D23" s="197"/>
    </row>
    <row r="24" spans="2:4" ht="15" customHeight="1" x14ac:dyDescent="0.35">
      <c r="B24" s="75" t="s">
        <v>188</v>
      </c>
      <c r="C24" s="76" t="s">
        <v>793</v>
      </c>
      <c r="D24" s="205"/>
    </row>
    <row r="25" spans="2:4" ht="15" customHeight="1" x14ac:dyDescent="0.35">
      <c r="B25" s="73" t="s">
        <v>190</v>
      </c>
      <c r="C25" s="74" t="s">
        <v>766</v>
      </c>
      <c r="D25" s="197"/>
    </row>
    <row r="26" spans="2:4" ht="30" customHeight="1" x14ac:dyDescent="0.35">
      <c r="B26" s="73" t="s">
        <v>192</v>
      </c>
      <c r="C26" s="74" t="s">
        <v>767</v>
      </c>
      <c r="D26" s="197"/>
    </row>
    <row r="27" spans="2:4" ht="15" customHeight="1" x14ac:dyDescent="0.35">
      <c r="B27" s="73" t="s">
        <v>194</v>
      </c>
      <c r="C27" s="74" t="s">
        <v>768</v>
      </c>
      <c r="D27" s="197"/>
    </row>
    <row r="28" spans="2:4" ht="15" customHeight="1" x14ac:dyDescent="0.35">
      <c r="B28" s="73" t="s">
        <v>196</v>
      </c>
      <c r="C28" s="74" t="s">
        <v>769</v>
      </c>
      <c r="D28" s="197"/>
    </row>
    <row r="29" spans="2:4" s="85" customFormat="1" ht="18.75" customHeight="1" x14ac:dyDescent="0.35">
      <c r="B29" s="73" t="s">
        <v>197</v>
      </c>
      <c r="C29" s="74" t="s">
        <v>770</v>
      </c>
      <c r="D29" s="197"/>
    </row>
    <row r="30" spans="2:4" s="85" customFormat="1" ht="34.5" customHeight="1" x14ac:dyDescent="0.35">
      <c r="B30" s="73" t="s">
        <v>199</v>
      </c>
      <c r="C30" s="74" t="s">
        <v>1289</v>
      </c>
      <c r="D30" s="197"/>
    </row>
    <row r="31" spans="2:4" ht="15" customHeight="1" x14ac:dyDescent="0.35">
      <c r="B31" s="73" t="s">
        <v>201</v>
      </c>
      <c r="C31" s="74" t="s">
        <v>771</v>
      </c>
      <c r="D31" s="197"/>
    </row>
    <row r="32" spans="2:4" ht="30" customHeight="1" x14ac:dyDescent="0.35">
      <c r="B32" s="73" t="s">
        <v>203</v>
      </c>
      <c r="C32" s="74" t="s">
        <v>772</v>
      </c>
      <c r="D32" s="197"/>
    </row>
    <row r="33" spans="2:4" ht="15" customHeight="1" x14ac:dyDescent="0.35">
      <c r="B33" s="73" t="s">
        <v>205</v>
      </c>
      <c r="C33" s="74" t="s">
        <v>773</v>
      </c>
      <c r="D33" s="197"/>
    </row>
    <row r="34" spans="2:4" ht="15" customHeight="1" x14ac:dyDescent="0.35">
      <c r="B34" s="73" t="s">
        <v>207</v>
      </c>
      <c r="C34" s="74" t="s">
        <v>774</v>
      </c>
      <c r="D34" s="197"/>
    </row>
    <row r="35" spans="2:4" ht="15" customHeight="1" x14ac:dyDescent="0.35">
      <c r="B35" s="73" t="s">
        <v>209</v>
      </c>
      <c r="C35" s="74" t="s">
        <v>794</v>
      </c>
      <c r="D35" s="197"/>
    </row>
    <row r="36" spans="2:4" ht="15" customHeight="1" x14ac:dyDescent="0.35">
      <c r="B36" s="75" t="s">
        <v>230</v>
      </c>
      <c r="C36" s="76" t="s">
        <v>795</v>
      </c>
      <c r="D36" s="205"/>
    </row>
    <row r="37" spans="2:4" ht="15" customHeight="1" x14ac:dyDescent="0.35">
      <c r="B37" s="77" t="s">
        <v>232</v>
      </c>
      <c r="C37" s="78" t="s">
        <v>796</v>
      </c>
      <c r="D37" s="206"/>
    </row>
    <row r="38" spans="2:4" x14ac:dyDescent="0.35">
      <c r="B38" s="289"/>
      <c r="C38" s="289"/>
      <c r="D38" s="289"/>
    </row>
    <row r="39" spans="2:4" x14ac:dyDescent="0.35">
      <c r="B39" s="290" t="s">
        <v>797</v>
      </c>
      <c r="C39" s="290"/>
      <c r="D39" s="290"/>
    </row>
    <row r="40" spans="2:4" x14ac:dyDescent="0.35">
      <c r="B40" s="290"/>
      <c r="C40" s="290"/>
      <c r="D40" s="290"/>
    </row>
  </sheetData>
  <sheetProtection algorithmName="SHA-512" hashValue="Hpg4s2LHKviXLpJLGPk/Jzq+bDuCVe1iq4JNH1exRKr1Bxyi5LGrK9TdhTT9gTqDT2GOls93nh9bXZCDlOkasg==" saltValue="j+UOT5/acsrn7nNeZRrWBQ==" spinCount="100000" sheet="1" objects="1" scenarios="1" formatCells="0"/>
  <protectedRanges>
    <protectedRange sqref="D8:D37" name="Диапазон1"/>
  </protectedRanges>
  <mergeCells count="2">
    <mergeCell ref="B38:D38"/>
    <mergeCell ref="B39:D40"/>
  </mergeCells>
  <hyperlinks>
    <hyperlink ref="C23" r:id="rId1" display="javascript:scrollText(1354300)" xr:uid="{EB450DAB-8C5D-4F1E-8348-A0B6BBB0F0B6}"/>
    <hyperlink ref="D1" location="'Список таблиц'!A1" display="Список таблиц" xr:uid="{03467C89-B38E-400B-92D4-76AAB256AECE}"/>
  </hyperlinks>
  <pageMargins left="0.7" right="0.7" top="0.75" bottom="0.75" header="0.3" footer="0.3"/>
  <pageSetup paperSize="9" scale="48" orientation="portrait" verticalDpi="0"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683CC-2B43-4F8D-9D15-E5E5B88DFE1B}">
  <sheetPr codeName="Лист20">
    <tabColor theme="4" tint="0.79998168889431442"/>
  </sheetPr>
  <dimension ref="B1:E21"/>
  <sheetViews>
    <sheetView view="pageBreakPreview" zoomScale="60" zoomScaleNormal="100" workbookViewId="0">
      <selection activeCell="C30" sqref="C30:C31"/>
    </sheetView>
  </sheetViews>
  <sheetFormatPr defaultColWidth="9.1796875" defaultRowHeight="14.5" x14ac:dyDescent="0.35"/>
  <cols>
    <col min="1" max="1" width="7.81640625" style="29" customWidth="1"/>
    <col min="2" max="2" width="13.54296875" style="29" customWidth="1"/>
    <col min="3" max="3" width="107.1796875" style="29" customWidth="1"/>
    <col min="4" max="5" width="18.54296875" style="29" customWidth="1"/>
    <col min="6" max="6" width="14" style="29" customWidth="1"/>
    <col min="7" max="16384" width="9.1796875" style="29"/>
  </cols>
  <sheetData>
    <row r="1" spans="2:5" s="85" customFormat="1" x14ac:dyDescent="0.35">
      <c r="B1" s="63" t="s">
        <v>742</v>
      </c>
      <c r="C1" s="291">
        <f>VLOOKUP($C$5,'Список таблиц'!A:E,2,FALSE)</f>
        <v>1806</v>
      </c>
      <c r="D1" s="292"/>
      <c r="E1" s="98" t="s">
        <v>743</v>
      </c>
    </row>
    <row r="2" spans="2:5" s="85" customFormat="1" x14ac:dyDescent="0.35">
      <c r="B2" s="121" t="s">
        <v>744</v>
      </c>
      <c r="C2" s="291" t="str">
        <f>VLOOKUP($C$5,'Список таблиц'!A:E,3,FALSE)</f>
        <v>Положение о платежеспособности страховщиков и перестраховщиков</v>
      </c>
      <c r="D2" s="292"/>
    </row>
    <row r="3" spans="2:5" x14ac:dyDescent="0.35">
      <c r="B3" s="68" t="s">
        <v>745</v>
      </c>
      <c r="C3" s="293">
        <f>VLOOKUP($C$5,'Список таблиц'!A:E,4,FALSE)</f>
        <v>3</v>
      </c>
      <c r="D3" s="294"/>
    </row>
    <row r="4" spans="2:5" ht="30" customHeight="1" x14ac:dyDescent="0.35">
      <c r="B4" s="70" t="s">
        <v>746</v>
      </c>
      <c r="C4" s="276" t="str">
        <f>VLOOKUP($C$5,'Список таблиц'!A:E,5,FALSE)</f>
        <v>Сведения о соблюдении требований по предельно допустимому размеру обязательств по отдельным рискам и совокупному размеру обязательств страховщика (перестраховщика) и размещению активов страховщика (перестраховщика)</v>
      </c>
      <c r="D4" s="277"/>
      <c r="E4" s="132"/>
    </row>
    <row r="5" spans="2:5" x14ac:dyDescent="0.35">
      <c r="B5" s="68" t="s">
        <v>747</v>
      </c>
      <c r="C5" s="293" t="s">
        <v>235</v>
      </c>
      <c r="D5" s="294"/>
    </row>
    <row r="6" spans="2:5" x14ac:dyDescent="0.35">
      <c r="B6" s="140"/>
      <c r="C6" s="140"/>
      <c r="D6" s="140"/>
      <c r="E6" s="140"/>
    </row>
    <row r="7" spans="2:5" ht="30" customHeight="1" x14ac:dyDescent="0.35">
      <c r="B7" s="255" t="s">
        <v>748</v>
      </c>
      <c r="C7" s="255" t="s">
        <v>749</v>
      </c>
      <c r="D7" s="255" t="s">
        <v>750</v>
      </c>
      <c r="E7" s="255"/>
    </row>
    <row r="8" spans="2:5" ht="15" x14ac:dyDescent="0.35">
      <c r="B8" s="255"/>
      <c r="C8" s="255"/>
      <c r="D8" s="72" t="s">
        <v>237</v>
      </c>
      <c r="E8" s="72" t="s">
        <v>798</v>
      </c>
    </row>
    <row r="9" spans="2:5" ht="33.75" customHeight="1" x14ac:dyDescent="0.35">
      <c r="B9" s="73" t="s">
        <v>156</v>
      </c>
      <c r="C9" s="74" t="s">
        <v>799</v>
      </c>
      <c r="D9" s="197"/>
      <c r="E9" s="197"/>
    </row>
    <row r="10" spans="2:5" ht="42.75" customHeight="1" x14ac:dyDescent="0.35">
      <c r="B10" s="73" t="s">
        <v>240</v>
      </c>
      <c r="C10" s="74" t="s">
        <v>800</v>
      </c>
      <c r="D10" s="197"/>
      <c r="E10" s="197"/>
    </row>
    <row r="11" spans="2:5" ht="35.25" customHeight="1" x14ac:dyDescent="0.35">
      <c r="B11" s="73" t="s">
        <v>158</v>
      </c>
      <c r="C11" s="74" t="s">
        <v>801</v>
      </c>
      <c r="D11" s="197"/>
      <c r="E11" s="197"/>
    </row>
    <row r="12" spans="2:5" ht="42.75" customHeight="1" x14ac:dyDescent="0.35">
      <c r="B12" s="73" t="s">
        <v>243</v>
      </c>
      <c r="C12" s="74" t="s">
        <v>802</v>
      </c>
      <c r="D12" s="197"/>
      <c r="E12" s="197"/>
    </row>
    <row r="13" spans="2:5" ht="30" customHeight="1" x14ac:dyDescent="0.35">
      <c r="B13" s="73" t="s">
        <v>160</v>
      </c>
      <c r="C13" s="74" t="s">
        <v>803</v>
      </c>
      <c r="D13" s="197"/>
      <c r="E13" s="197"/>
    </row>
    <row r="14" spans="2:5" ht="52.5" customHeight="1" x14ac:dyDescent="0.35">
      <c r="B14" s="73" t="s">
        <v>162</v>
      </c>
      <c r="C14" s="74" t="s">
        <v>804</v>
      </c>
      <c r="D14" s="197"/>
      <c r="E14" s="197"/>
    </row>
    <row r="15" spans="2:5" ht="24" customHeight="1" x14ac:dyDescent="0.35">
      <c r="B15" s="73" t="s">
        <v>164</v>
      </c>
      <c r="C15" s="74" t="s">
        <v>805</v>
      </c>
      <c r="D15" s="197"/>
      <c r="E15" s="197"/>
    </row>
    <row r="16" spans="2:5" ht="21" customHeight="1" x14ac:dyDescent="0.35">
      <c r="B16" s="73" t="s">
        <v>166</v>
      </c>
      <c r="C16" s="74" t="s">
        <v>806</v>
      </c>
      <c r="D16" s="197"/>
      <c r="E16" s="197"/>
    </row>
    <row r="17" spans="2:5" ht="30.75" customHeight="1" x14ac:dyDescent="0.35">
      <c r="B17" s="73" t="s">
        <v>168</v>
      </c>
      <c r="C17" s="74" t="s">
        <v>807</v>
      </c>
      <c r="D17" s="197"/>
      <c r="E17" s="197"/>
    </row>
    <row r="18" spans="2:5" ht="56.25" customHeight="1" x14ac:dyDescent="0.35">
      <c r="B18" s="73" t="s">
        <v>170</v>
      </c>
      <c r="C18" s="74" t="s">
        <v>1290</v>
      </c>
      <c r="D18" s="197"/>
      <c r="E18" s="197"/>
    </row>
    <row r="19" spans="2:5" ht="27.75" customHeight="1" x14ac:dyDescent="0.35">
      <c r="B19" s="73" t="s">
        <v>172</v>
      </c>
      <c r="C19" s="74" t="s">
        <v>808</v>
      </c>
      <c r="D19" s="197"/>
      <c r="E19" s="197"/>
    </row>
    <row r="20" spans="2:5" ht="30.75" customHeight="1" x14ac:dyDescent="0.35">
      <c r="B20" s="73" t="s">
        <v>174</v>
      </c>
      <c r="C20" s="74" t="s">
        <v>809</v>
      </c>
      <c r="D20" s="197"/>
      <c r="E20" s="197"/>
    </row>
    <row r="21" spans="2:5" x14ac:dyDescent="0.35">
      <c r="B21" s="289"/>
      <c r="C21" s="289"/>
      <c r="D21" s="289"/>
      <c r="E21" s="289"/>
    </row>
  </sheetData>
  <sheetProtection algorithmName="SHA-512" hashValue="DFElt0anEWm7ybW1VlbX6p3oBeR4hPW0tEkickORIPjJWHb2vbtXy0vpEB0WXVPA8lX4HFm8cpgx6/cb51b3Mg==" saltValue="pCBYPUGNeMgv4ZRvB6a6CA==" spinCount="100000" sheet="1" objects="1" scenarios="1" formatCells="0"/>
  <protectedRanges>
    <protectedRange sqref="D9:E20" name="Диапазон1"/>
  </protectedRanges>
  <mergeCells count="9">
    <mergeCell ref="B21:E21"/>
    <mergeCell ref="C1:D1"/>
    <mergeCell ref="C2:D2"/>
    <mergeCell ref="C3:D3"/>
    <mergeCell ref="C4:D4"/>
    <mergeCell ref="C5:D5"/>
    <mergeCell ref="B7:B8"/>
    <mergeCell ref="C7:C8"/>
    <mergeCell ref="D7:E7"/>
  </mergeCells>
  <hyperlinks>
    <hyperlink ref="E1" location="'Список таблиц'!A1" display="Список таблиц" xr:uid="{A160EC8D-F765-4D1F-A2B2-52B482D5C526}"/>
  </hyperlinks>
  <pageMargins left="0.7" right="0.7" top="0.75" bottom="0.75" header="0.3" footer="0.3"/>
  <pageSetup paperSize="9" scale="52"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BB3B7-8818-49F8-BF2F-C785DE4862C1}">
  <sheetPr codeName="Лист7">
    <tabColor theme="4" tint="0.79998168889431442"/>
    <pageSetUpPr fitToPage="1"/>
  </sheetPr>
  <dimension ref="B1:F37"/>
  <sheetViews>
    <sheetView showGridLines="0" view="pageBreakPreview" zoomScale="60" zoomScaleNormal="70" zoomScalePageLayoutView="40" workbookViewId="0">
      <selection activeCell="C3" sqref="C3"/>
    </sheetView>
  </sheetViews>
  <sheetFormatPr defaultColWidth="9.1796875" defaultRowHeight="14.5" x14ac:dyDescent="0.35"/>
  <cols>
    <col min="1" max="1" width="7.81640625" style="29" customWidth="1"/>
    <col min="2" max="2" width="13.7265625" style="29" customWidth="1"/>
    <col min="3" max="3" width="85.7265625" style="29" customWidth="1"/>
    <col min="4" max="6" width="28.54296875" style="29" customWidth="1"/>
    <col min="7" max="7" width="9.1796875" style="29" customWidth="1"/>
    <col min="8" max="16384" width="9.1796875" style="29"/>
  </cols>
  <sheetData>
    <row r="1" spans="2:6" s="85" customFormat="1" x14ac:dyDescent="0.35">
      <c r="B1" s="63" t="s">
        <v>742</v>
      </c>
      <c r="C1" s="138">
        <f>VLOOKUP($C$5,'Список таблиц'!A:E,2,FALSE)</f>
        <v>1806</v>
      </c>
      <c r="D1" s="98" t="s">
        <v>743</v>
      </c>
    </row>
    <row r="2" spans="2:6" s="85" customFormat="1" x14ac:dyDescent="0.35">
      <c r="B2" s="121" t="s">
        <v>744</v>
      </c>
      <c r="C2" s="138" t="str">
        <f>VLOOKUP($C$5,'Список таблиц'!A:E,3,FALSE)</f>
        <v>Положение о платежеспособности страховщиков и перестраховщиков</v>
      </c>
    </row>
    <row r="3" spans="2:6" x14ac:dyDescent="0.35">
      <c r="B3" s="68" t="s">
        <v>745</v>
      </c>
      <c r="C3" s="139">
        <f>VLOOKUP($C$5,'Список таблиц'!A:E,4,FALSE)</f>
        <v>4</v>
      </c>
    </row>
    <row r="4" spans="2:6" ht="29.25" customHeight="1" x14ac:dyDescent="0.35">
      <c r="B4" s="70" t="s">
        <v>746</v>
      </c>
      <c r="C4" s="122" t="str">
        <f>VLOOKUP($C$5,'Список таблиц'!A:E,5,FALSE)</f>
        <v>Расчет по долевому участию в уставном капитале любого одного юридического лица</v>
      </c>
      <c r="D4" s="132"/>
      <c r="E4" s="132"/>
      <c r="F4" s="132"/>
    </row>
    <row r="5" spans="2:6" x14ac:dyDescent="0.35">
      <c r="B5" s="68" t="s">
        <v>747</v>
      </c>
      <c r="C5" s="139" t="s">
        <v>252</v>
      </c>
    </row>
    <row r="7" spans="2:6" s="141" customFormat="1" ht="82.5" customHeight="1" x14ac:dyDescent="0.35">
      <c r="B7" s="72" t="s">
        <v>253</v>
      </c>
      <c r="C7" s="72" t="s">
        <v>810</v>
      </c>
      <c r="D7" s="72" t="s">
        <v>811</v>
      </c>
      <c r="E7" s="72" t="s">
        <v>812</v>
      </c>
      <c r="F7" s="72" t="s">
        <v>813</v>
      </c>
    </row>
    <row r="8" spans="2:6" ht="15.5" x14ac:dyDescent="0.35">
      <c r="B8" s="73">
        <v>1</v>
      </c>
      <c r="C8" s="74"/>
      <c r="D8" s="142"/>
      <c r="E8" s="115"/>
      <c r="F8" s="143"/>
    </row>
    <row r="9" spans="2:6" ht="15.5" x14ac:dyDescent="0.35">
      <c r="B9" s="73">
        <f>B8+1</f>
        <v>2</v>
      </c>
      <c r="C9" s="74"/>
      <c r="D9" s="142"/>
      <c r="E9" s="115"/>
      <c r="F9" s="143"/>
    </row>
    <row r="10" spans="2:6" ht="15.5" x14ac:dyDescent="0.35">
      <c r="B10" s="73">
        <f t="shared" ref="B10:B37" si="0">B9+1</f>
        <v>3</v>
      </c>
      <c r="C10" s="74"/>
      <c r="D10" s="142"/>
      <c r="E10" s="115"/>
      <c r="F10" s="143"/>
    </row>
    <row r="11" spans="2:6" ht="15.5" x14ac:dyDescent="0.35">
      <c r="B11" s="73">
        <f t="shared" si="0"/>
        <v>4</v>
      </c>
      <c r="C11" s="74"/>
      <c r="D11" s="142"/>
      <c r="E11" s="115"/>
      <c r="F11" s="143"/>
    </row>
    <row r="12" spans="2:6" ht="15.5" x14ac:dyDescent="0.35">
      <c r="B12" s="73">
        <f t="shared" si="0"/>
        <v>5</v>
      </c>
      <c r="C12" s="74"/>
      <c r="D12" s="142"/>
      <c r="E12" s="115"/>
      <c r="F12" s="143"/>
    </row>
    <row r="13" spans="2:6" ht="15.5" x14ac:dyDescent="0.35">
      <c r="B13" s="73">
        <f t="shared" si="0"/>
        <v>6</v>
      </c>
      <c r="C13" s="74"/>
      <c r="D13" s="142"/>
      <c r="E13" s="144"/>
      <c r="F13" s="143"/>
    </row>
    <row r="14" spans="2:6" ht="15.5" x14ac:dyDescent="0.35">
      <c r="B14" s="73">
        <f t="shared" si="0"/>
        <v>7</v>
      </c>
      <c r="C14" s="74"/>
      <c r="D14" s="142"/>
      <c r="E14" s="144"/>
      <c r="F14" s="143"/>
    </row>
    <row r="15" spans="2:6" ht="15.5" x14ac:dyDescent="0.35">
      <c r="B15" s="73">
        <f t="shared" si="0"/>
        <v>8</v>
      </c>
      <c r="C15" s="74"/>
      <c r="D15" s="142"/>
      <c r="E15" s="144"/>
      <c r="F15" s="143"/>
    </row>
    <row r="16" spans="2:6" ht="15.5" x14ac:dyDescent="0.35">
      <c r="B16" s="73">
        <f t="shared" si="0"/>
        <v>9</v>
      </c>
      <c r="C16" s="74"/>
      <c r="D16" s="142"/>
      <c r="E16" s="144"/>
      <c r="F16" s="143"/>
    </row>
    <row r="17" spans="2:6" ht="15.5" x14ac:dyDescent="0.35">
      <c r="B17" s="73">
        <f t="shared" si="0"/>
        <v>10</v>
      </c>
      <c r="C17" s="74"/>
      <c r="D17" s="142"/>
      <c r="E17" s="144"/>
      <c r="F17" s="143"/>
    </row>
    <row r="18" spans="2:6" ht="15.5" x14ac:dyDescent="0.35">
      <c r="B18" s="73">
        <f t="shared" si="0"/>
        <v>11</v>
      </c>
      <c r="C18" s="74"/>
      <c r="D18" s="142"/>
      <c r="E18" s="144"/>
      <c r="F18" s="143"/>
    </row>
    <row r="19" spans="2:6" ht="15.5" x14ac:dyDescent="0.35">
      <c r="B19" s="73">
        <f t="shared" si="0"/>
        <v>12</v>
      </c>
      <c r="C19" s="74"/>
      <c r="D19" s="142"/>
      <c r="E19" s="144"/>
      <c r="F19" s="143"/>
    </row>
    <row r="20" spans="2:6" ht="15.5" x14ac:dyDescent="0.35">
      <c r="B20" s="73">
        <f t="shared" si="0"/>
        <v>13</v>
      </c>
      <c r="C20" s="74"/>
      <c r="D20" s="142"/>
      <c r="E20" s="144"/>
      <c r="F20" s="143"/>
    </row>
    <row r="21" spans="2:6" ht="15.5" x14ac:dyDescent="0.35">
      <c r="B21" s="73">
        <f t="shared" si="0"/>
        <v>14</v>
      </c>
      <c r="C21" s="74"/>
      <c r="D21" s="142"/>
      <c r="E21" s="144"/>
      <c r="F21" s="143"/>
    </row>
    <row r="22" spans="2:6" ht="15.5" x14ac:dyDescent="0.35">
      <c r="B22" s="73">
        <f t="shared" si="0"/>
        <v>15</v>
      </c>
      <c r="C22" s="74"/>
      <c r="D22" s="142"/>
      <c r="E22" s="144"/>
      <c r="F22" s="143"/>
    </row>
    <row r="23" spans="2:6" ht="15.5" x14ac:dyDescent="0.35">
      <c r="B23" s="73">
        <f t="shared" si="0"/>
        <v>16</v>
      </c>
      <c r="C23" s="74"/>
      <c r="D23" s="142"/>
      <c r="E23" s="144"/>
      <c r="F23" s="143"/>
    </row>
    <row r="24" spans="2:6" ht="15.5" x14ac:dyDescent="0.35">
      <c r="B24" s="73">
        <f t="shared" si="0"/>
        <v>17</v>
      </c>
      <c r="C24" s="74"/>
      <c r="D24" s="142"/>
      <c r="E24" s="144"/>
      <c r="F24" s="143"/>
    </row>
    <row r="25" spans="2:6" ht="15.5" x14ac:dyDescent="0.35">
      <c r="B25" s="73">
        <f t="shared" si="0"/>
        <v>18</v>
      </c>
      <c r="C25" s="74"/>
      <c r="D25" s="142"/>
      <c r="E25" s="144"/>
      <c r="F25" s="143"/>
    </row>
    <row r="26" spans="2:6" ht="15.5" x14ac:dyDescent="0.35">
      <c r="B26" s="73">
        <f t="shared" si="0"/>
        <v>19</v>
      </c>
      <c r="C26" s="74"/>
      <c r="D26" s="142"/>
      <c r="E26" s="144"/>
      <c r="F26" s="143"/>
    </row>
    <row r="27" spans="2:6" ht="15.5" x14ac:dyDescent="0.35">
      <c r="B27" s="73">
        <f t="shared" si="0"/>
        <v>20</v>
      </c>
      <c r="C27" s="74"/>
      <c r="D27" s="142"/>
      <c r="E27" s="144"/>
      <c r="F27" s="143"/>
    </row>
    <row r="28" spans="2:6" ht="15.5" x14ac:dyDescent="0.35">
      <c r="B28" s="73">
        <f t="shared" si="0"/>
        <v>21</v>
      </c>
      <c r="C28" s="74"/>
      <c r="D28" s="142"/>
      <c r="E28" s="144"/>
      <c r="F28" s="143"/>
    </row>
    <row r="29" spans="2:6" ht="15.5" x14ac:dyDescent="0.35">
      <c r="B29" s="73">
        <f t="shared" si="0"/>
        <v>22</v>
      </c>
      <c r="C29" s="74"/>
      <c r="D29" s="142"/>
      <c r="E29" s="144"/>
      <c r="F29" s="143"/>
    </row>
    <row r="30" spans="2:6" ht="15.5" x14ac:dyDescent="0.35">
      <c r="B30" s="73">
        <f t="shared" si="0"/>
        <v>23</v>
      </c>
      <c r="C30" s="74"/>
      <c r="D30" s="142"/>
      <c r="E30" s="144"/>
      <c r="F30" s="143"/>
    </row>
    <row r="31" spans="2:6" ht="15.5" x14ac:dyDescent="0.35">
      <c r="B31" s="73">
        <f t="shared" si="0"/>
        <v>24</v>
      </c>
      <c r="C31" s="74"/>
      <c r="D31" s="142"/>
      <c r="E31" s="144"/>
      <c r="F31" s="143"/>
    </row>
    <row r="32" spans="2:6" ht="15.5" x14ac:dyDescent="0.35">
      <c r="B32" s="73">
        <f t="shared" si="0"/>
        <v>25</v>
      </c>
      <c r="C32" s="74"/>
      <c r="D32" s="142"/>
      <c r="E32" s="144"/>
      <c r="F32" s="143"/>
    </row>
    <row r="33" spans="2:6" ht="15.5" x14ac:dyDescent="0.35">
      <c r="B33" s="73">
        <f t="shared" si="0"/>
        <v>26</v>
      </c>
      <c r="C33" s="74"/>
      <c r="D33" s="142"/>
      <c r="E33" s="144"/>
      <c r="F33" s="143"/>
    </row>
    <row r="34" spans="2:6" ht="15.5" x14ac:dyDescent="0.35">
      <c r="B34" s="73">
        <f t="shared" si="0"/>
        <v>27</v>
      </c>
      <c r="C34" s="74"/>
      <c r="D34" s="142"/>
      <c r="E34" s="144"/>
      <c r="F34" s="143"/>
    </row>
    <row r="35" spans="2:6" ht="15.5" x14ac:dyDescent="0.35">
      <c r="B35" s="73">
        <f t="shared" si="0"/>
        <v>28</v>
      </c>
      <c r="C35" s="74"/>
      <c r="D35" s="142"/>
      <c r="E35" s="144"/>
      <c r="F35" s="143"/>
    </row>
    <row r="36" spans="2:6" ht="15.5" x14ac:dyDescent="0.35">
      <c r="B36" s="73">
        <f t="shared" si="0"/>
        <v>29</v>
      </c>
      <c r="C36" s="74"/>
      <c r="D36" s="142"/>
      <c r="E36" s="144"/>
      <c r="F36" s="143"/>
    </row>
    <row r="37" spans="2:6" ht="15.5" x14ac:dyDescent="0.35">
      <c r="B37" s="73">
        <f t="shared" si="0"/>
        <v>30</v>
      </c>
      <c r="C37" s="74"/>
      <c r="D37" s="142"/>
      <c r="E37" s="144"/>
      <c r="F37" s="143"/>
    </row>
  </sheetData>
  <hyperlinks>
    <hyperlink ref="D1" location="'Список таблиц'!A1" display="Список таблиц" xr:uid="{C7B6FA27-6635-4B69-973C-69B932A3D924}"/>
  </hyperlinks>
  <pageMargins left="0.70866141732283472" right="0.70866141732283472" top="0.74803149606299213" bottom="0.74803149606299213" header="0.31496062992125984" footer="0.31496062992125984"/>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nsert_line_1806_4_ru">
                <anchor moveWithCells="1" sizeWithCells="1">
                  <from>
                    <xdr:col>3</xdr:col>
                    <xdr:colOff>1651000</xdr:colOff>
                    <xdr:row>2</xdr:row>
                    <xdr:rowOff>76200</xdr:rowOff>
                  </from>
                  <to>
                    <xdr:col>5</xdr:col>
                    <xdr:colOff>1828800</xdr:colOff>
                    <xdr:row>3</xdr:row>
                    <xdr:rowOff>304800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4058F-1F6F-45F6-988F-C1C6FDCE085F}">
  <sheetPr codeName="Лист8">
    <tabColor theme="4" tint="0.79998168889431442"/>
    <pageSetUpPr fitToPage="1"/>
  </sheetPr>
  <dimension ref="B1:H37"/>
  <sheetViews>
    <sheetView showGridLines="0" view="pageBreakPreview" zoomScale="60" zoomScaleNormal="70" zoomScalePageLayoutView="40" workbookViewId="0">
      <selection activeCell="C1" sqref="C1:F1"/>
    </sheetView>
  </sheetViews>
  <sheetFormatPr defaultColWidth="9.1796875" defaultRowHeight="14.5" x14ac:dyDescent="0.35"/>
  <cols>
    <col min="1" max="1" width="7.81640625" style="29" customWidth="1"/>
    <col min="2" max="2" width="13.7265625" style="29" customWidth="1"/>
    <col min="3" max="3" width="57.26953125" style="29" customWidth="1"/>
    <col min="4" max="8" width="20" style="29" customWidth="1"/>
    <col min="9" max="9" width="9.1796875" style="29" customWidth="1"/>
    <col min="10" max="16384" width="9.1796875" style="29"/>
  </cols>
  <sheetData>
    <row r="1" spans="2:8" s="85" customFormat="1" x14ac:dyDescent="0.35">
      <c r="B1" s="63" t="s">
        <v>742</v>
      </c>
      <c r="C1" s="291">
        <f>VLOOKUP($C$5,'Список таблиц'!A:E,2,FALSE)</f>
        <v>1806</v>
      </c>
      <c r="D1" s="292"/>
      <c r="E1" s="292"/>
      <c r="F1" s="292"/>
      <c r="G1" s="98" t="s">
        <v>743</v>
      </c>
    </row>
    <row r="2" spans="2:8" s="85" customFormat="1" x14ac:dyDescent="0.35">
      <c r="B2" s="121" t="s">
        <v>744</v>
      </c>
      <c r="C2" s="291" t="str">
        <f>VLOOKUP($C$5,'Список таблиц'!A:E,3,FALSE)</f>
        <v>Положение о платежеспособности страховщиков и перестраховщиков</v>
      </c>
      <c r="D2" s="292"/>
      <c r="E2" s="292"/>
      <c r="F2" s="292"/>
    </row>
    <row r="3" spans="2:8" x14ac:dyDescent="0.35">
      <c r="B3" s="68" t="s">
        <v>745</v>
      </c>
      <c r="C3" s="293">
        <f>VLOOKUP($C$5,'Список таблиц'!A:E,4,FALSE)</f>
        <v>5</v>
      </c>
      <c r="D3" s="294"/>
      <c r="E3" s="294"/>
      <c r="F3" s="294"/>
    </row>
    <row r="4" spans="2:8" ht="15" customHeight="1" x14ac:dyDescent="0.35">
      <c r="B4" s="70" t="s">
        <v>746</v>
      </c>
      <c r="C4" s="276" t="str">
        <f>VLOOKUP($C$5,'Список таблиц'!A:E,5,FALSE)</f>
        <v>Расчет по сумме активов, размещенных у одного связанного лица или у всех связанных лиц страховщика/перестраховщика</v>
      </c>
      <c r="D4" s="277"/>
      <c r="E4" s="277"/>
      <c r="F4" s="277"/>
      <c r="G4" s="132"/>
      <c r="H4" s="132"/>
    </row>
    <row r="5" spans="2:8" x14ac:dyDescent="0.35">
      <c r="B5" s="68" t="s">
        <v>747</v>
      </c>
      <c r="C5" s="293" t="s">
        <v>258</v>
      </c>
      <c r="D5" s="294"/>
      <c r="E5" s="294"/>
      <c r="F5" s="294"/>
    </row>
    <row r="7" spans="2:8" ht="97.5" customHeight="1" x14ac:dyDescent="0.35">
      <c r="B7" s="72" t="s">
        <v>253</v>
      </c>
      <c r="C7" s="72" t="s">
        <v>814</v>
      </c>
      <c r="D7" s="72" t="s">
        <v>815</v>
      </c>
      <c r="E7" s="72" t="s">
        <v>816</v>
      </c>
      <c r="F7" s="72" t="s">
        <v>817</v>
      </c>
      <c r="G7" s="72" t="s">
        <v>818</v>
      </c>
      <c r="H7" s="72" t="s">
        <v>264</v>
      </c>
    </row>
    <row r="8" spans="2:8" ht="15.5" x14ac:dyDescent="0.35">
      <c r="B8" s="73">
        <v>1</v>
      </c>
      <c r="C8" s="145"/>
      <c r="D8" s="146"/>
      <c r="E8" s="147"/>
      <c r="F8" s="146"/>
      <c r="G8" s="146"/>
      <c r="H8" s="146"/>
    </row>
    <row r="9" spans="2:8" ht="15.5" x14ac:dyDescent="0.35">
      <c r="B9" s="73">
        <f>B8+1</f>
        <v>2</v>
      </c>
      <c r="C9" s="74"/>
      <c r="D9" s="143"/>
      <c r="E9" s="148"/>
      <c r="F9" s="143"/>
      <c r="G9" s="143"/>
      <c r="H9" s="143"/>
    </row>
    <row r="10" spans="2:8" ht="15.5" x14ac:dyDescent="0.35">
      <c r="B10" s="73">
        <f t="shared" ref="B10:B37" si="0">B9+1</f>
        <v>3</v>
      </c>
      <c r="C10" s="74"/>
      <c r="D10" s="143"/>
      <c r="E10" s="148"/>
      <c r="F10" s="143"/>
      <c r="G10" s="143"/>
      <c r="H10" s="143"/>
    </row>
    <row r="11" spans="2:8" ht="15.5" x14ac:dyDescent="0.35">
      <c r="B11" s="73">
        <f t="shared" si="0"/>
        <v>4</v>
      </c>
      <c r="C11" s="74"/>
      <c r="D11" s="143"/>
      <c r="E11" s="148"/>
      <c r="F11" s="143"/>
      <c r="G11" s="143"/>
      <c r="H11" s="143"/>
    </row>
    <row r="12" spans="2:8" ht="15.5" x14ac:dyDescent="0.35">
      <c r="B12" s="73">
        <f t="shared" si="0"/>
        <v>5</v>
      </c>
      <c r="C12" s="74"/>
      <c r="D12" s="143"/>
      <c r="E12" s="148"/>
      <c r="F12" s="143"/>
      <c r="G12" s="143"/>
      <c r="H12" s="143"/>
    </row>
    <row r="13" spans="2:8" ht="15.5" x14ac:dyDescent="0.35">
      <c r="B13" s="73">
        <f t="shared" si="0"/>
        <v>6</v>
      </c>
      <c r="C13" s="74"/>
      <c r="D13" s="143"/>
      <c r="E13" s="148"/>
      <c r="F13" s="143"/>
      <c r="G13" s="143"/>
      <c r="H13" s="143"/>
    </row>
    <row r="14" spans="2:8" ht="15.5" x14ac:dyDescent="0.35">
      <c r="B14" s="73">
        <f t="shared" si="0"/>
        <v>7</v>
      </c>
      <c r="C14" s="74"/>
      <c r="D14" s="143"/>
      <c r="E14" s="148"/>
      <c r="F14" s="143"/>
      <c r="G14" s="143"/>
      <c r="H14" s="143"/>
    </row>
    <row r="15" spans="2:8" ht="15.5" x14ac:dyDescent="0.35">
      <c r="B15" s="73">
        <f t="shared" si="0"/>
        <v>8</v>
      </c>
      <c r="C15" s="74"/>
      <c r="D15" s="143"/>
      <c r="E15" s="148"/>
      <c r="F15" s="143"/>
      <c r="G15" s="143"/>
      <c r="H15" s="143"/>
    </row>
    <row r="16" spans="2:8" ht="15.5" x14ac:dyDescent="0.35">
      <c r="B16" s="73">
        <f t="shared" si="0"/>
        <v>9</v>
      </c>
      <c r="C16" s="74"/>
      <c r="D16" s="143"/>
      <c r="E16" s="148"/>
      <c r="F16" s="143"/>
      <c r="G16" s="143"/>
      <c r="H16" s="143"/>
    </row>
    <row r="17" spans="2:8" ht="15.5" x14ac:dyDescent="0.35">
      <c r="B17" s="73">
        <f t="shared" si="0"/>
        <v>10</v>
      </c>
      <c r="C17" s="74"/>
      <c r="D17" s="143"/>
      <c r="E17" s="148"/>
      <c r="F17" s="143"/>
      <c r="G17" s="143"/>
      <c r="H17" s="143"/>
    </row>
    <row r="18" spans="2:8" ht="15.5" x14ac:dyDescent="0.35">
      <c r="B18" s="73">
        <f t="shared" si="0"/>
        <v>11</v>
      </c>
      <c r="C18" s="74"/>
      <c r="D18" s="143"/>
      <c r="E18" s="148"/>
      <c r="F18" s="143"/>
      <c r="G18" s="143"/>
      <c r="H18" s="143"/>
    </row>
    <row r="19" spans="2:8" ht="15.5" x14ac:dyDescent="0.35">
      <c r="B19" s="73">
        <f t="shared" si="0"/>
        <v>12</v>
      </c>
      <c r="C19" s="74"/>
      <c r="D19" s="143"/>
      <c r="E19" s="148"/>
      <c r="F19" s="143"/>
      <c r="G19" s="143"/>
      <c r="H19" s="143"/>
    </row>
    <row r="20" spans="2:8" ht="15.5" x14ac:dyDescent="0.35">
      <c r="B20" s="73">
        <f t="shared" si="0"/>
        <v>13</v>
      </c>
      <c r="C20" s="74"/>
      <c r="D20" s="143"/>
      <c r="E20" s="148"/>
      <c r="F20" s="143"/>
      <c r="G20" s="143"/>
      <c r="H20" s="143"/>
    </row>
    <row r="21" spans="2:8" ht="15.5" x14ac:dyDescent="0.35">
      <c r="B21" s="73">
        <f t="shared" si="0"/>
        <v>14</v>
      </c>
      <c r="C21" s="74"/>
      <c r="D21" s="143"/>
      <c r="E21" s="148"/>
      <c r="F21" s="143"/>
      <c r="G21" s="143"/>
      <c r="H21" s="143"/>
    </row>
    <row r="22" spans="2:8" ht="15.5" x14ac:dyDescent="0.35">
      <c r="B22" s="73">
        <f t="shared" si="0"/>
        <v>15</v>
      </c>
      <c r="C22" s="74"/>
      <c r="D22" s="143"/>
      <c r="E22" s="148"/>
      <c r="F22" s="143"/>
      <c r="G22" s="143"/>
      <c r="H22" s="143"/>
    </row>
    <row r="23" spans="2:8" ht="15.5" x14ac:dyDescent="0.35">
      <c r="B23" s="73">
        <f t="shared" si="0"/>
        <v>16</v>
      </c>
      <c r="C23" s="74"/>
      <c r="D23" s="143"/>
      <c r="E23" s="148"/>
      <c r="F23" s="143"/>
      <c r="G23" s="143"/>
      <c r="H23" s="143"/>
    </row>
    <row r="24" spans="2:8" ht="15.5" x14ac:dyDescent="0.35">
      <c r="B24" s="73">
        <f t="shared" si="0"/>
        <v>17</v>
      </c>
      <c r="C24" s="74"/>
      <c r="D24" s="143"/>
      <c r="E24" s="148"/>
      <c r="F24" s="143"/>
      <c r="G24" s="143"/>
      <c r="H24" s="143"/>
    </row>
    <row r="25" spans="2:8" ht="15.5" x14ac:dyDescent="0.35">
      <c r="B25" s="73">
        <f t="shared" si="0"/>
        <v>18</v>
      </c>
      <c r="C25" s="74"/>
      <c r="D25" s="143"/>
      <c r="E25" s="148"/>
      <c r="F25" s="143"/>
      <c r="G25" s="143"/>
      <c r="H25" s="143"/>
    </row>
    <row r="26" spans="2:8" ht="15.5" x14ac:dyDescent="0.35">
      <c r="B26" s="73">
        <f t="shared" si="0"/>
        <v>19</v>
      </c>
      <c r="C26" s="74"/>
      <c r="D26" s="143"/>
      <c r="E26" s="148"/>
      <c r="F26" s="143"/>
      <c r="G26" s="143"/>
      <c r="H26" s="143"/>
    </row>
    <row r="27" spans="2:8" ht="15.5" x14ac:dyDescent="0.35">
      <c r="B27" s="73">
        <f t="shared" si="0"/>
        <v>20</v>
      </c>
      <c r="C27" s="74"/>
      <c r="D27" s="143"/>
      <c r="E27" s="148"/>
      <c r="F27" s="143"/>
      <c r="G27" s="143"/>
      <c r="H27" s="143"/>
    </row>
    <row r="28" spans="2:8" ht="15.5" x14ac:dyDescent="0.35">
      <c r="B28" s="73">
        <f t="shared" si="0"/>
        <v>21</v>
      </c>
      <c r="C28" s="74"/>
      <c r="D28" s="143"/>
      <c r="E28" s="148"/>
      <c r="F28" s="143"/>
      <c r="G28" s="143"/>
      <c r="H28" s="143"/>
    </row>
    <row r="29" spans="2:8" ht="15.5" x14ac:dyDescent="0.35">
      <c r="B29" s="73">
        <f t="shared" si="0"/>
        <v>22</v>
      </c>
      <c r="C29" s="74"/>
      <c r="D29" s="143"/>
      <c r="E29" s="148"/>
      <c r="F29" s="143"/>
      <c r="G29" s="143"/>
      <c r="H29" s="143"/>
    </row>
    <row r="30" spans="2:8" ht="15.5" x14ac:dyDescent="0.35">
      <c r="B30" s="73">
        <f t="shared" si="0"/>
        <v>23</v>
      </c>
      <c r="C30" s="74"/>
      <c r="D30" s="143"/>
      <c r="E30" s="148"/>
      <c r="F30" s="143"/>
      <c r="G30" s="143"/>
      <c r="H30" s="143"/>
    </row>
    <row r="31" spans="2:8" ht="15.5" x14ac:dyDescent="0.35">
      <c r="B31" s="73">
        <f t="shared" si="0"/>
        <v>24</v>
      </c>
      <c r="C31" s="74"/>
      <c r="D31" s="143"/>
      <c r="E31" s="148"/>
      <c r="F31" s="143"/>
      <c r="G31" s="143"/>
      <c r="H31" s="143"/>
    </row>
    <row r="32" spans="2:8" ht="15.5" x14ac:dyDescent="0.35">
      <c r="B32" s="73">
        <f t="shared" si="0"/>
        <v>25</v>
      </c>
      <c r="C32" s="74"/>
      <c r="D32" s="143"/>
      <c r="E32" s="148"/>
      <c r="F32" s="143"/>
      <c r="G32" s="143"/>
      <c r="H32" s="143"/>
    </row>
    <row r="33" spans="2:8" ht="15.5" x14ac:dyDescent="0.35">
      <c r="B33" s="73">
        <f t="shared" si="0"/>
        <v>26</v>
      </c>
      <c r="C33" s="74"/>
      <c r="D33" s="143"/>
      <c r="E33" s="148"/>
      <c r="F33" s="143"/>
      <c r="G33" s="143"/>
      <c r="H33" s="143"/>
    </row>
    <row r="34" spans="2:8" ht="15.5" x14ac:dyDescent="0.35">
      <c r="B34" s="73">
        <f t="shared" si="0"/>
        <v>27</v>
      </c>
      <c r="C34" s="74"/>
      <c r="D34" s="143"/>
      <c r="E34" s="148"/>
      <c r="F34" s="143"/>
      <c r="G34" s="143"/>
      <c r="H34" s="143"/>
    </row>
    <row r="35" spans="2:8" ht="15.5" x14ac:dyDescent="0.35">
      <c r="B35" s="73">
        <f t="shared" si="0"/>
        <v>28</v>
      </c>
      <c r="C35" s="74"/>
      <c r="D35" s="143"/>
      <c r="E35" s="148"/>
      <c r="F35" s="143"/>
      <c r="G35" s="143"/>
      <c r="H35" s="143"/>
    </row>
    <row r="36" spans="2:8" ht="15.5" x14ac:dyDescent="0.35">
      <c r="B36" s="73">
        <f t="shared" si="0"/>
        <v>29</v>
      </c>
      <c r="C36" s="74"/>
      <c r="D36" s="143"/>
      <c r="E36" s="148"/>
      <c r="F36" s="143"/>
      <c r="G36" s="143"/>
      <c r="H36" s="143"/>
    </row>
    <row r="37" spans="2:8" ht="15.5" x14ac:dyDescent="0.35">
      <c r="B37" s="73">
        <f t="shared" si="0"/>
        <v>30</v>
      </c>
      <c r="C37" s="74"/>
      <c r="D37" s="143"/>
      <c r="E37" s="148"/>
      <c r="F37" s="143"/>
      <c r="G37" s="143"/>
      <c r="H37" s="143"/>
    </row>
  </sheetData>
  <mergeCells count="5">
    <mergeCell ref="C1:F1"/>
    <mergeCell ref="C2:F2"/>
    <mergeCell ref="C3:F3"/>
    <mergeCell ref="C4:F4"/>
    <mergeCell ref="C5:F5"/>
  </mergeCells>
  <hyperlinks>
    <hyperlink ref="G1" location="'Список таблиц'!A1" display="Список таблиц" xr:uid="{12B49B31-0A3A-4489-BE66-587BF84B5FE6}"/>
  </hyperlinks>
  <pageMargins left="0.70866141732283472" right="0.70866141732283472" top="0.74803149606299213" bottom="0.74803149606299213" header="0.31496062992125984" footer="0.31496062992125984"/>
  <pageSetup paperSize="9" scale="7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insert_line_1806_5_ru">
                <anchor moveWithCells="1" sizeWithCells="1">
                  <from>
                    <xdr:col>6</xdr:col>
                    <xdr:colOff>133350</xdr:colOff>
                    <xdr:row>1</xdr:row>
                    <xdr:rowOff>127000</xdr:rowOff>
                  </from>
                  <to>
                    <xdr:col>7</xdr:col>
                    <xdr:colOff>1250950</xdr:colOff>
                    <xdr:row>3</xdr:row>
                    <xdr:rowOff>165100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9050-0066-4618-AA04-DBAD1EA695BF}">
  <sheetPr codeName="Лист9">
    <tabColor theme="4" tint="0.79998168889431442"/>
    <pageSetUpPr fitToPage="1"/>
  </sheetPr>
  <dimension ref="B1:H60"/>
  <sheetViews>
    <sheetView showGridLines="0" view="pageBreakPreview" zoomScale="70" zoomScaleNormal="55" zoomScaleSheetLayoutView="70" zoomScalePageLayoutView="40" workbookViewId="0">
      <selection activeCell="G23" sqref="G23"/>
    </sheetView>
  </sheetViews>
  <sheetFormatPr defaultColWidth="9.1796875" defaultRowHeight="14.5" x14ac:dyDescent="0.35"/>
  <cols>
    <col min="1" max="1" width="7.81640625" style="29" customWidth="1"/>
    <col min="2" max="2" width="13.453125" style="29" customWidth="1"/>
    <col min="3" max="3" width="85.7265625" style="29" customWidth="1"/>
    <col min="4" max="8" width="22.81640625" style="29" customWidth="1"/>
    <col min="9" max="9" width="9.1796875" style="29" customWidth="1"/>
    <col min="10" max="16384" width="9.1796875" style="29"/>
  </cols>
  <sheetData>
    <row r="1" spans="2:8" s="85" customFormat="1" x14ac:dyDescent="0.35">
      <c r="B1" s="62" t="s">
        <v>742</v>
      </c>
      <c r="C1" s="291">
        <f>VLOOKUP($C$5,'Список таблиц'!A:E,2,FALSE)</f>
        <v>1806</v>
      </c>
      <c r="D1" s="292"/>
      <c r="E1" s="292"/>
      <c r="F1" s="292"/>
      <c r="G1" s="98" t="s">
        <v>743</v>
      </c>
    </row>
    <row r="2" spans="2:8" s="85" customFormat="1" x14ac:dyDescent="0.35">
      <c r="B2" s="65" t="s">
        <v>744</v>
      </c>
      <c r="C2" s="296" t="str">
        <f>VLOOKUP($C$5,'Список таблиц'!A:E,3,FALSE)</f>
        <v>Положение о платежеспособности страховщиков и перестраховщиков</v>
      </c>
      <c r="D2" s="297"/>
      <c r="E2" s="297"/>
      <c r="F2" s="297"/>
    </row>
    <row r="3" spans="2:8" x14ac:dyDescent="0.35">
      <c r="B3" s="67" t="s">
        <v>745</v>
      </c>
      <c r="C3" s="293">
        <f>VLOOKUP($C$5,'Список таблиц'!A:E,4,FALSE)</f>
        <v>6</v>
      </c>
      <c r="D3" s="294"/>
      <c r="E3" s="294"/>
      <c r="F3" s="294"/>
    </row>
    <row r="4" spans="2:8" ht="15" customHeight="1" x14ac:dyDescent="0.35">
      <c r="B4" s="69" t="s">
        <v>746</v>
      </c>
      <c r="C4" s="276" t="str">
        <f>VLOOKUP($C$5,'Список таблиц'!A:E,5,FALSE)</f>
        <v>Сведения о соблюдении требований по перестраховочным операциям страховщика/перестраховщика</v>
      </c>
      <c r="D4" s="277"/>
      <c r="E4" s="277"/>
      <c r="F4" s="277"/>
    </row>
    <row r="5" spans="2:8" x14ac:dyDescent="0.35">
      <c r="B5" s="67" t="s">
        <v>747</v>
      </c>
      <c r="C5" s="298" t="s">
        <v>265</v>
      </c>
      <c r="D5" s="299"/>
      <c r="E5" s="299"/>
      <c r="F5" s="299"/>
    </row>
    <row r="7" spans="2:8" ht="51" customHeight="1" x14ac:dyDescent="0.35">
      <c r="B7" s="110" t="s">
        <v>819</v>
      </c>
      <c r="C7" s="72" t="s">
        <v>820</v>
      </c>
      <c r="D7" s="72" t="s">
        <v>821</v>
      </c>
      <c r="E7" s="72" t="s">
        <v>822</v>
      </c>
      <c r="F7" s="72" t="s">
        <v>823</v>
      </c>
      <c r="G7" s="141"/>
      <c r="H7" s="141"/>
    </row>
    <row r="8" spans="2:8" ht="71.25" customHeight="1" x14ac:dyDescent="0.35">
      <c r="B8" s="141"/>
      <c r="C8" s="74" t="s">
        <v>824</v>
      </c>
      <c r="D8" s="73">
        <v>1</v>
      </c>
      <c r="E8" s="114"/>
      <c r="F8" s="124"/>
      <c r="G8" s="141"/>
      <c r="H8" s="141"/>
    </row>
    <row r="9" spans="2:8" ht="30" customHeight="1" x14ac:dyDescent="0.35">
      <c r="B9" s="141"/>
      <c r="C9" s="74" t="s">
        <v>825</v>
      </c>
      <c r="D9" s="73">
        <v>2</v>
      </c>
      <c r="E9" s="114"/>
      <c r="F9" s="124"/>
      <c r="G9" s="141"/>
      <c r="H9" s="141"/>
    </row>
    <row r="10" spans="2:8" ht="52.5" customHeight="1" x14ac:dyDescent="0.35">
      <c r="B10" s="141"/>
      <c r="C10" s="74" t="s">
        <v>826</v>
      </c>
      <c r="D10" s="73">
        <v>3</v>
      </c>
      <c r="E10" s="149"/>
      <c r="F10" s="126" t="s">
        <v>827</v>
      </c>
      <c r="G10" s="141"/>
      <c r="H10" s="141"/>
    </row>
    <row r="11" spans="2:8" ht="52.5" customHeight="1" x14ac:dyDescent="0.35">
      <c r="B11" s="141"/>
      <c r="C11" s="74" t="s">
        <v>828</v>
      </c>
      <c r="D11" s="73">
        <v>4</v>
      </c>
      <c r="E11" s="149"/>
      <c r="F11" s="126" t="s">
        <v>829</v>
      </c>
      <c r="G11" s="141"/>
      <c r="H11" s="141"/>
    </row>
    <row r="12" spans="2:8" ht="24" customHeight="1" x14ac:dyDescent="0.35">
      <c r="B12" s="141"/>
      <c r="C12" s="100"/>
      <c r="D12" s="99"/>
      <c r="E12" s="99"/>
      <c r="F12" s="150"/>
      <c r="G12" s="141"/>
      <c r="H12" s="141"/>
    </row>
    <row r="13" spans="2:8" ht="21" customHeight="1" x14ac:dyDescent="0.35">
      <c r="B13" s="295" t="s">
        <v>830</v>
      </c>
      <c r="C13" s="295"/>
      <c r="D13" s="295"/>
      <c r="E13" s="295"/>
      <c r="F13" s="295"/>
      <c r="G13" s="141"/>
      <c r="H13" s="141"/>
    </row>
    <row r="14" spans="2:8" ht="117" customHeight="1" x14ac:dyDescent="0.35">
      <c r="B14" s="87" t="s">
        <v>831</v>
      </c>
      <c r="C14" s="87" t="s">
        <v>832</v>
      </c>
      <c r="D14" s="72" t="s">
        <v>833</v>
      </c>
      <c r="E14" s="72" t="s">
        <v>834</v>
      </c>
      <c r="F14" s="72" t="s">
        <v>835</v>
      </c>
      <c r="G14" s="72" t="s">
        <v>836</v>
      </c>
      <c r="H14" s="72" t="s">
        <v>837</v>
      </c>
    </row>
    <row r="15" spans="2:8" ht="15.5" x14ac:dyDescent="0.35">
      <c r="B15" s="73">
        <v>1</v>
      </c>
      <c r="C15" s="74"/>
      <c r="D15" s="151"/>
      <c r="E15" s="148"/>
      <c r="F15" s="143"/>
      <c r="G15" s="151"/>
      <c r="H15" s="152"/>
    </row>
    <row r="16" spans="2:8" ht="15.5" x14ac:dyDescent="0.35">
      <c r="B16" s="73">
        <f>B15+1</f>
        <v>2</v>
      </c>
      <c r="C16" s="74"/>
      <c r="D16" s="151"/>
      <c r="E16" s="148"/>
      <c r="F16" s="143"/>
      <c r="G16" s="151"/>
      <c r="H16" s="152"/>
    </row>
    <row r="17" spans="2:8" ht="15.5" x14ac:dyDescent="0.35">
      <c r="B17" s="73">
        <f t="shared" ref="B17:B60" si="0">B16+1</f>
        <v>3</v>
      </c>
      <c r="C17" s="74"/>
      <c r="D17" s="151"/>
      <c r="E17" s="153"/>
      <c r="F17" s="143"/>
      <c r="G17" s="151"/>
      <c r="H17" s="152"/>
    </row>
    <row r="18" spans="2:8" ht="15.5" x14ac:dyDescent="0.35">
      <c r="B18" s="73">
        <f t="shared" si="0"/>
        <v>4</v>
      </c>
      <c r="C18" s="74"/>
      <c r="D18" s="151"/>
      <c r="E18" s="153"/>
      <c r="F18" s="143"/>
      <c r="G18" s="151"/>
      <c r="H18" s="152"/>
    </row>
    <row r="19" spans="2:8" ht="15.5" x14ac:dyDescent="0.35">
      <c r="B19" s="73">
        <f t="shared" si="0"/>
        <v>5</v>
      </c>
      <c r="C19" s="74"/>
      <c r="D19" s="151"/>
      <c r="E19" s="148"/>
      <c r="F19" s="143"/>
      <c r="G19" s="151"/>
      <c r="H19" s="152"/>
    </row>
    <row r="20" spans="2:8" ht="15.5" x14ac:dyDescent="0.35">
      <c r="B20" s="73">
        <f t="shared" si="0"/>
        <v>6</v>
      </c>
      <c r="C20" s="74"/>
      <c r="D20" s="151"/>
      <c r="E20" s="148"/>
      <c r="F20" s="143"/>
      <c r="G20" s="151"/>
      <c r="H20" s="152"/>
    </row>
    <row r="21" spans="2:8" ht="15.5" x14ac:dyDescent="0.35">
      <c r="B21" s="73">
        <f t="shared" si="0"/>
        <v>7</v>
      </c>
      <c r="C21" s="74"/>
      <c r="D21" s="151"/>
      <c r="E21" s="153"/>
      <c r="F21" s="143"/>
      <c r="G21" s="151"/>
      <c r="H21" s="152"/>
    </row>
    <row r="22" spans="2:8" ht="15.5" x14ac:dyDescent="0.35">
      <c r="B22" s="73">
        <f t="shared" si="0"/>
        <v>8</v>
      </c>
      <c r="C22" s="74"/>
      <c r="D22" s="151"/>
      <c r="E22" s="153"/>
      <c r="F22" s="143"/>
      <c r="G22" s="151"/>
      <c r="H22" s="152"/>
    </row>
    <row r="23" spans="2:8" ht="15.5" x14ac:dyDescent="0.35">
      <c r="B23" s="73">
        <f t="shared" si="0"/>
        <v>9</v>
      </c>
      <c r="C23" s="74"/>
      <c r="D23" s="151"/>
      <c r="E23" s="148"/>
      <c r="F23" s="143"/>
      <c r="G23" s="151"/>
      <c r="H23" s="152"/>
    </row>
    <row r="24" spans="2:8" ht="15.5" x14ac:dyDescent="0.35">
      <c r="B24" s="73">
        <f t="shared" si="0"/>
        <v>10</v>
      </c>
      <c r="C24" s="74"/>
      <c r="D24" s="151"/>
      <c r="E24" s="148"/>
      <c r="F24" s="143"/>
      <c r="G24" s="151"/>
      <c r="H24" s="152"/>
    </row>
    <row r="25" spans="2:8" ht="15.5" x14ac:dyDescent="0.35">
      <c r="B25" s="73">
        <f t="shared" si="0"/>
        <v>11</v>
      </c>
      <c r="C25" s="74"/>
      <c r="D25" s="151"/>
      <c r="E25" s="153"/>
      <c r="F25" s="143"/>
      <c r="G25" s="151"/>
      <c r="H25" s="152"/>
    </row>
    <row r="26" spans="2:8" ht="15.5" x14ac:dyDescent="0.35">
      <c r="B26" s="73">
        <f t="shared" si="0"/>
        <v>12</v>
      </c>
      <c r="C26" s="74"/>
      <c r="D26" s="151"/>
      <c r="E26" s="153"/>
      <c r="F26" s="143"/>
      <c r="G26" s="151"/>
      <c r="H26" s="152"/>
    </row>
    <row r="27" spans="2:8" ht="15.5" x14ac:dyDescent="0.35">
      <c r="B27" s="73">
        <f t="shared" si="0"/>
        <v>13</v>
      </c>
      <c r="C27" s="74"/>
      <c r="D27" s="151"/>
      <c r="E27" s="148"/>
      <c r="F27" s="143"/>
      <c r="G27" s="151"/>
      <c r="H27" s="152"/>
    </row>
    <row r="28" spans="2:8" ht="15.5" x14ac:dyDescent="0.35">
      <c r="B28" s="73">
        <f t="shared" si="0"/>
        <v>14</v>
      </c>
      <c r="C28" s="74"/>
      <c r="D28" s="151"/>
      <c r="E28" s="148"/>
      <c r="F28" s="143"/>
      <c r="G28" s="151"/>
      <c r="H28" s="152"/>
    </row>
    <row r="29" spans="2:8" ht="15.5" x14ac:dyDescent="0.35">
      <c r="B29" s="73">
        <f t="shared" si="0"/>
        <v>15</v>
      </c>
      <c r="C29" s="74"/>
      <c r="D29" s="151"/>
      <c r="E29" s="153"/>
      <c r="F29" s="143"/>
      <c r="G29" s="151"/>
      <c r="H29" s="152"/>
    </row>
    <row r="30" spans="2:8" ht="15.5" x14ac:dyDescent="0.35">
      <c r="B30" s="73">
        <f t="shared" si="0"/>
        <v>16</v>
      </c>
      <c r="C30" s="74"/>
      <c r="D30" s="151"/>
      <c r="E30" s="153"/>
      <c r="F30" s="143"/>
      <c r="G30" s="151"/>
      <c r="H30" s="152"/>
    </row>
    <row r="31" spans="2:8" ht="15.5" x14ac:dyDescent="0.35">
      <c r="B31" s="73">
        <f t="shared" si="0"/>
        <v>17</v>
      </c>
      <c r="C31" s="74"/>
      <c r="D31" s="151"/>
      <c r="E31" s="148"/>
      <c r="F31" s="143"/>
      <c r="G31" s="151"/>
      <c r="H31" s="152"/>
    </row>
    <row r="32" spans="2:8" ht="15.5" x14ac:dyDescent="0.35">
      <c r="B32" s="73">
        <f t="shared" si="0"/>
        <v>18</v>
      </c>
      <c r="C32" s="74"/>
      <c r="D32" s="151"/>
      <c r="E32" s="148"/>
      <c r="F32" s="143"/>
      <c r="G32" s="151"/>
      <c r="H32" s="152"/>
    </row>
    <row r="33" spans="2:8" ht="15.5" x14ac:dyDescent="0.35">
      <c r="B33" s="73">
        <f t="shared" si="0"/>
        <v>19</v>
      </c>
      <c r="C33" s="74"/>
      <c r="D33" s="151"/>
      <c r="E33" s="153"/>
      <c r="F33" s="143"/>
      <c r="G33" s="151"/>
      <c r="H33" s="152"/>
    </row>
    <row r="34" spans="2:8" ht="15.5" x14ac:dyDescent="0.35">
      <c r="B34" s="73">
        <f t="shared" si="0"/>
        <v>20</v>
      </c>
      <c r="C34" s="74"/>
      <c r="D34" s="151"/>
      <c r="E34" s="153"/>
      <c r="F34" s="143"/>
      <c r="G34" s="151"/>
      <c r="H34" s="152"/>
    </row>
    <row r="35" spans="2:8" ht="15.5" x14ac:dyDescent="0.35">
      <c r="B35" s="73">
        <f t="shared" si="0"/>
        <v>21</v>
      </c>
      <c r="C35" s="74"/>
      <c r="D35" s="151"/>
      <c r="E35" s="148"/>
      <c r="F35" s="143"/>
      <c r="G35" s="151"/>
      <c r="H35" s="152"/>
    </row>
    <row r="36" spans="2:8" ht="15.5" x14ac:dyDescent="0.35">
      <c r="B36" s="73">
        <f t="shared" si="0"/>
        <v>22</v>
      </c>
      <c r="C36" s="74"/>
      <c r="D36" s="151"/>
      <c r="E36" s="148"/>
      <c r="F36" s="143"/>
      <c r="G36" s="151"/>
      <c r="H36" s="152"/>
    </row>
    <row r="37" spans="2:8" ht="15.5" x14ac:dyDescent="0.35">
      <c r="B37" s="73">
        <f t="shared" si="0"/>
        <v>23</v>
      </c>
      <c r="C37" s="74"/>
      <c r="D37" s="151"/>
      <c r="E37" s="153"/>
      <c r="F37" s="143"/>
      <c r="G37" s="151"/>
      <c r="H37" s="152"/>
    </row>
    <row r="38" spans="2:8" ht="15.5" x14ac:dyDescent="0.35">
      <c r="B38" s="73">
        <f t="shared" si="0"/>
        <v>24</v>
      </c>
      <c r="C38" s="74"/>
      <c r="D38" s="151"/>
      <c r="E38" s="153"/>
      <c r="F38" s="143"/>
      <c r="G38" s="151"/>
      <c r="H38" s="152"/>
    </row>
    <row r="39" spans="2:8" ht="15.5" x14ac:dyDescent="0.35">
      <c r="B39" s="73">
        <f t="shared" si="0"/>
        <v>25</v>
      </c>
      <c r="C39" s="74"/>
      <c r="D39" s="151"/>
      <c r="E39" s="148"/>
      <c r="F39" s="143"/>
      <c r="G39" s="151"/>
      <c r="H39" s="152"/>
    </row>
    <row r="40" spans="2:8" ht="15.5" x14ac:dyDescent="0.35">
      <c r="B40" s="73">
        <f t="shared" si="0"/>
        <v>26</v>
      </c>
      <c r="C40" s="74"/>
      <c r="D40" s="151"/>
      <c r="E40" s="148"/>
      <c r="F40" s="143"/>
      <c r="G40" s="151"/>
      <c r="H40" s="152"/>
    </row>
    <row r="41" spans="2:8" ht="15.5" x14ac:dyDescent="0.35">
      <c r="B41" s="73">
        <f t="shared" si="0"/>
        <v>27</v>
      </c>
      <c r="C41" s="74"/>
      <c r="D41" s="151"/>
      <c r="E41" s="148"/>
      <c r="F41" s="143"/>
      <c r="G41" s="151"/>
      <c r="H41" s="152"/>
    </row>
    <row r="42" spans="2:8" ht="15.5" x14ac:dyDescent="0.35">
      <c r="B42" s="73">
        <f t="shared" si="0"/>
        <v>28</v>
      </c>
      <c r="C42" s="74"/>
      <c r="D42" s="151"/>
      <c r="E42" s="148"/>
      <c r="F42" s="143"/>
      <c r="G42" s="151"/>
      <c r="H42" s="152"/>
    </row>
    <row r="43" spans="2:8" ht="15.5" x14ac:dyDescent="0.35">
      <c r="B43" s="73">
        <f t="shared" si="0"/>
        <v>29</v>
      </c>
      <c r="C43" s="74"/>
      <c r="D43" s="151"/>
      <c r="E43" s="148"/>
      <c r="F43" s="143"/>
      <c r="G43" s="151"/>
      <c r="H43" s="152"/>
    </row>
    <row r="44" spans="2:8" ht="15.5" x14ac:dyDescent="0.35">
      <c r="B44" s="73">
        <f t="shared" si="0"/>
        <v>30</v>
      </c>
      <c r="C44" s="74"/>
      <c r="D44" s="151"/>
      <c r="E44" s="148"/>
      <c r="F44" s="143"/>
      <c r="G44" s="151"/>
      <c r="H44" s="152"/>
    </row>
    <row r="45" spans="2:8" ht="15.5" x14ac:dyDescent="0.35">
      <c r="B45" s="73">
        <f t="shared" si="0"/>
        <v>31</v>
      </c>
      <c r="C45" s="74"/>
      <c r="D45" s="151"/>
      <c r="E45" s="148"/>
      <c r="F45" s="143"/>
      <c r="G45" s="151"/>
      <c r="H45" s="152"/>
    </row>
    <row r="46" spans="2:8" ht="15.5" x14ac:dyDescent="0.35">
      <c r="B46" s="73">
        <f t="shared" si="0"/>
        <v>32</v>
      </c>
      <c r="C46" s="74"/>
      <c r="D46" s="151"/>
      <c r="E46" s="148"/>
      <c r="F46" s="143"/>
      <c r="G46" s="151"/>
      <c r="H46" s="152"/>
    </row>
    <row r="47" spans="2:8" ht="15.5" x14ac:dyDescent="0.35">
      <c r="B47" s="73">
        <f t="shared" si="0"/>
        <v>33</v>
      </c>
      <c r="C47" s="74"/>
      <c r="D47" s="151"/>
      <c r="E47" s="148"/>
      <c r="F47" s="143"/>
      <c r="G47" s="151"/>
      <c r="H47" s="152"/>
    </row>
    <row r="48" spans="2:8" ht="15.5" x14ac:dyDescent="0.35">
      <c r="B48" s="73">
        <f t="shared" si="0"/>
        <v>34</v>
      </c>
      <c r="C48" s="74"/>
      <c r="D48" s="151"/>
      <c r="E48" s="148"/>
      <c r="F48" s="143"/>
      <c r="G48" s="151"/>
      <c r="H48" s="152"/>
    </row>
    <row r="49" spans="2:8" ht="15.5" x14ac:dyDescent="0.35">
      <c r="B49" s="73">
        <f t="shared" si="0"/>
        <v>35</v>
      </c>
      <c r="C49" s="74"/>
      <c r="D49" s="151"/>
      <c r="E49" s="148"/>
      <c r="F49" s="143"/>
      <c r="G49" s="151"/>
      <c r="H49" s="152"/>
    </row>
    <row r="50" spans="2:8" ht="15.5" x14ac:dyDescent="0.35">
      <c r="B50" s="73">
        <f t="shared" si="0"/>
        <v>36</v>
      </c>
      <c r="C50" s="74"/>
      <c r="D50" s="151"/>
      <c r="E50" s="148"/>
      <c r="F50" s="143"/>
      <c r="G50" s="151"/>
      <c r="H50" s="152"/>
    </row>
    <row r="51" spans="2:8" ht="15.5" x14ac:dyDescent="0.35">
      <c r="B51" s="73">
        <f t="shared" si="0"/>
        <v>37</v>
      </c>
      <c r="C51" s="74"/>
      <c r="D51" s="151"/>
      <c r="E51" s="148"/>
      <c r="F51" s="143"/>
      <c r="G51" s="151"/>
      <c r="H51" s="152"/>
    </row>
    <row r="52" spans="2:8" ht="15.5" x14ac:dyDescent="0.35">
      <c r="B52" s="73">
        <f t="shared" si="0"/>
        <v>38</v>
      </c>
      <c r="C52" s="74"/>
      <c r="D52" s="151"/>
      <c r="E52" s="148"/>
      <c r="F52" s="143"/>
      <c r="G52" s="151"/>
      <c r="H52" s="152"/>
    </row>
    <row r="53" spans="2:8" ht="15.5" x14ac:dyDescent="0.35">
      <c r="B53" s="73">
        <f t="shared" si="0"/>
        <v>39</v>
      </c>
      <c r="C53" s="74"/>
      <c r="D53" s="151"/>
      <c r="E53" s="148"/>
      <c r="F53" s="143"/>
      <c r="G53" s="151"/>
      <c r="H53" s="152"/>
    </row>
    <row r="54" spans="2:8" ht="15.5" x14ac:dyDescent="0.35">
      <c r="B54" s="73">
        <f t="shared" si="0"/>
        <v>40</v>
      </c>
      <c r="C54" s="74"/>
      <c r="D54" s="151"/>
      <c r="E54" s="148"/>
      <c r="F54" s="143"/>
      <c r="G54" s="151"/>
      <c r="H54" s="152"/>
    </row>
    <row r="55" spans="2:8" ht="15.5" x14ac:dyDescent="0.35">
      <c r="B55" s="73">
        <f t="shared" si="0"/>
        <v>41</v>
      </c>
      <c r="C55" s="74"/>
      <c r="D55" s="151"/>
      <c r="E55" s="148"/>
      <c r="F55" s="143"/>
      <c r="G55" s="151"/>
      <c r="H55" s="152"/>
    </row>
    <row r="56" spans="2:8" ht="15.5" x14ac:dyDescent="0.35">
      <c r="B56" s="73">
        <f t="shared" si="0"/>
        <v>42</v>
      </c>
      <c r="C56" s="74"/>
      <c r="D56" s="151"/>
      <c r="E56" s="148"/>
      <c r="F56" s="143"/>
      <c r="G56" s="151"/>
      <c r="H56" s="152"/>
    </row>
    <row r="57" spans="2:8" ht="15.5" x14ac:dyDescent="0.35">
      <c r="B57" s="73">
        <f t="shared" si="0"/>
        <v>43</v>
      </c>
      <c r="C57" s="74"/>
      <c r="D57" s="151"/>
      <c r="E57" s="148"/>
      <c r="F57" s="143"/>
      <c r="G57" s="151"/>
      <c r="H57" s="152"/>
    </row>
    <row r="58" spans="2:8" ht="15.5" x14ac:dyDescent="0.35">
      <c r="B58" s="73">
        <f t="shared" si="0"/>
        <v>44</v>
      </c>
      <c r="C58" s="74"/>
      <c r="D58" s="151"/>
      <c r="E58" s="148"/>
      <c r="F58" s="143"/>
      <c r="G58" s="151"/>
      <c r="H58" s="152"/>
    </row>
    <row r="59" spans="2:8" ht="15.5" x14ac:dyDescent="0.35">
      <c r="B59" s="73">
        <f t="shared" si="0"/>
        <v>45</v>
      </c>
      <c r="C59" s="74"/>
      <c r="D59" s="151"/>
      <c r="E59" s="148"/>
      <c r="F59" s="143"/>
      <c r="G59" s="151"/>
      <c r="H59" s="152"/>
    </row>
    <row r="60" spans="2:8" ht="15.5" x14ac:dyDescent="0.35">
      <c r="B60" s="73">
        <f t="shared" si="0"/>
        <v>46</v>
      </c>
      <c r="C60" s="74"/>
      <c r="D60" s="151"/>
      <c r="E60" s="148"/>
      <c r="F60" s="143"/>
      <c r="G60" s="151"/>
      <c r="H60" s="152"/>
    </row>
  </sheetData>
  <mergeCells count="6">
    <mergeCell ref="B13:F13"/>
    <mergeCell ref="C1:F1"/>
    <mergeCell ref="C2:F2"/>
    <mergeCell ref="C3:F3"/>
    <mergeCell ref="C4:F4"/>
    <mergeCell ref="C5:F5"/>
  </mergeCells>
  <hyperlinks>
    <hyperlink ref="D14" r:id="rId1" display="javascript:scrollText(1354486)" xr:uid="{C15CDE0F-2CB2-4103-ACE9-36C35B69C3FB}"/>
    <hyperlink ref="G1" location="'Список таблиц'!A1" display="Список таблиц" xr:uid="{90BBA823-70BF-470A-9A63-BE27C0B6FA8D}"/>
  </hyperlinks>
  <pageMargins left="0.70866141732283472" right="0.70866141732283472" top="0.74803149606299213" bottom="0.74803149606299213" header="0.31496062992125984" footer="0.31496062992125984"/>
  <pageSetup paperSize="9" scale="4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insert_line_1806_6_ru">
                <anchor moveWithCells="1" sizeWithCells="1">
                  <from>
                    <xdr:col>6</xdr:col>
                    <xdr:colOff>114300</xdr:colOff>
                    <xdr:row>1</xdr:row>
                    <xdr:rowOff>76200</xdr:rowOff>
                  </from>
                  <to>
                    <xdr:col>7</xdr:col>
                    <xdr:colOff>1517650</xdr:colOff>
                    <xdr:row>3</xdr:row>
                    <xdr:rowOff>127000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954B3-34DC-4CF4-A681-16E04809B485}">
  <sheetPr codeName="Лист21">
    <tabColor theme="5" tint="0.79998168889431442"/>
  </sheetPr>
  <dimension ref="B1:F39"/>
  <sheetViews>
    <sheetView view="pageBreakPreview" zoomScale="60" zoomScaleNormal="100" workbookViewId="0">
      <selection activeCell="C18" sqref="C18"/>
    </sheetView>
  </sheetViews>
  <sheetFormatPr defaultColWidth="9.1796875" defaultRowHeight="14.5" x14ac:dyDescent="0.35"/>
  <cols>
    <col min="1" max="1" width="7.81640625" style="29" customWidth="1"/>
    <col min="2" max="2" width="13.54296875" style="29" customWidth="1"/>
    <col min="3" max="3" width="121.453125" style="29" customWidth="1"/>
    <col min="4" max="4" width="31.453125" style="29" customWidth="1"/>
    <col min="5" max="5" width="46.81640625" style="29" bestFit="1" customWidth="1"/>
    <col min="6" max="6" width="11.54296875" style="29" bestFit="1" customWidth="1"/>
    <col min="7" max="16384" width="9.1796875" style="29"/>
  </cols>
  <sheetData>
    <row r="1" spans="2:6" s="85" customFormat="1" x14ac:dyDescent="0.35">
      <c r="B1" s="62" t="s">
        <v>742</v>
      </c>
      <c r="C1" s="63">
        <f>VLOOKUP($C$5,'Список таблиц'!A:E,2,FALSE)</f>
        <v>1882</v>
      </c>
      <c r="D1" s="98" t="s">
        <v>743</v>
      </c>
    </row>
    <row r="2" spans="2:6" s="85" customFormat="1" x14ac:dyDescent="0.35">
      <c r="B2" s="65" t="s">
        <v>744</v>
      </c>
      <c r="C2" s="66" t="str">
        <f>VLOOKUP($C$5,'Список таблиц'!A:E,3,FALSE)</f>
        <v>Положение о страховых резервах страховщиков</v>
      </c>
      <c r="D2" s="29"/>
      <c r="E2" s="86"/>
      <c r="F2" s="91"/>
    </row>
    <row r="3" spans="2:6" x14ac:dyDescent="0.35">
      <c r="B3" s="67" t="s">
        <v>745</v>
      </c>
      <c r="C3" s="68">
        <f>VLOOKUP($C$5,'Список таблиц'!A:E,4,FALSE)</f>
        <v>1</v>
      </c>
    </row>
    <row r="4" spans="2:6" ht="42.75" customHeight="1" x14ac:dyDescent="0.35">
      <c r="B4" s="69" t="s">
        <v>746</v>
      </c>
      <c r="C4" s="70" t="str">
        <f>VLOOKUP($C$5,'Список таблиц'!A:E,5,FALSE)</f>
        <v>Расчет доходов, расходов и финансового результата для целей расчета стабилизационного резерва по обязательному страхованию гражданской ответственности владельцев транспортных средств</v>
      </c>
    </row>
    <row r="5" spans="2:6" x14ac:dyDescent="0.35">
      <c r="B5" s="67" t="s">
        <v>747</v>
      </c>
      <c r="C5" s="71" t="s">
        <v>285</v>
      </c>
    </row>
    <row r="6" spans="2:6" x14ac:dyDescent="0.35">
      <c r="D6" s="154" t="s">
        <v>838</v>
      </c>
    </row>
    <row r="7" spans="2:6" ht="15" x14ac:dyDescent="0.35">
      <c r="B7" s="72" t="s">
        <v>839</v>
      </c>
      <c r="C7" s="72" t="s">
        <v>820</v>
      </c>
      <c r="D7" s="72" t="s">
        <v>750</v>
      </c>
    </row>
    <row r="8" spans="2:6" ht="15" customHeight="1" x14ac:dyDescent="0.35">
      <c r="B8" s="73" t="s">
        <v>156</v>
      </c>
      <c r="C8" s="74" t="s">
        <v>840</v>
      </c>
      <c r="D8" s="197"/>
    </row>
    <row r="9" spans="2:6" ht="15" customHeight="1" x14ac:dyDescent="0.35">
      <c r="B9" s="73" t="s">
        <v>158</v>
      </c>
      <c r="C9" s="74" t="s">
        <v>841</v>
      </c>
      <c r="D9" s="197"/>
    </row>
    <row r="10" spans="2:6" ht="15" customHeight="1" x14ac:dyDescent="0.35">
      <c r="B10" s="73" t="s">
        <v>160</v>
      </c>
      <c r="C10" s="74" t="s">
        <v>842</v>
      </c>
      <c r="D10" s="197"/>
    </row>
    <row r="11" spans="2:6" ht="15" customHeight="1" x14ac:dyDescent="0.35">
      <c r="B11" s="73" t="s">
        <v>162</v>
      </c>
      <c r="C11" s="74" t="s">
        <v>843</v>
      </c>
      <c r="D11" s="197"/>
    </row>
    <row r="12" spans="2:6" ht="15" customHeight="1" x14ac:dyDescent="0.35">
      <c r="B12" s="73" t="s">
        <v>164</v>
      </c>
      <c r="C12" s="74" t="s">
        <v>844</v>
      </c>
      <c r="D12" s="197"/>
    </row>
    <row r="13" spans="2:6" ht="15" customHeight="1" x14ac:dyDescent="0.35">
      <c r="B13" s="73" t="s">
        <v>166</v>
      </c>
      <c r="C13" s="74" t="s">
        <v>845</v>
      </c>
      <c r="D13" s="197"/>
    </row>
    <row r="14" spans="2:6" ht="15" customHeight="1" x14ac:dyDescent="0.35">
      <c r="B14" s="73" t="s">
        <v>168</v>
      </c>
      <c r="C14" s="74" t="s">
        <v>846</v>
      </c>
      <c r="D14" s="197"/>
    </row>
    <row r="15" spans="2:6" ht="15" customHeight="1" x14ac:dyDescent="0.35">
      <c r="B15" s="73" t="s">
        <v>170</v>
      </c>
      <c r="C15" s="74" t="s">
        <v>847</v>
      </c>
      <c r="D15" s="197"/>
    </row>
    <row r="16" spans="2:6" ht="15" customHeight="1" x14ac:dyDescent="0.35">
      <c r="B16" s="73" t="s">
        <v>172</v>
      </c>
      <c r="C16" s="74" t="s">
        <v>848</v>
      </c>
      <c r="D16" s="197"/>
    </row>
    <row r="17" spans="2:4" ht="30" customHeight="1" x14ac:dyDescent="0.35">
      <c r="B17" s="73" t="s">
        <v>174</v>
      </c>
      <c r="C17" s="74" t="s">
        <v>849</v>
      </c>
      <c r="D17" s="197"/>
    </row>
    <row r="18" spans="2:4" s="129" customFormat="1" ht="52.5" customHeight="1" x14ac:dyDescent="0.35">
      <c r="B18" s="73" t="s">
        <v>176</v>
      </c>
      <c r="C18" s="74" t="s">
        <v>1291</v>
      </c>
      <c r="D18" s="191"/>
    </row>
    <row r="19" spans="2:4" ht="15" customHeight="1" x14ac:dyDescent="0.35">
      <c r="B19" s="73" t="s">
        <v>178</v>
      </c>
      <c r="C19" s="74" t="s">
        <v>850</v>
      </c>
      <c r="D19" s="197"/>
    </row>
    <row r="20" spans="2:4" ht="15" customHeight="1" x14ac:dyDescent="0.35">
      <c r="B20" s="73" t="s">
        <v>180</v>
      </c>
      <c r="C20" s="74" t="s">
        <v>851</v>
      </c>
      <c r="D20" s="197"/>
    </row>
    <row r="21" spans="2:4" ht="30" customHeight="1" x14ac:dyDescent="0.35">
      <c r="B21" s="133" t="s">
        <v>182</v>
      </c>
      <c r="C21" s="155" t="s">
        <v>852</v>
      </c>
      <c r="D21" s="204"/>
    </row>
    <row r="22" spans="2:4" ht="15" customHeight="1" x14ac:dyDescent="0.35">
      <c r="B22" s="73" t="s">
        <v>184</v>
      </c>
      <c r="C22" s="74" t="s">
        <v>853</v>
      </c>
      <c r="D22" s="197"/>
    </row>
    <row r="23" spans="2:4" ht="15.5" x14ac:dyDescent="0.35">
      <c r="B23" s="99"/>
      <c r="C23" s="100"/>
      <c r="D23" s="156"/>
    </row>
    <row r="24" spans="2:4" ht="34.5" customHeight="1" x14ac:dyDescent="0.35">
      <c r="B24" s="157"/>
      <c r="C24" s="158" t="s">
        <v>854</v>
      </c>
      <c r="D24" s="159" t="s">
        <v>855</v>
      </c>
    </row>
    <row r="25" spans="2:4" ht="15" x14ac:dyDescent="0.35">
      <c r="B25" s="72" t="s">
        <v>839</v>
      </c>
      <c r="C25" s="72" t="s">
        <v>820</v>
      </c>
      <c r="D25" s="160" t="s">
        <v>750</v>
      </c>
    </row>
    <row r="26" spans="2:4" ht="15" customHeight="1" x14ac:dyDescent="0.35">
      <c r="B26" s="73" t="s">
        <v>156</v>
      </c>
      <c r="C26" s="74" t="s">
        <v>856</v>
      </c>
      <c r="D26" s="197"/>
    </row>
    <row r="27" spans="2:4" ht="30" customHeight="1" x14ac:dyDescent="0.35">
      <c r="B27" s="73" t="s">
        <v>158</v>
      </c>
      <c r="C27" s="74" t="s">
        <v>857</v>
      </c>
      <c r="D27" s="197"/>
    </row>
    <row r="28" spans="2:4" ht="30" customHeight="1" x14ac:dyDescent="0.35">
      <c r="B28" s="73" t="s">
        <v>160</v>
      </c>
      <c r="C28" s="74" t="s">
        <v>858</v>
      </c>
      <c r="D28" s="197"/>
    </row>
    <row r="29" spans="2:4" ht="30" customHeight="1" x14ac:dyDescent="0.35">
      <c r="B29" s="133" t="s">
        <v>162</v>
      </c>
      <c r="C29" s="74" t="s">
        <v>859</v>
      </c>
      <c r="D29" s="197"/>
    </row>
    <row r="30" spans="2:4" ht="15" customHeight="1" x14ac:dyDescent="0.35">
      <c r="B30" s="73" t="s">
        <v>164</v>
      </c>
      <c r="C30" s="74" t="s">
        <v>860</v>
      </c>
      <c r="D30" s="197"/>
    </row>
    <row r="31" spans="2:4" ht="30" customHeight="1" x14ac:dyDescent="0.35">
      <c r="B31" s="73" t="s">
        <v>861</v>
      </c>
      <c r="C31" s="74" t="s">
        <v>862</v>
      </c>
      <c r="D31" s="197"/>
    </row>
    <row r="32" spans="2:4" ht="52.5" customHeight="1" x14ac:dyDescent="0.35">
      <c r="B32" s="73" t="s">
        <v>166</v>
      </c>
      <c r="C32" s="74" t="s">
        <v>863</v>
      </c>
      <c r="D32" s="197"/>
    </row>
    <row r="34" spans="2:4" x14ac:dyDescent="0.35">
      <c r="B34" s="300" t="s">
        <v>864</v>
      </c>
      <c r="C34" s="300"/>
      <c r="D34" s="300"/>
    </row>
    <row r="35" spans="2:4" x14ac:dyDescent="0.35">
      <c r="B35" s="300"/>
      <c r="C35" s="300"/>
      <c r="D35" s="300"/>
    </row>
    <row r="36" spans="2:4" x14ac:dyDescent="0.35">
      <c r="B36" s="300"/>
      <c r="C36" s="300"/>
      <c r="D36" s="300"/>
    </row>
    <row r="39" spans="2:4" x14ac:dyDescent="0.35">
      <c r="B39" s="161"/>
    </row>
  </sheetData>
  <sheetProtection algorithmName="SHA-512" hashValue="19lhM4KdvnLow4akFo9YAFT9x+NJwy6+eZbuiS0aSK2LMx96vrF7lj6HM+A4braZoeskgkoGMEFVCgzZMyS+MQ==" saltValue="1pGYwg4QqUl9ImmCJ7w3Hw==" spinCount="100000" sheet="1" objects="1" scenarios="1" formatCells="0"/>
  <protectedRanges>
    <protectedRange sqref="D8:D22 D26:D32" name="Диапазон1"/>
  </protectedRanges>
  <mergeCells count="1">
    <mergeCell ref="B34:D36"/>
  </mergeCells>
  <hyperlinks>
    <hyperlink ref="D1" location="'Список таблиц'!A1" display="Список таблиц" xr:uid="{7F0FDAB6-25A6-4E8B-8413-3F00CA289FCD}"/>
  </hyperlinks>
  <pageMargins left="0.7" right="0.7" top="0.75" bottom="0.75" header="0.3" footer="0.3"/>
  <pageSetup paperSize="9" scale="50"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8B03C-96E8-4591-A3C2-EDF26D42B463}">
  <sheetPr codeName="Лист31">
    <tabColor theme="5" tint="0.79998168889431442"/>
  </sheetPr>
  <dimension ref="B1:F34"/>
  <sheetViews>
    <sheetView view="pageBreakPreview" zoomScale="60" zoomScaleNormal="100" workbookViewId="0">
      <selection activeCell="F27" sqref="F27"/>
    </sheetView>
  </sheetViews>
  <sheetFormatPr defaultColWidth="9.1796875" defaultRowHeight="14.5" x14ac:dyDescent="0.35"/>
  <cols>
    <col min="1" max="1" width="7.81640625" style="29" customWidth="1"/>
    <col min="2" max="2" width="13.7265625" style="29" customWidth="1"/>
    <col min="3" max="3" width="107" style="29" customWidth="1"/>
    <col min="4" max="4" width="25" style="29" customWidth="1"/>
    <col min="5" max="5" width="46.81640625" style="29" bestFit="1" customWidth="1"/>
    <col min="6" max="6" width="11.54296875" style="29" bestFit="1" customWidth="1"/>
    <col min="7" max="16384" width="9.1796875" style="29"/>
  </cols>
  <sheetData>
    <row r="1" spans="2:6" s="85" customFormat="1" x14ac:dyDescent="0.35">
      <c r="B1" s="62" t="s">
        <v>742</v>
      </c>
      <c r="C1" s="63">
        <f>VLOOKUP($C$5,'Список таблиц'!A:E,2,FALSE)</f>
        <v>1882</v>
      </c>
      <c r="D1" s="98" t="s">
        <v>743</v>
      </c>
    </row>
    <row r="2" spans="2:6" s="85" customFormat="1" x14ac:dyDescent="0.35">
      <c r="B2" s="65" t="s">
        <v>744</v>
      </c>
      <c r="C2" s="66" t="str">
        <f>VLOOKUP($C$5,'Список таблиц'!A:E,3,FALSE)</f>
        <v>Положение о страховых резервах страховщиков</v>
      </c>
      <c r="D2" s="29"/>
      <c r="E2" s="86"/>
      <c r="F2" s="91"/>
    </row>
    <row r="3" spans="2:6" x14ac:dyDescent="0.35">
      <c r="B3" s="67" t="s">
        <v>745</v>
      </c>
      <c r="C3" s="68">
        <f>VLOOKUP($C$5,'Список таблиц'!A:E,4,FALSE)</f>
        <v>2</v>
      </c>
    </row>
    <row r="4" spans="2:6" ht="37.5" customHeight="1" x14ac:dyDescent="0.35">
      <c r="B4" s="69" t="s">
        <v>746</v>
      </c>
      <c r="C4" s="70" t="str">
        <f>VLOOKUP($C$5,'Список таблиц'!A:E,5,FALSE)</f>
        <v>Расчет доходов, расходов и финансового результата для целей расчета стабилизационного резерва по обязательному страхованию гражданской ответственности работодателя</v>
      </c>
    </row>
    <row r="5" spans="2:6" x14ac:dyDescent="0.35">
      <c r="B5" s="67" t="s">
        <v>747</v>
      </c>
      <c r="C5" s="71" t="s">
        <v>313</v>
      </c>
    </row>
    <row r="6" spans="2:6" x14ac:dyDescent="0.35">
      <c r="D6" s="154" t="s">
        <v>838</v>
      </c>
    </row>
    <row r="7" spans="2:6" ht="15" x14ac:dyDescent="0.35">
      <c r="B7" s="72" t="s">
        <v>839</v>
      </c>
      <c r="C7" s="72" t="s">
        <v>820</v>
      </c>
      <c r="D7" s="72" t="s">
        <v>750</v>
      </c>
    </row>
    <row r="8" spans="2:6" ht="15" customHeight="1" x14ac:dyDescent="0.35">
      <c r="B8" s="73" t="s">
        <v>156</v>
      </c>
      <c r="C8" s="74" t="s">
        <v>840</v>
      </c>
      <c r="D8" s="197"/>
    </row>
    <row r="9" spans="2:6" ht="15" customHeight="1" x14ac:dyDescent="0.35">
      <c r="B9" s="73" t="s">
        <v>158</v>
      </c>
      <c r="C9" s="74" t="s">
        <v>842</v>
      </c>
      <c r="D9" s="197"/>
    </row>
    <row r="10" spans="2:6" ht="15" customHeight="1" x14ac:dyDescent="0.35">
      <c r="B10" s="73" t="s">
        <v>160</v>
      </c>
      <c r="C10" s="74" t="s">
        <v>865</v>
      </c>
      <c r="D10" s="197"/>
    </row>
    <row r="11" spans="2:6" ht="15" customHeight="1" x14ac:dyDescent="0.35">
      <c r="B11" s="73" t="s">
        <v>162</v>
      </c>
      <c r="C11" s="74" t="s">
        <v>844</v>
      </c>
      <c r="D11" s="197"/>
    </row>
    <row r="12" spans="2:6" ht="15" customHeight="1" x14ac:dyDescent="0.35">
      <c r="B12" s="73" t="s">
        <v>164</v>
      </c>
      <c r="C12" s="74" t="s">
        <v>866</v>
      </c>
      <c r="D12" s="197"/>
    </row>
    <row r="13" spans="2:6" ht="15" customHeight="1" x14ac:dyDescent="0.35">
      <c r="B13" s="73" t="s">
        <v>166</v>
      </c>
      <c r="C13" s="74" t="s">
        <v>846</v>
      </c>
      <c r="D13" s="197"/>
    </row>
    <row r="14" spans="2:6" ht="15" customHeight="1" x14ac:dyDescent="0.35">
      <c r="B14" s="73" t="s">
        <v>168</v>
      </c>
      <c r="C14" s="74" t="s">
        <v>867</v>
      </c>
      <c r="D14" s="197"/>
    </row>
    <row r="15" spans="2:6" ht="15" customHeight="1" x14ac:dyDescent="0.35">
      <c r="B15" s="73" t="s">
        <v>170</v>
      </c>
      <c r="C15" s="74" t="s">
        <v>848</v>
      </c>
      <c r="D15" s="197"/>
    </row>
    <row r="16" spans="2:6" ht="30" customHeight="1" x14ac:dyDescent="0.35">
      <c r="B16" s="73" t="s">
        <v>172</v>
      </c>
      <c r="C16" s="74" t="s">
        <v>868</v>
      </c>
      <c r="D16" s="197"/>
    </row>
    <row r="17" spans="2:4" ht="52.5" customHeight="1" x14ac:dyDescent="0.35">
      <c r="B17" s="73" t="s">
        <v>174</v>
      </c>
      <c r="C17" s="74" t="s">
        <v>1292</v>
      </c>
      <c r="D17" s="197"/>
    </row>
    <row r="18" spans="2:4" ht="15" customHeight="1" x14ac:dyDescent="0.35">
      <c r="B18" s="73" t="s">
        <v>176</v>
      </c>
      <c r="C18" s="74" t="s">
        <v>869</v>
      </c>
      <c r="D18" s="197"/>
    </row>
    <row r="19" spans="2:4" ht="15" customHeight="1" x14ac:dyDescent="0.35">
      <c r="B19" s="73" t="s">
        <v>178</v>
      </c>
      <c r="C19" s="74" t="s">
        <v>870</v>
      </c>
      <c r="D19" s="197"/>
    </row>
    <row r="20" spans="2:4" ht="30" customHeight="1" x14ac:dyDescent="0.35">
      <c r="B20" s="73" t="s">
        <v>180</v>
      </c>
      <c r="C20" s="74" t="s">
        <v>871</v>
      </c>
      <c r="D20" s="197"/>
    </row>
    <row r="21" spans="2:4" ht="30" customHeight="1" x14ac:dyDescent="0.35">
      <c r="B21" s="73" t="s">
        <v>182</v>
      </c>
      <c r="C21" s="74" t="s">
        <v>872</v>
      </c>
      <c r="D21" s="197"/>
    </row>
    <row r="22" spans="2:4" ht="15.5" x14ac:dyDescent="0.35">
      <c r="B22" s="99"/>
      <c r="C22" s="100"/>
      <c r="D22" s="156"/>
    </row>
    <row r="23" spans="2:4" ht="15.75" customHeight="1" x14ac:dyDescent="0.35">
      <c r="B23" s="141"/>
      <c r="C23" s="162" t="s">
        <v>873</v>
      </c>
      <c r="D23" s="159" t="s">
        <v>855</v>
      </c>
    </row>
    <row r="24" spans="2:4" ht="15" x14ac:dyDescent="0.35">
      <c r="B24" s="72" t="s">
        <v>839</v>
      </c>
      <c r="C24" s="72" t="s">
        <v>820</v>
      </c>
      <c r="D24" s="160" t="s">
        <v>750</v>
      </c>
    </row>
    <row r="25" spans="2:4" ht="15" customHeight="1" x14ac:dyDescent="0.35">
      <c r="B25" s="73" t="s">
        <v>156</v>
      </c>
      <c r="C25" s="74" t="s">
        <v>874</v>
      </c>
      <c r="D25" s="197"/>
    </row>
    <row r="26" spans="2:4" ht="30" customHeight="1" x14ac:dyDescent="0.35">
      <c r="B26" s="73" t="s">
        <v>158</v>
      </c>
      <c r="C26" s="74" t="s">
        <v>875</v>
      </c>
      <c r="D26" s="197"/>
    </row>
    <row r="27" spans="2:4" ht="30" customHeight="1" x14ac:dyDescent="0.35">
      <c r="B27" s="73" t="s">
        <v>160</v>
      </c>
      <c r="C27" s="74" t="s">
        <v>876</v>
      </c>
      <c r="D27" s="197"/>
    </row>
    <row r="28" spans="2:4" ht="30" customHeight="1" x14ac:dyDescent="0.35">
      <c r="B28" s="73" t="s">
        <v>162</v>
      </c>
      <c r="C28" s="74" t="s">
        <v>877</v>
      </c>
      <c r="D28" s="197"/>
    </row>
    <row r="29" spans="2:4" ht="15" customHeight="1" x14ac:dyDescent="0.35">
      <c r="B29" s="73" t="s">
        <v>164</v>
      </c>
      <c r="C29" s="74" t="s">
        <v>860</v>
      </c>
      <c r="D29" s="197"/>
    </row>
    <row r="30" spans="2:4" ht="30" customHeight="1" x14ac:dyDescent="0.35">
      <c r="B30" s="73" t="s">
        <v>166</v>
      </c>
      <c r="C30" s="74" t="s">
        <v>878</v>
      </c>
      <c r="D30" s="197"/>
    </row>
    <row r="32" spans="2:4" x14ac:dyDescent="0.35">
      <c r="B32" s="254" t="s">
        <v>879</v>
      </c>
      <c r="C32" s="254"/>
      <c r="D32" s="254"/>
    </row>
    <row r="33" spans="2:4" x14ac:dyDescent="0.35">
      <c r="B33" s="254"/>
      <c r="C33" s="254"/>
      <c r="D33" s="254"/>
    </row>
    <row r="34" spans="2:4" x14ac:dyDescent="0.35">
      <c r="B34" s="254"/>
      <c r="C34" s="254"/>
      <c r="D34" s="254"/>
    </row>
  </sheetData>
  <sheetProtection algorithmName="SHA-512" hashValue="QmgfPWNZwQvrCy5YSB7AYV3qRcgDDpdLOKHgYkD4A0p9WNvxHXMRq2jBaj8EJFd5MR4AZ+soor9sTYsnzTcxuQ==" saltValue="BIw6x4Qa5cLQUUqVG4+kgw==" spinCount="100000" sheet="1" objects="1" scenarios="1" formatCells="0"/>
  <protectedRanges>
    <protectedRange sqref="D8:D21 D25:D30" name="Диапазон1"/>
  </protectedRanges>
  <mergeCells count="1">
    <mergeCell ref="B32:D34"/>
  </mergeCells>
  <hyperlinks>
    <hyperlink ref="D1" location="'Список таблиц'!A1" display="Список таблиц" xr:uid="{21F27FF5-18BA-4BCA-AD68-1906AF7CE7E1}"/>
  </hyperlinks>
  <pageMargins left="0.7" right="0.7" top="0.75" bottom="0.75" header="0.3" footer="0.3"/>
  <pageSetup paperSize="9" scale="56"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4A711-2CC0-4972-88B7-08CB9DD4FC24}">
  <sheetPr codeName="Лист32">
    <tabColor theme="5" tint="0.79998168889431442"/>
  </sheetPr>
  <dimension ref="B1:F35"/>
  <sheetViews>
    <sheetView view="pageBreakPreview" zoomScale="60" zoomScaleNormal="100" workbookViewId="0">
      <selection activeCell="I28" sqref="I28"/>
    </sheetView>
  </sheetViews>
  <sheetFormatPr defaultColWidth="9.1796875" defaultRowHeight="14.5" x14ac:dyDescent="0.35"/>
  <cols>
    <col min="1" max="1" width="7.81640625" style="29" customWidth="1"/>
    <col min="2" max="2" width="13.54296875" style="29" customWidth="1"/>
    <col min="3" max="3" width="107.1796875" style="29" customWidth="1"/>
    <col min="4" max="4" width="25" style="29" customWidth="1"/>
    <col min="5" max="5" width="46.81640625" style="29" bestFit="1" customWidth="1"/>
    <col min="6" max="6" width="11.54296875" style="29" bestFit="1" customWidth="1"/>
    <col min="7" max="16384" width="9.1796875" style="29"/>
  </cols>
  <sheetData>
    <row r="1" spans="2:6" s="85" customFormat="1" x14ac:dyDescent="0.35">
      <c r="B1" s="62" t="s">
        <v>742</v>
      </c>
      <c r="C1" s="63">
        <f>VLOOKUP($C$5,'Список таблиц'!A:E,2,FALSE)</f>
        <v>1882</v>
      </c>
      <c r="D1" s="98" t="s">
        <v>743</v>
      </c>
    </row>
    <row r="2" spans="2:6" s="85" customFormat="1" x14ac:dyDescent="0.35">
      <c r="B2" s="65" t="s">
        <v>744</v>
      </c>
      <c r="C2" s="66" t="str">
        <f>VLOOKUP($C$5,'Список таблиц'!A:E,3,FALSE)</f>
        <v>Положение о страховых резервах страховщиков</v>
      </c>
      <c r="D2" s="29"/>
      <c r="E2" s="86"/>
      <c r="F2" s="91"/>
    </row>
    <row r="3" spans="2:6" x14ac:dyDescent="0.35">
      <c r="B3" s="67" t="s">
        <v>745</v>
      </c>
      <c r="C3" s="68">
        <f>VLOOKUP($C$5,'Список таблиц'!A:E,4,FALSE)</f>
        <v>3</v>
      </c>
    </row>
    <row r="4" spans="2:6" ht="29" x14ac:dyDescent="0.35">
      <c r="B4" s="69" t="s">
        <v>746</v>
      </c>
      <c r="C4" s="70" t="str">
        <f>VLOOKUP($C$5,'Список таблиц'!A:E,5,FALSE)</f>
        <v>Расчет доходов, расходов и финансового результата для целей расчета стабилизационного резерва по обязательному страхованию гражданской ответственности перевозчика</v>
      </c>
    </row>
    <row r="5" spans="2:6" x14ac:dyDescent="0.35">
      <c r="B5" s="67" t="s">
        <v>747</v>
      </c>
      <c r="C5" s="71" t="s">
        <v>329</v>
      </c>
    </row>
    <row r="6" spans="2:6" x14ac:dyDescent="0.35">
      <c r="D6" s="154" t="s">
        <v>838</v>
      </c>
    </row>
    <row r="7" spans="2:6" s="141" customFormat="1" ht="30" customHeight="1" x14ac:dyDescent="0.35">
      <c r="B7" s="72" t="s">
        <v>839</v>
      </c>
      <c r="C7" s="72" t="s">
        <v>820</v>
      </c>
      <c r="D7" s="72" t="s">
        <v>880</v>
      </c>
    </row>
    <row r="8" spans="2:6" s="141" customFormat="1" ht="15" customHeight="1" x14ac:dyDescent="0.35">
      <c r="B8" s="106" t="s">
        <v>156</v>
      </c>
      <c r="C8" s="163" t="s">
        <v>840</v>
      </c>
      <c r="D8" s="197"/>
    </row>
    <row r="9" spans="2:6" s="141" customFormat="1" ht="15" customHeight="1" x14ac:dyDescent="0.35">
      <c r="B9" s="106" t="s">
        <v>158</v>
      </c>
      <c r="C9" s="163" t="s">
        <v>842</v>
      </c>
      <c r="D9" s="197"/>
    </row>
    <row r="10" spans="2:6" s="141" customFormat="1" ht="15" customHeight="1" x14ac:dyDescent="0.35">
      <c r="B10" s="106" t="s">
        <v>160</v>
      </c>
      <c r="C10" s="163" t="s">
        <v>865</v>
      </c>
      <c r="D10" s="197"/>
    </row>
    <row r="11" spans="2:6" s="141" customFormat="1" ht="15" customHeight="1" x14ac:dyDescent="0.35">
      <c r="B11" s="106" t="s">
        <v>162</v>
      </c>
      <c r="C11" s="163" t="s">
        <v>844</v>
      </c>
      <c r="D11" s="197"/>
    </row>
    <row r="12" spans="2:6" s="141" customFormat="1" ht="15" customHeight="1" x14ac:dyDescent="0.35">
      <c r="B12" s="106" t="s">
        <v>164</v>
      </c>
      <c r="C12" s="163" t="s">
        <v>866</v>
      </c>
      <c r="D12" s="197"/>
    </row>
    <row r="13" spans="2:6" s="141" customFormat="1" ht="15" customHeight="1" x14ac:dyDescent="0.35">
      <c r="B13" s="106" t="s">
        <v>166</v>
      </c>
      <c r="C13" s="163" t="s">
        <v>846</v>
      </c>
      <c r="D13" s="197"/>
    </row>
    <row r="14" spans="2:6" s="141" customFormat="1" ht="15" customHeight="1" x14ac:dyDescent="0.35">
      <c r="B14" s="106" t="s">
        <v>168</v>
      </c>
      <c r="C14" s="163" t="s">
        <v>867</v>
      </c>
      <c r="D14" s="197"/>
    </row>
    <row r="15" spans="2:6" s="141" customFormat="1" ht="15" customHeight="1" x14ac:dyDescent="0.35">
      <c r="B15" s="106" t="s">
        <v>170</v>
      </c>
      <c r="C15" s="163" t="s">
        <v>848</v>
      </c>
      <c r="D15" s="197"/>
    </row>
    <row r="16" spans="2:6" s="141" customFormat="1" ht="30" customHeight="1" x14ac:dyDescent="0.35">
      <c r="B16" s="106" t="s">
        <v>172</v>
      </c>
      <c r="C16" s="163" t="s">
        <v>868</v>
      </c>
      <c r="D16" s="197"/>
    </row>
    <row r="17" spans="2:4" s="141" customFormat="1" ht="52.5" customHeight="1" x14ac:dyDescent="0.35">
      <c r="B17" s="106" t="s">
        <v>174</v>
      </c>
      <c r="C17" s="163" t="s">
        <v>1293</v>
      </c>
      <c r="D17" s="197"/>
    </row>
    <row r="18" spans="2:4" s="141" customFormat="1" ht="30" customHeight="1" x14ac:dyDescent="0.35">
      <c r="B18" s="106" t="s">
        <v>176</v>
      </c>
      <c r="C18" s="163" t="s">
        <v>881</v>
      </c>
      <c r="D18" s="197"/>
    </row>
    <row r="19" spans="2:4" s="141" customFormat="1" ht="15" customHeight="1" x14ac:dyDescent="0.35">
      <c r="B19" s="106" t="s">
        <v>178</v>
      </c>
      <c r="C19" s="163" t="s">
        <v>882</v>
      </c>
      <c r="D19" s="197"/>
    </row>
    <row r="20" spans="2:4" s="141" customFormat="1" ht="30" customHeight="1" x14ac:dyDescent="0.35">
      <c r="B20" s="106" t="s">
        <v>180</v>
      </c>
      <c r="C20" s="163" t="s">
        <v>883</v>
      </c>
      <c r="D20" s="197"/>
    </row>
    <row r="21" spans="2:4" s="141" customFormat="1" ht="30" customHeight="1" x14ac:dyDescent="0.35">
      <c r="B21" s="106" t="s">
        <v>182</v>
      </c>
      <c r="C21" s="163" t="s">
        <v>884</v>
      </c>
      <c r="D21" s="197"/>
    </row>
    <row r="22" spans="2:4" s="141" customFormat="1" ht="15.5" x14ac:dyDescent="0.35">
      <c r="D22" s="164"/>
    </row>
    <row r="23" spans="2:4" s="141" customFormat="1" ht="15" customHeight="1" x14ac:dyDescent="0.35">
      <c r="C23" s="162" t="s">
        <v>885</v>
      </c>
      <c r="D23" s="159" t="s">
        <v>855</v>
      </c>
    </row>
    <row r="24" spans="2:4" s="141" customFormat="1" ht="52.5" customHeight="1" x14ac:dyDescent="0.35">
      <c r="B24" s="72" t="s">
        <v>330</v>
      </c>
      <c r="C24" s="72" t="s">
        <v>820</v>
      </c>
      <c r="D24" s="160" t="s">
        <v>880</v>
      </c>
    </row>
    <row r="25" spans="2:4" s="141" customFormat="1" ht="15" customHeight="1" x14ac:dyDescent="0.35">
      <c r="B25" s="106" t="s">
        <v>156</v>
      </c>
      <c r="C25" s="165" t="s">
        <v>874</v>
      </c>
      <c r="D25" s="197"/>
    </row>
    <row r="26" spans="2:4" s="141" customFormat="1" ht="30" customHeight="1" x14ac:dyDescent="0.35">
      <c r="B26" s="106" t="s">
        <v>158</v>
      </c>
      <c r="C26" s="163" t="s">
        <v>875</v>
      </c>
      <c r="D26" s="197"/>
    </row>
    <row r="27" spans="2:4" s="141" customFormat="1" ht="30" customHeight="1" x14ac:dyDescent="0.35">
      <c r="B27" s="106" t="s">
        <v>160</v>
      </c>
      <c r="C27" s="163" t="s">
        <v>886</v>
      </c>
      <c r="D27" s="197"/>
    </row>
    <row r="28" spans="2:4" s="141" customFormat="1" ht="30" customHeight="1" x14ac:dyDescent="0.35">
      <c r="B28" s="106" t="s">
        <v>162</v>
      </c>
      <c r="C28" s="163" t="s">
        <v>887</v>
      </c>
      <c r="D28" s="197"/>
    </row>
    <row r="29" spans="2:4" s="141" customFormat="1" ht="15" customHeight="1" x14ac:dyDescent="0.35">
      <c r="B29" s="106" t="s">
        <v>164</v>
      </c>
      <c r="C29" s="163" t="s">
        <v>860</v>
      </c>
      <c r="D29" s="197"/>
    </row>
    <row r="30" spans="2:4" s="141" customFormat="1" ht="30" customHeight="1" x14ac:dyDescent="0.35">
      <c r="B30" s="106" t="s">
        <v>166</v>
      </c>
      <c r="C30" s="163" t="s">
        <v>888</v>
      </c>
      <c r="D30" s="197"/>
    </row>
    <row r="32" spans="2:4" x14ac:dyDescent="0.35">
      <c r="B32" s="254" t="s">
        <v>889</v>
      </c>
      <c r="C32" s="254"/>
      <c r="D32" s="254"/>
    </row>
    <row r="33" spans="2:4" x14ac:dyDescent="0.35">
      <c r="B33" s="254"/>
      <c r="C33" s="254"/>
      <c r="D33" s="254"/>
    </row>
    <row r="34" spans="2:4" x14ac:dyDescent="0.35">
      <c r="B34" s="254"/>
      <c r="C34" s="254"/>
      <c r="D34" s="254"/>
    </row>
    <row r="35" spans="2:4" x14ac:dyDescent="0.35">
      <c r="B35" s="254"/>
      <c r="C35" s="254"/>
      <c r="D35" s="254"/>
    </row>
  </sheetData>
  <sheetProtection algorithmName="SHA-512" hashValue="8wrlcQtdRkm0rYTz34Al3dFSUKCFp+Liyt4QAe+ge6naKZAXa7XucLcV4RL6wBlpsUrg83dFSfx+f97dViDMXw==" saltValue="d+eLKXoJC38NB3KTo2D3Sg==" spinCount="100000" sheet="1" objects="1" scenarios="1" formatCells="0"/>
  <protectedRanges>
    <protectedRange sqref="D8:D21 D25:D30" name="Диапазон1"/>
  </protectedRanges>
  <mergeCells count="1">
    <mergeCell ref="B32:D35"/>
  </mergeCells>
  <hyperlinks>
    <hyperlink ref="D1" location="'Список таблиц'!A1" display="Список таблиц" xr:uid="{768575DE-5FBF-4846-AA5B-330FE5C2E101}"/>
  </hyperlinks>
  <pageMargins left="0.7" right="0.7" top="0.75" bottom="0.75" header="0.3" footer="0.3"/>
  <pageSetup paperSize="9" scale="56"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C5ADB-C8A7-4B53-8FC1-659C6455E8DC}">
  <sheetPr codeName="Лист33">
    <tabColor theme="5" tint="0.79998168889431442"/>
  </sheetPr>
  <dimension ref="B1:H48"/>
  <sheetViews>
    <sheetView view="pageBreakPreview" zoomScale="60" zoomScaleNormal="100" workbookViewId="0">
      <selection activeCell="D9" sqref="D9:H47"/>
    </sheetView>
  </sheetViews>
  <sheetFormatPr defaultColWidth="9.1796875" defaultRowHeight="14.5" x14ac:dyDescent="0.35"/>
  <cols>
    <col min="1" max="1" width="8.54296875" style="29" customWidth="1"/>
    <col min="2" max="2" width="13.7265625" style="29" customWidth="1"/>
    <col min="3" max="3" width="64.1796875" style="29" customWidth="1"/>
    <col min="4" max="8" width="24.453125" style="29" customWidth="1"/>
    <col min="9" max="16384" width="9.1796875" style="29"/>
  </cols>
  <sheetData>
    <row r="1" spans="2:8" s="85" customFormat="1" x14ac:dyDescent="0.35">
      <c r="B1" s="62" t="s">
        <v>742</v>
      </c>
      <c r="C1" s="291">
        <f>VLOOKUP($C$5,'Список таблиц'!A:E,2,FALSE)</f>
        <v>1882</v>
      </c>
      <c r="D1" s="292"/>
      <c r="E1" s="98" t="s">
        <v>743</v>
      </c>
    </row>
    <row r="2" spans="2:8" s="85" customFormat="1" x14ac:dyDescent="0.35">
      <c r="B2" s="65" t="s">
        <v>744</v>
      </c>
      <c r="C2" s="296" t="str">
        <f>VLOOKUP($C$5,'Список таблиц'!A:E,3,FALSE)</f>
        <v>Положение о страховых резервах страховщиков</v>
      </c>
      <c r="D2" s="297"/>
      <c r="E2" s="86"/>
      <c r="F2" s="91"/>
    </row>
    <row r="3" spans="2:8" x14ac:dyDescent="0.35">
      <c r="B3" s="67" t="s">
        <v>745</v>
      </c>
      <c r="C3" s="293">
        <f>VLOOKUP($C$5,'Список таблиц'!A:E,4,FALSE)</f>
        <v>4</v>
      </c>
      <c r="D3" s="294"/>
    </row>
    <row r="4" spans="2:8" ht="15" customHeight="1" x14ac:dyDescent="0.35">
      <c r="B4" s="69" t="s">
        <v>746</v>
      </c>
      <c r="C4" s="276" t="str">
        <f>VLOOKUP($C$5,'Список таблиц'!A:E,5,FALSE)</f>
        <v xml:space="preserve">Общая величина страховых резервов </v>
      </c>
      <c r="D4" s="277"/>
    </row>
    <row r="5" spans="2:8" x14ac:dyDescent="0.35">
      <c r="B5" s="67" t="s">
        <v>747</v>
      </c>
      <c r="C5" s="298" t="s">
        <v>341</v>
      </c>
      <c r="D5" s="299"/>
    </row>
    <row r="7" spans="2:8" ht="22.5" customHeight="1" x14ac:dyDescent="0.35">
      <c r="B7" s="259" t="s">
        <v>890</v>
      </c>
      <c r="C7" s="260"/>
      <c r="D7" s="255" t="s">
        <v>891</v>
      </c>
      <c r="E7" s="255" t="s">
        <v>892</v>
      </c>
      <c r="F7" s="255"/>
      <c r="G7" s="255"/>
      <c r="H7" s="255"/>
    </row>
    <row r="8" spans="2:8" ht="22.5" customHeight="1" x14ac:dyDescent="0.35">
      <c r="B8" s="261"/>
      <c r="C8" s="262"/>
      <c r="D8" s="255"/>
      <c r="E8" s="72" t="s">
        <v>893</v>
      </c>
      <c r="F8" s="72" t="s">
        <v>346</v>
      </c>
      <c r="G8" s="72" t="s">
        <v>894</v>
      </c>
      <c r="H8" s="72" t="s">
        <v>895</v>
      </c>
    </row>
    <row r="9" spans="2:8" ht="14.25" customHeight="1" x14ac:dyDescent="0.35">
      <c r="B9" s="301" t="s">
        <v>896</v>
      </c>
      <c r="C9" s="301"/>
      <c r="D9" s="189"/>
      <c r="E9" s="189"/>
      <c r="F9" s="189"/>
      <c r="G9" s="189"/>
      <c r="H9" s="189"/>
    </row>
    <row r="10" spans="2:8" ht="14.25" customHeight="1" x14ac:dyDescent="0.35">
      <c r="B10" s="301" t="s">
        <v>897</v>
      </c>
      <c r="C10" s="301"/>
      <c r="D10" s="189"/>
      <c r="E10" s="189"/>
      <c r="F10" s="189"/>
      <c r="G10" s="189"/>
      <c r="H10" s="189"/>
    </row>
    <row r="11" spans="2:8" ht="14.25" customHeight="1" x14ac:dyDescent="0.35">
      <c r="B11" s="303" t="s">
        <v>898</v>
      </c>
      <c r="C11" s="303"/>
      <c r="D11" s="189"/>
      <c r="E11" s="189"/>
      <c r="F11" s="189"/>
      <c r="G11" s="189"/>
      <c r="H11" s="189"/>
    </row>
    <row r="12" spans="2:8" ht="14.25" customHeight="1" x14ac:dyDescent="0.35">
      <c r="B12" s="303" t="s">
        <v>899</v>
      </c>
      <c r="C12" s="303"/>
      <c r="D12" s="189"/>
      <c r="E12" s="189"/>
      <c r="F12" s="189"/>
      <c r="G12" s="189"/>
      <c r="H12" s="189"/>
    </row>
    <row r="13" spans="2:8" ht="14.25" customHeight="1" x14ac:dyDescent="0.35">
      <c r="B13" s="303" t="s">
        <v>900</v>
      </c>
      <c r="C13" s="303"/>
      <c r="D13" s="189"/>
      <c r="E13" s="189"/>
      <c r="F13" s="189"/>
      <c r="G13" s="189"/>
      <c r="H13" s="189"/>
    </row>
    <row r="14" spans="2:8" ht="14.25" customHeight="1" x14ac:dyDescent="0.35">
      <c r="B14" s="301" t="s">
        <v>901</v>
      </c>
      <c r="C14" s="301"/>
      <c r="D14" s="189"/>
      <c r="E14" s="189"/>
      <c r="F14" s="189"/>
      <c r="G14" s="189"/>
      <c r="H14" s="189"/>
    </row>
    <row r="15" spans="2:8" ht="14.25" customHeight="1" x14ac:dyDescent="0.35">
      <c r="B15" s="301" t="s">
        <v>902</v>
      </c>
      <c r="C15" s="301"/>
      <c r="D15" s="189"/>
      <c r="E15" s="189"/>
      <c r="F15" s="189"/>
      <c r="G15" s="189"/>
      <c r="H15" s="189"/>
    </row>
    <row r="16" spans="2:8" ht="14.25" customHeight="1" x14ac:dyDescent="0.35">
      <c r="B16" s="301" t="s">
        <v>903</v>
      </c>
      <c r="C16" s="301"/>
      <c r="D16" s="189"/>
      <c r="E16" s="189"/>
      <c r="F16" s="189"/>
      <c r="G16" s="189"/>
      <c r="H16" s="189"/>
    </row>
    <row r="17" spans="2:8" ht="14.25" customHeight="1" x14ac:dyDescent="0.35">
      <c r="B17" s="301" t="s">
        <v>904</v>
      </c>
      <c r="C17" s="301"/>
      <c r="D17" s="189"/>
      <c r="E17" s="189"/>
      <c r="F17" s="189"/>
      <c r="G17" s="189"/>
      <c r="H17" s="189"/>
    </row>
    <row r="18" spans="2:8" ht="14.25" customHeight="1" x14ac:dyDescent="0.35">
      <c r="B18" s="301" t="s">
        <v>905</v>
      </c>
      <c r="C18" s="301"/>
      <c r="D18" s="189"/>
      <c r="E18" s="189"/>
      <c r="F18" s="189"/>
      <c r="G18" s="189"/>
      <c r="H18" s="189"/>
    </row>
    <row r="19" spans="2:8" ht="14.25" customHeight="1" x14ac:dyDescent="0.35">
      <c r="B19" s="303" t="s">
        <v>906</v>
      </c>
      <c r="C19" s="303"/>
      <c r="D19" s="189"/>
      <c r="E19" s="189"/>
      <c r="F19" s="189"/>
      <c r="G19" s="189"/>
      <c r="H19" s="189"/>
    </row>
    <row r="20" spans="2:8" ht="14.25" customHeight="1" x14ac:dyDescent="0.35">
      <c r="B20" s="303" t="s">
        <v>907</v>
      </c>
      <c r="C20" s="303"/>
      <c r="D20" s="189"/>
      <c r="E20" s="189"/>
      <c r="F20" s="189"/>
      <c r="G20" s="189"/>
      <c r="H20" s="189"/>
    </row>
    <row r="21" spans="2:8" ht="14.25" customHeight="1" x14ac:dyDescent="0.35">
      <c r="B21" s="303" t="s">
        <v>908</v>
      </c>
      <c r="C21" s="303"/>
      <c r="D21" s="189"/>
      <c r="E21" s="189"/>
      <c r="F21" s="189"/>
      <c r="G21" s="189"/>
      <c r="H21" s="189"/>
    </row>
    <row r="22" spans="2:8" ht="14.25" customHeight="1" x14ac:dyDescent="0.35">
      <c r="B22" s="301" t="s">
        <v>909</v>
      </c>
      <c r="C22" s="301"/>
      <c r="D22" s="189"/>
      <c r="E22" s="189"/>
      <c r="F22" s="189"/>
      <c r="G22" s="189"/>
      <c r="H22" s="189"/>
    </row>
    <row r="23" spans="2:8" ht="14.25" customHeight="1" x14ac:dyDescent="0.35">
      <c r="B23" s="301" t="s">
        <v>910</v>
      </c>
      <c r="C23" s="301"/>
      <c r="D23" s="189"/>
      <c r="E23" s="189"/>
      <c r="F23" s="189"/>
      <c r="G23" s="189"/>
      <c r="H23" s="189"/>
    </row>
    <row r="24" spans="2:8" ht="14.25" customHeight="1" x14ac:dyDescent="0.35">
      <c r="B24" s="303" t="s">
        <v>911</v>
      </c>
      <c r="C24" s="303"/>
      <c r="D24" s="189"/>
      <c r="E24" s="189"/>
      <c r="F24" s="189"/>
      <c r="G24" s="189"/>
      <c r="H24" s="189"/>
    </row>
    <row r="25" spans="2:8" ht="14.25" customHeight="1" x14ac:dyDescent="0.35">
      <c r="B25" s="303" t="s">
        <v>912</v>
      </c>
      <c r="C25" s="303"/>
      <c r="D25" s="189"/>
      <c r="E25" s="189"/>
      <c r="F25" s="189"/>
      <c r="G25" s="189"/>
      <c r="H25" s="189"/>
    </row>
    <row r="26" spans="2:8" ht="14.25" customHeight="1" x14ac:dyDescent="0.35">
      <c r="B26" s="303" t="s">
        <v>913</v>
      </c>
      <c r="C26" s="303"/>
      <c r="D26" s="189"/>
      <c r="E26" s="189"/>
      <c r="F26" s="189"/>
      <c r="G26" s="189"/>
      <c r="H26" s="189"/>
    </row>
    <row r="27" spans="2:8" ht="14.25" customHeight="1" x14ac:dyDescent="0.35">
      <c r="B27" s="301" t="s">
        <v>914</v>
      </c>
      <c r="C27" s="301"/>
      <c r="D27" s="189"/>
      <c r="E27" s="189"/>
      <c r="F27" s="189"/>
      <c r="G27" s="189"/>
      <c r="H27" s="189"/>
    </row>
    <row r="28" spans="2:8" ht="29.25" customHeight="1" x14ac:dyDescent="0.35">
      <c r="B28" s="301" t="s">
        <v>915</v>
      </c>
      <c r="C28" s="301"/>
      <c r="D28" s="189"/>
      <c r="E28" s="189"/>
      <c r="F28" s="189"/>
      <c r="G28" s="189"/>
      <c r="H28" s="189"/>
    </row>
    <row r="29" spans="2:8" ht="29.25" customHeight="1" x14ac:dyDescent="0.35">
      <c r="B29" s="301" t="s">
        <v>916</v>
      </c>
      <c r="C29" s="301"/>
      <c r="D29" s="189"/>
      <c r="E29" s="189"/>
      <c r="F29" s="189"/>
      <c r="G29" s="189"/>
      <c r="H29" s="189"/>
    </row>
    <row r="30" spans="2:8" ht="29.25" customHeight="1" x14ac:dyDescent="0.35">
      <c r="B30" s="301" t="s">
        <v>917</v>
      </c>
      <c r="C30" s="301"/>
      <c r="D30" s="189"/>
      <c r="E30" s="189"/>
      <c r="F30" s="189"/>
      <c r="G30" s="189"/>
      <c r="H30" s="189"/>
    </row>
    <row r="31" spans="2:8" ht="14.25" customHeight="1" x14ac:dyDescent="0.35">
      <c r="B31" s="301" t="s">
        <v>918</v>
      </c>
      <c r="C31" s="301"/>
      <c r="D31" s="189"/>
      <c r="E31" s="189"/>
      <c r="F31" s="189"/>
      <c r="G31" s="189"/>
      <c r="H31" s="189"/>
    </row>
    <row r="32" spans="2:8" ht="14.25" customHeight="1" x14ac:dyDescent="0.35">
      <c r="B32" s="301" t="s">
        <v>919</v>
      </c>
      <c r="C32" s="301"/>
      <c r="D32" s="189"/>
      <c r="E32" s="189"/>
      <c r="F32" s="189"/>
      <c r="G32" s="189"/>
      <c r="H32" s="189"/>
    </row>
    <row r="33" spans="2:8" ht="14.25" customHeight="1" x14ac:dyDescent="0.35">
      <c r="B33" s="301" t="s">
        <v>920</v>
      </c>
      <c r="C33" s="301"/>
      <c r="D33" s="189"/>
      <c r="E33" s="189"/>
      <c r="F33" s="189"/>
      <c r="G33" s="189"/>
      <c r="H33" s="189"/>
    </row>
    <row r="34" spans="2:8" ht="14.25" customHeight="1" x14ac:dyDescent="0.35">
      <c r="B34" s="301" t="s">
        <v>921</v>
      </c>
      <c r="C34" s="301"/>
      <c r="D34" s="189"/>
      <c r="E34" s="189"/>
      <c r="F34" s="189"/>
      <c r="G34" s="189"/>
      <c r="H34" s="189"/>
    </row>
    <row r="35" spans="2:8" ht="14.25" customHeight="1" x14ac:dyDescent="0.35">
      <c r="B35" s="301" t="s">
        <v>922</v>
      </c>
      <c r="C35" s="301"/>
      <c r="D35" s="189"/>
      <c r="E35" s="189"/>
      <c r="F35" s="189"/>
      <c r="G35" s="189"/>
      <c r="H35" s="189"/>
    </row>
    <row r="36" spans="2:8" ht="14.25" customHeight="1" x14ac:dyDescent="0.35">
      <c r="B36" s="301" t="s">
        <v>923</v>
      </c>
      <c r="C36" s="301"/>
      <c r="D36" s="189"/>
      <c r="E36" s="189"/>
      <c r="F36" s="189"/>
      <c r="G36" s="189"/>
      <c r="H36" s="189"/>
    </row>
    <row r="37" spans="2:8" ht="14.25" customHeight="1" x14ac:dyDescent="0.35">
      <c r="B37" s="301" t="s">
        <v>924</v>
      </c>
      <c r="C37" s="301"/>
      <c r="D37" s="189"/>
      <c r="E37" s="189"/>
      <c r="F37" s="189"/>
      <c r="G37" s="189"/>
      <c r="H37" s="189"/>
    </row>
    <row r="38" spans="2:8" ht="14.25" customHeight="1" x14ac:dyDescent="0.35">
      <c r="B38" s="301" t="s">
        <v>925</v>
      </c>
      <c r="C38" s="301"/>
      <c r="D38" s="189"/>
      <c r="E38" s="189"/>
      <c r="F38" s="189"/>
      <c r="G38" s="189"/>
      <c r="H38" s="189"/>
    </row>
    <row r="39" spans="2:8" ht="14.25" customHeight="1" x14ac:dyDescent="0.35">
      <c r="B39" s="301" t="s">
        <v>926</v>
      </c>
      <c r="C39" s="301"/>
      <c r="D39" s="189"/>
      <c r="E39" s="189"/>
      <c r="F39" s="189"/>
      <c r="G39" s="189"/>
      <c r="H39" s="189"/>
    </row>
    <row r="40" spans="2:8" ht="14.25" customHeight="1" x14ac:dyDescent="0.35">
      <c r="B40" s="303" t="s">
        <v>927</v>
      </c>
      <c r="C40" s="303"/>
      <c r="D40" s="189"/>
      <c r="E40" s="189"/>
      <c r="F40" s="189"/>
      <c r="G40" s="189"/>
      <c r="H40" s="189"/>
    </row>
    <row r="41" spans="2:8" ht="14.25" customHeight="1" x14ac:dyDescent="0.35">
      <c r="B41" s="303" t="s">
        <v>928</v>
      </c>
      <c r="C41" s="303"/>
      <c r="D41" s="189"/>
      <c r="E41" s="189"/>
      <c r="F41" s="189"/>
      <c r="G41" s="189"/>
      <c r="H41" s="189"/>
    </row>
    <row r="42" spans="2:8" ht="14.25" customHeight="1" x14ac:dyDescent="0.35">
      <c r="B42" s="303" t="s">
        <v>929</v>
      </c>
      <c r="C42" s="303"/>
      <c r="D42" s="189"/>
      <c r="E42" s="189"/>
      <c r="F42" s="189"/>
      <c r="G42" s="189"/>
      <c r="H42" s="189"/>
    </row>
    <row r="43" spans="2:8" ht="14.25" customHeight="1" x14ac:dyDescent="0.35">
      <c r="B43" s="301" t="s">
        <v>930</v>
      </c>
      <c r="C43" s="301"/>
      <c r="D43" s="189"/>
      <c r="E43" s="189"/>
      <c r="F43" s="189"/>
      <c r="G43" s="189"/>
      <c r="H43" s="189"/>
    </row>
    <row r="44" spans="2:8" ht="14.25" customHeight="1" x14ac:dyDescent="0.35">
      <c r="B44" s="301" t="s">
        <v>931</v>
      </c>
      <c r="C44" s="301"/>
      <c r="D44" s="189"/>
      <c r="E44" s="189"/>
      <c r="F44" s="189"/>
      <c r="G44" s="189"/>
      <c r="H44" s="189"/>
    </row>
    <row r="45" spans="2:8" ht="14.25" customHeight="1" x14ac:dyDescent="0.35">
      <c r="B45" s="301" t="s">
        <v>932</v>
      </c>
      <c r="C45" s="301"/>
      <c r="D45" s="189"/>
      <c r="E45" s="189"/>
      <c r="F45" s="189"/>
      <c r="G45" s="189"/>
      <c r="H45" s="189"/>
    </row>
    <row r="46" spans="2:8" ht="14.25" customHeight="1" x14ac:dyDescent="0.35">
      <c r="B46" s="302" t="s">
        <v>933</v>
      </c>
      <c r="C46" s="302"/>
      <c r="D46" s="190"/>
      <c r="E46" s="190"/>
      <c r="F46" s="190"/>
      <c r="G46" s="190"/>
      <c r="H46" s="190"/>
    </row>
    <row r="47" spans="2:8" ht="14.25" customHeight="1" x14ac:dyDescent="0.35">
      <c r="B47" s="302" t="s">
        <v>934</v>
      </c>
      <c r="C47" s="302"/>
      <c r="D47" s="190"/>
      <c r="E47" s="190"/>
      <c r="F47" s="190"/>
      <c r="G47" s="190"/>
      <c r="H47" s="190"/>
    </row>
    <row r="48" spans="2:8" x14ac:dyDescent="0.35">
      <c r="C48" s="166"/>
      <c r="D48" s="166"/>
      <c r="E48" s="166"/>
      <c r="F48" s="166"/>
      <c r="G48" s="166"/>
      <c r="H48" s="166"/>
    </row>
  </sheetData>
  <sheetProtection algorithmName="SHA-512" hashValue="aZrtSSK11VksdBs7aXV7Lf8VtAo8/UwYU9brIUPXJak8ee6QhQuX79/OticL4iEY2Bn8vXuqUSzai/Z2nGSWXA==" saltValue="9TnYleLmfZEj5T4zI19YfQ==" spinCount="100000" sheet="1" objects="1" scenarios="1" formatCells="0"/>
  <protectedRanges>
    <protectedRange sqref="D9:H47" name="Диапазон1"/>
  </protectedRanges>
  <mergeCells count="47">
    <mergeCell ref="B13:C13"/>
    <mergeCell ref="C1:D1"/>
    <mergeCell ref="C2:D2"/>
    <mergeCell ref="C3:D3"/>
    <mergeCell ref="C4:D4"/>
    <mergeCell ref="C5:D5"/>
    <mergeCell ref="B7:C8"/>
    <mergeCell ref="D7:D8"/>
    <mergeCell ref="E7:H7"/>
    <mergeCell ref="B9:C9"/>
    <mergeCell ref="B10:C10"/>
    <mergeCell ref="B11:C11"/>
    <mergeCell ref="B12:C12"/>
    <mergeCell ref="B25:C25"/>
    <mergeCell ref="B14:C14"/>
    <mergeCell ref="B15:C15"/>
    <mergeCell ref="B16:C16"/>
    <mergeCell ref="B17:C17"/>
    <mergeCell ref="B18:C18"/>
    <mergeCell ref="B19:C19"/>
    <mergeCell ref="B20:C20"/>
    <mergeCell ref="B21:C21"/>
    <mergeCell ref="B22:C22"/>
    <mergeCell ref="B23:C23"/>
    <mergeCell ref="B24:C24"/>
    <mergeCell ref="B37:C37"/>
    <mergeCell ref="B26:C26"/>
    <mergeCell ref="B27:C27"/>
    <mergeCell ref="B28:C28"/>
    <mergeCell ref="B29:C29"/>
    <mergeCell ref="B30:C30"/>
    <mergeCell ref="B31:C31"/>
    <mergeCell ref="B32:C32"/>
    <mergeCell ref="B33:C33"/>
    <mergeCell ref="B34:C34"/>
    <mergeCell ref="B35:C35"/>
    <mergeCell ref="B36:C36"/>
    <mergeCell ref="B44:C44"/>
    <mergeCell ref="B45:C45"/>
    <mergeCell ref="B46:C46"/>
    <mergeCell ref="B47:C47"/>
    <mergeCell ref="B38:C38"/>
    <mergeCell ref="B39:C39"/>
    <mergeCell ref="B40:C40"/>
    <mergeCell ref="B41:C41"/>
    <mergeCell ref="B42:C42"/>
    <mergeCell ref="B43:C43"/>
  </mergeCells>
  <hyperlinks>
    <hyperlink ref="E1" location="'Список таблиц'!A1" display="Список таблиц" xr:uid="{C9F1B8EF-8491-4C69-8A4A-2BB0B3F51A39}"/>
  </hyperlinks>
  <pageMargins left="0.7" right="0.7" top="0.75" bottom="0.75" header="0.3" footer="0.3"/>
  <pageSetup paperSize="9" scale="41"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C836F-3261-4DBB-96EA-544981D231AF}">
  <sheetPr codeName="Лист34">
    <tabColor theme="5" tint="0.79998168889431442"/>
  </sheetPr>
  <dimension ref="B1:J47"/>
  <sheetViews>
    <sheetView view="pageBreakPreview" zoomScale="60" zoomScaleNormal="100" workbookViewId="0">
      <selection activeCell="O57" sqref="O57"/>
    </sheetView>
  </sheetViews>
  <sheetFormatPr defaultColWidth="9.1796875" defaultRowHeight="14.5" x14ac:dyDescent="0.35"/>
  <cols>
    <col min="1" max="1" width="8" style="29" customWidth="1"/>
    <col min="2" max="2" width="14" style="29" bestFit="1" customWidth="1"/>
    <col min="3" max="3" width="78.7265625" style="29" customWidth="1"/>
    <col min="4" max="8" width="28.54296875" style="29" customWidth="1"/>
    <col min="9" max="9" width="29.453125" style="29" customWidth="1"/>
    <col min="10" max="16384" width="9.1796875" style="29"/>
  </cols>
  <sheetData>
    <row r="1" spans="2:8" s="85" customFormat="1" x14ac:dyDescent="0.35">
      <c r="B1" s="62" t="s">
        <v>742</v>
      </c>
      <c r="C1" s="291">
        <f>VLOOKUP($C$5,'Список таблиц'!A:E,2,FALSE)</f>
        <v>1882</v>
      </c>
      <c r="D1" s="292"/>
      <c r="E1" s="98" t="s">
        <v>743</v>
      </c>
    </row>
    <row r="2" spans="2:8" s="85" customFormat="1" x14ac:dyDescent="0.35">
      <c r="B2" s="65" t="s">
        <v>744</v>
      </c>
      <c r="C2" s="296" t="str">
        <f>VLOOKUP($C$5,'Список таблиц'!A:E,3,FALSE)</f>
        <v>Положение о страховых резервах страховщиков</v>
      </c>
      <c r="D2" s="297"/>
      <c r="E2" s="86"/>
      <c r="F2" s="91"/>
      <c r="G2" s="91"/>
    </row>
    <row r="3" spans="2:8" x14ac:dyDescent="0.35">
      <c r="B3" s="67" t="s">
        <v>745</v>
      </c>
      <c r="C3" s="293">
        <f>VLOOKUP($C$5,'Список таблиц'!A:E,4,FALSE)</f>
        <v>5</v>
      </c>
      <c r="D3" s="294"/>
    </row>
    <row r="4" spans="2:8" x14ac:dyDescent="0.35">
      <c r="B4" s="69" t="s">
        <v>746</v>
      </c>
      <c r="C4" s="276" t="str">
        <f>VLOOKUP($C$5,'Список таблиц'!A:E,5,FALSE)</f>
        <v>Сведения о сотаве активов</v>
      </c>
      <c r="D4" s="277"/>
    </row>
    <row r="5" spans="2:8" x14ac:dyDescent="0.35">
      <c r="B5" s="67" t="s">
        <v>747</v>
      </c>
      <c r="C5" s="298" t="s">
        <v>387</v>
      </c>
      <c r="D5" s="299"/>
    </row>
    <row r="7" spans="2:8" ht="15.75" customHeight="1" x14ac:dyDescent="0.35">
      <c r="B7" s="259" t="s">
        <v>935</v>
      </c>
      <c r="C7" s="260"/>
      <c r="D7" s="255" t="s">
        <v>936</v>
      </c>
      <c r="E7" s="255"/>
      <c r="F7" s="255" t="s">
        <v>937</v>
      </c>
      <c r="G7" s="255"/>
      <c r="H7" s="255"/>
    </row>
    <row r="8" spans="2:8" ht="45.75" customHeight="1" x14ac:dyDescent="0.35">
      <c r="B8" s="261"/>
      <c r="C8" s="262"/>
      <c r="D8" s="72" t="s">
        <v>938</v>
      </c>
      <c r="E8" s="72" t="s">
        <v>939</v>
      </c>
      <c r="F8" s="72" t="s">
        <v>938</v>
      </c>
      <c r="G8" s="72" t="s">
        <v>939</v>
      </c>
      <c r="H8" s="72" t="s">
        <v>940</v>
      </c>
    </row>
    <row r="9" spans="2:8" ht="15" customHeight="1" x14ac:dyDescent="0.35">
      <c r="B9" s="258" t="s">
        <v>941</v>
      </c>
      <c r="C9" s="258"/>
      <c r="D9" s="197"/>
      <c r="E9" s="197"/>
      <c r="F9" s="197"/>
      <c r="G9" s="197"/>
      <c r="H9" s="197"/>
    </row>
    <row r="10" spans="2:8" ht="15" customHeight="1" x14ac:dyDescent="0.35">
      <c r="B10" s="258" t="s">
        <v>942</v>
      </c>
      <c r="C10" s="258"/>
      <c r="D10" s="197"/>
      <c r="E10" s="197"/>
      <c r="F10" s="197"/>
      <c r="G10" s="197"/>
      <c r="H10" s="197"/>
    </row>
    <row r="11" spans="2:8" ht="15" customHeight="1" x14ac:dyDescent="0.35">
      <c r="B11" s="258" t="s">
        <v>943</v>
      </c>
      <c r="C11" s="258"/>
      <c r="D11" s="197"/>
      <c r="E11" s="197"/>
      <c r="F11" s="197"/>
      <c r="G11" s="197"/>
      <c r="H11" s="197"/>
    </row>
    <row r="12" spans="2:8" ht="15" customHeight="1" x14ac:dyDescent="0.35">
      <c r="B12" s="258" t="s">
        <v>944</v>
      </c>
      <c r="C12" s="258"/>
      <c r="D12" s="197"/>
      <c r="E12" s="197"/>
      <c r="F12" s="197"/>
      <c r="G12" s="197"/>
      <c r="H12" s="197"/>
    </row>
    <row r="13" spans="2:8" ht="15" customHeight="1" x14ac:dyDescent="0.35">
      <c r="B13" s="258" t="s">
        <v>945</v>
      </c>
      <c r="C13" s="258"/>
      <c r="D13" s="197"/>
      <c r="E13" s="197"/>
      <c r="F13" s="197"/>
      <c r="G13" s="197"/>
      <c r="H13" s="197"/>
    </row>
    <row r="14" spans="2:8" ht="15" customHeight="1" x14ac:dyDescent="0.35">
      <c r="B14" s="258" t="s">
        <v>946</v>
      </c>
      <c r="C14" s="258"/>
      <c r="D14" s="197"/>
      <c r="E14" s="197"/>
      <c r="F14" s="197"/>
      <c r="G14" s="197"/>
      <c r="H14" s="197"/>
    </row>
    <row r="15" spans="2:8" ht="15" customHeight="1" x14ac:dyDescent="0.35">
      <c r="B15" s="258" t="s">
        <v>947</v>
      </c>
      <c r="C15" s="258"/>
      <c r="D15" s="197"/>
      <c r="E15" s="197"/>
      <c r="F15" s="197"/>
      <c r="G15" s="197"/>
      <c r="H15" s="197"/>
    </row>
    <row r="16" spans="2:8" ht="15" customHeight="1" x14ac:dyDescent="0.35">
      <c r="B16" s="258" t="s">
        <v>948</v>
      </c>
      <c r="C16" s="258"/>
      <c r="D16" s="197"/>
      <c r="E16" s="197"/>
      <c r="F16" s="197"/>
      <c r="G16" s="197"/>
      <c r="H16" s="197"/>
    </row>
    <row r="17" spans="2:8" ht="15" customHeight="1" x14ac:dyDescent="0.35">
      <c r="B17" s="258" t="s">
        <v>949</v>
      </c>
      <c r="C17" s="258"/>
      <c r="D17" s="197"/>
      <c r="E17" s="197"/>
      <c r="F17" s="197"/>
      <c r="G17" s="197"/>
      <c r="H17" s="197"/>
    </row>
    <row r="18" spans="2:8" ht="15" customHeight="1" x14ac:dyDescent="0.35">
      <c r="B18" s="258" t="s">
        <v>950</v>
      </c>
      <c r="C18" s="258"/>
      <c r="D18" s="197"/>
      <c r="E18" s="197"/>
      <c r="F18" s="197"/>
      <c r="G18" s="197"/>
      <c r="H18" s="197"/>
    </row>
    <row r="19" spans="2:8" ht="15" customHeight="1" x14ac:dyDescent="0.35">
      <c r="B19" s="258" t="s">
        <v>951</v>
      </c>
      <c r="C19" s="258"/>
      <c r="D19" s="197"/>
      <c r="E19" s="197"/>
      <c r="F19" s="197"/>
      <c r="G19" s="197"/>
      <c r="H19" s="197"/>
    </row>
    <row r="20" spans="2:8" ht="15" customHeight="1" x14ac:dyDescent="0.35">
      <c r="B20" s="258" t="s">
        <v>952</v>
      </c>
      <c r="C20" s="258"/>
      <c r="D20" s="197"/>
      <c r="E20" s="197"/>
      <c r="F20" s="197"/>
      <c r="G20" s="197"/>
      <c r="H20" s="197"/>
    </row>
    <row r="21" spans="2:8" ht="15" customHeight="1" x14ac:dyDescent="0.35">
      <c r="B21" s="258" t="s">
        <v>953</v>
      </c>
      <c r="C21" s="258"/>
      <c r="D21" s="197"/>
      <c r="E21" s="197"/>
      <c r="F21" s="197"/>
      <c r="G21" s="197"/>
      <c r="H21" s="197"/>
    </row>
    <row r="22" spans="2:8" ht="15" customHeight="1" x14ac:dyDescent="0.35">
      <c r="B22" s="258" t="s">
        <v>954</v>
      </c>
      <c r="C22" s="258"/>
      <c r="D22" s="197"/>
      <c r="E22" s="197"/>
      <c r="F22" s="197"/>
      <c r="G22" s="197"/>
      <c r="H22" s="197"/>
    </row>
    <row r="23" spans="2:8" ht="15" customHeight="1" x14ac:dyDescent="0.35">
      <c r="B23" s="258" t="s">
        <v>955</v>
      </c>
      <c r="C23" s="258"/>
      <c r="D23" s="197"/>
      <c r="E23" s="197"/>
      <c r="F23" s="197"/>
      <c r="G23" s="197"/>
      <c r="H23" s="197"/>
    </row>
    <row r="24" spans="2:8" ht="15" customHeight="1" x14ac:dyDescent="0.35">
      <c r="B24" s="258" t="s">
        <v>956</v>
      </c>
      <c r="C24" s="258"/>
      <c r="D24" s="197"/>
      <c r="E24" s="197"/>
      <c r="F24" s="197"/>
      <c r="G24" s="197"/>
      <c r="H24" s="197"/>
    </row>
    <row r="25" spans="2:8" ht="15" customHeight="1" x14ac:dyDescent="0.35">
      <c r="B25" s="258" t="s">
        <v>957</v>
      </c>
      <c r="C25" s="258"/>
      <c r="D25" s="197"/>
      <c r="E25" s="197"/>
      <c r="F25" s="197"/>
      <c r="G25" s="197"/>
      <c r="H25" s="197"/>
    </row>
    <row r="26" spans="2:8" ht="15" customHeight="1" x14ac:dyDescent="0.35">
      <c r="B26" s="258" t="s">
        <v>958</v>
      </c>
      <c r="C26" s="258"/>
      <c r="D26" s="197"/>
      <c r="E26" s="197"/>
      <c r="F26" s="197"/>
      <c r="G26" s="197"/>
      <c r="H26" s="197"/>
    </row>
    <row r="27" spans="2:8" ht="15" customHeight="1" x14ac:dyDescent="0.35">
      <c r="B27" s="258" t="s">
        <v>959</v>
      </c>
      <c r="C27" s="258"/>
      <c r="D27" s="197"/>
      <c r="E27" s="197"/>
      <c r="F27" s="197"/>
      <c r="G27" s="197"/>
      <c r="H27" s="197"/>
    </row>
    <row r="28" spans="2:8" ht="15" customHeight="1" x14ac:dyDescent="0.35">
      <c r="B28" s="258" t="s">
        <v>960</v>
      </c>
      <c r="C28" s="258"/>
      <c r="D28" s="197"/>
      <c r="E28" s="197"/>
      <c r="F28" s="197"/>
      <c r="G28" s="197"/>
      <c r="H28" s="197"/>
    </row>
    <row r="29" spans="2:8" ht="15" customHeight="1" x14ac:dyDescent="0.35">
      <c r="B29" s="258" t="s">
        <v>961</v>
      </c>
      <c r="C29" s="258"/>
      <c r="D29" s="197"/>
      <c r="E29" s="197"/>
      <c r="F29" s="197"/>
      <c r="G29" s="197"/>
      <c r="H29" s="197"/>
    </row>
    <row r="30" spans="2:8" ht="15" customHeight="1" x14ac:dyDescent="0.35">
      <c r="B30" s="258" t="s">
        <v>962</v>
      </c>
      <c r="C30" s="258"/>
      <c r="D30" s="197"/>
      <c r="E30" s="197"/>
      <c r="F30" s="197"/>
      <c r="G30" s="197"/>
      <c r="H30" s="197"/>
    </row>
    <row r="31" spans="2:8" ht="15" customHeight="1" x14ac:dyDescent="0.35">
      <c r="B31" s="258" t="s">
        <v>963</v>
      </c>
      <c r="C31" s="258"/>
      <c r="D31" s="197"/>
      <c r="E31" s="197"/>
      <c r="F31" s="197"/>
      <c r="G31" s="197"/>
      <c r="H31" s="197"/>
    </row>
    <row r="32" spans="2:8" ht="15" customHeight="1" x14ac:dyDescent="0.35">
      <c r="B32" s="258" t="s">
        <v>964</v>
      </c>
      <c r="C32" s="258"/>
      <c r="D32" s="197"/>
      <c r="E32" s="197"/>
      <c r="F32" s="197"/>
      <c r="G32" s="197"/>
      <c r="H32" s="197"/>
    </row>
    <row r="33" spans="2:10" ht="15" customHeight="1" x14ac:dyDescent="0.35">
      <c r="B33" s="258" t="s">
        <v>965</v>
      </c>
      <c r="C33" s="258"/>
      <c r="D33" s="197"/>
      <c r="E33" s="197"/>
      <c r="F33" s="197"/>
      <c r="G33" s="197"/>
      <c r="H33" s="197"/>
    </row>
    <row r="34" spans="2:10" ht="15" customHeight="1" x14ac:dyDescent="0.35">
      <c r="B34" s="258" t="s">
        <v>966</v>
      </c>
      <c r="C34" s="258"/>
      <c r="D34" s="197"/>
      <c r="E34" s="197"/>
      <c r="F34" s="197"/>
      <c r="G34" s="197"/>
      <c r="H34" s="197"/>
    </row>
    <row r="35" spans="2:10" ht="15" customHeight="1" x14ac:dyDescent="0.35">
      <c r="B35" s="258" t="s">
        <v>967</v>
      </c>
      <c r="C35" s="258"/>
      <c r="D35" s="197"/>
      <c r="E35" s="197"/>
      <c r="F35" s="197"/>
      <c r="G35" s="197"/>
      <c r="H35" s="197"/>
    </row>
    <row r="36" spans="2:10" ht="15" customHeight="1" x14ac:dyDescent="0.35">
      <c r="B36" s="258" t="s">
        <v>968</v>
      </c>
      <c r="C36" s="258"/>
      <c r="D36" s="197"/>
      <c r="E36" s="197"/>
      <c r="F36" s="197"/>
      <c r="G36" s="197"/>
      <c r="H36" s="197"/>
    </row>
    <row r="37" spans="2:10" ht="15" customHeight="1" x14ac:dyDescent="0.35">
      <c r="B37" s="258" t="s">
        <v>969</v>
      </c>
      <c r="C37" s="258"/>
      <c r="D37" s="197"/>
      <c r="E37" s="197"/>
      <c r="F37" s="197"/>
      <c r="G37" s="197"/>
      <c r="H37" s="197"/>
    </row>
    <row r="38" spans="2:10" ht="15" customHeight="1" x14ac:dyDescent="0.35">
      <c r="B38" s="258" t="s">
        <v>970</v>
      </c>
      <c r="C38" s="258"/>
      <c r="D38" s="197"/>
      <c r="E38" s="197"/>
      <c r="F38" s="197"/>
      <c r="G38" s="197"/>
      <c r="H38" s="197"/>
    </row>
    <row r="39" spans="2:10" ht="15" customHeight="1" x14ac:dyDescent="0.35">
      <c r="B39" s="258" t="s">
        <v>971</v>
      </c>
      <c r="C39" s="258"/>
      <c r="D39" s="197"/>
      <c r="E39" s="197"/>
      <c r="F39" s="197"/>
      <c r="G39" s="197"/>
      <c r="H39" s="197"/>
    </row>
    <row r="40" spans="2:10" ht="15" customHeight="1" x14ac:dyDescent="0.35">
      <c r="B40" s="258" t="s">
        <v>972</v>
      </c>
      <c r="C40" s="258"/>
      <c r="D40" s="197"/>
      <c r="E40" s="197"/>
      <c r="F40" s="197"/>
      <c r="G40" s="197"/>
      <c r="H40" s="197"/>
    </row>
    <row r="41" spans="2:10" ht="15" customHeight="1" x14ac:dyDescent="0.35">
      <c r="B41" s="258" t="s">
        <v>973</v>
      </c>
      <c r="C41" s="258"/>
      <c r="D41" s="197"/>
      <c r="E41" s="197"/>
      <c r="F41" s="197"/>
      <c r="G41" s="197"/>
      <c r="H41" s="197"/>
    </row>
    <row r="42" spans="2:10" ht="15" customHeight="1" x14ac:dyDescent="0.35">
      <c r="B42" s="258" t="s">
        <v>974</v>
      </c>
      <c r="C42" s="258"/>
      <c r="D42" s="197"/>
      <c r="E42" s="197"/>
      <c r="F42" s="197"/>
      <c r="G42" s="197"/>
      <c r="H42" s="197"/>
    </row>
    <row r="43" spans="2:10" ht="15" customHeight="1" x14ac:dyDescent="0.35">
      <c r="B43" s="258" t="s">
        <v>975</v>
      </c>
      <c r="C43" s="258"/>
      <c r="D43" s="197"/>
      <c r="E43" s="197"/>
      <c r="F43" s="197"/>
      <c r="G43" s="197"/>
      <c r="H43" s="197"/>
    </row>
    <row r="44" spans="2:10" ht="15" customHeight="1" x14ac:dyDescent="0.35">
      <c r="B44" s="258" t="s">
        <v>428</v>
      </c>
      <c r="C44" s="258"/>
      <c r="D44" s="197"/>
      <c r="E44" s="197"/>
      <c r="F44" s="197"/>
      <c r="G44" s="197"/>
      <c r="H44" s="197"/>
    </row>
    <row r="45" spans="2:10" ht="15" customHeight="1" x14ac:dyDescent="0.35">
      <c r="B45" s="257" t="s">
        <v>936</v>
      </c>
      <c r="C45" s="257"/>
      <c r="D45" s="203"/>
      <c r="E45" s="203"/>
      <c r="F45" s="203"/>
      <c r="G45" s="203"/>
      <c r="H45" s="203"/>
    </row>
    <row r="47" spans="2:10" s="85" customFormat="1" x14ac:dyDescent="0.35">
      <c r="C47" s="29"/>
      <c r="D47" s="29"/>
      <c r="E47" s="29"/>
      <c r="F47" s="29"/>
      <c r="G47" s="29"/>
      <c r="H47" s="29"/>
      <c r="I47" s="29"/>
      <c r="J47" s="29"/>
    </row>
  </sheetData>
  <sheetProtection algorithmName="SHA-512" hashValue="KwDMSRCiX1RW469V6jsu1pBtcw7vPkGBpoDUNq1gjpA70RqGJIjsqgzGTJmdczK6jUlQgR+SQfU/TGiabB1uoQ==" saltValue="TFlqL1GsEYsRFWmTSAKqUw==" spinCount="100000" sheet="1" objects="1" scenarios="1" formatCells="0"/>
  <protectedRanges>
    <protectedRange sqref="D9:H45" name="Диапазон1"/>
  </protectedRanges>
  <mergeCells count="45">
    <mergeCell ref="B13:C13"/>
    <mergeCell ref="C1:D1"/>
    <mergeCell ref="C2:D2"/>
    <mergeCell ref="C3:D3"/>
    <mergeCell ref="C4:D4"/>
    <mergeCell ref="C5:D5"/>
    <mergeCell ref="B7:C8"/>
    <mergeCell ref="D7:E7"/>
    <mergeCell ref="F7:H7"/>
    <mergeCell ref="B9:C9"/>
    <mergeCell ref="B10:C10"/>
    <mergeCell ref="B11:C11"/>
    <mergeCell ref="B12:C12"/>
    <mergeCell ref="B25:C25"/>
    <mergeCell ref="B14:C14"/>
    <mergeCell ref="B15:C15"/>
    <mergeCell ref="B16:C16"/>
    <mergeCell ref="B17:C17"/>
    <mergeCell ref="B18:C18"/>
    <mergeCell ref="B19:C19"/>
    <mergeCell ref="B20:C20"/>
    <mergeCell ref="B21:C21"/>
    <mergeCell ref="B22:C22"/>
    <mergeCell ref="B23:C23"/>
    <mergeCell ref="B24:C24"/>
    <mergeCell ref="B37:C37"/>
    <mergeCell ref="B26:C26"/>
    <mergeCell ref="B27:C27"/>
    <mergeCell ref="B28:C28"/>
    <mergeCell ref="B29:C29"/>
    <mergeCell ref="B30:C30"/>
    <mergeCell ref="B31:C31"/>
    <mergeCell ref="B32:C32"/>
    <mergeCell ref="B33:C33"/>
    <mergeCell ref="B34:C34"/>
    <mergeCell ref="B35:C35"/>
    <mergeCell ref="B36:C36"/>
    <mergeCell ref="B44:C44"/>
    <mergeCell ref="B45:C45"/>
    <mergeCell ref="B38:C38"/>
    <mergeCell ref="B39:C39"/>
    <mergeCell ref="B40:C40"/>
    <mergeCell ref="B41:C41"/>
    <mergeCell ref="B42:C42"/>
    <mergeCell ref="B43:C43"/>
  </mergeCells>
  <hyperlinks>
    <hyperlink ref="E1" location="'Список таблиц'!A1" display="Список таблиц" xr:uid="{895FE7E8-419F-42C6-81F1-DEEA8FD81901}"/>
  </hyperlinks>
  <pageMargins left="0.7" right="0.7" top="0.75" bottom="0.75" header="0.3" footer="0.3"/>
  <pageSetup paperSize="9" scale="35"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348F4-8490-4565-98C8-F5CBBCEDE6CF}">
  <sheetPr codeName="Лист35">
    <tabColor theme="9" tint="0.79998168889431442"/>
  </sheetPr>
  <dimension ref="B1:G149"/>
  <sheetViews>
    <sheetView view="pageBreakPreview" zoomScale="60" zoomScaleNormal="100" workbookViewId="0">
      <selection activeCell="G14" sqref="G14"/>
    </sheetView>
  </sheetViews>
  <sheetFormatPr defaultColWidth="9.1796875" defaultRowHeight="14.5" x14ac:dyDescent="0.35"/>
  <cols>
    <col min="1" max="1" width="7.81640625" style="29" customWidth="1"/>
    <col min="2" max="2" width="13.54296875" style="29" customWidth="1"/>
    <col min="3" max="3" width="17.7265625" style="129" customWidth="1"/>
    <col min="4" max="4" width="59.54296875" style="129" customWidth="1"/>
    <col min="5" max="5" width="12.7265625" style="29" customWidth="1"/>
    <col min="6" max="7" width="21.453125" style="29" customWidth="1"/>
    <col min="8" max="16384" width="9.1796875" style="29"/>
  </cols>
  <sheetData>
    <row r="1" spans="2:7" s="85" customFormat="1" x14ac:dyDescent="0.35">
      <c r="B1" s="62" t="s">
        <v>742</v>
      </c>
      <c r="C1" s="270">
        <f>VLOOKUP($C$5,'Список таблиц'!A:E,2,FALSE)</f>
        <v>1945</v>
      </c>
      <c r="D1" s="271"/>
      <c r="E1" s="271"/>
      <c r="F1" s="98" t="s">
        <v>743</v>
      </c>
    </row>
    <row r="2" spans="2:7" s="85" customFormat="1" ht="15" customHeight="1" x14ac:dyDescent="0.35">
      <c r="B2" s="65" t="s">
        <v>744</v>
      </c>
      <c r="C2" s="306" t="str">
        <f>VLOOKUP($C$5,'Список таблиц'!A:E,3,FALSE)</f>
        <v>Формы финансовой отчетности страховщиков и правила по их заполнению</v>
      </c>
      <c r="D2" s="307"/>
      <c r="E2" s="307"/>
    </row>
    <row r="3" spans="2:7" x14ac:dyDescent="0.35">
      <c r="B3" s="67" t="s">
        <v>745</v>
      </c>
      <c r="C3" s="274">
        <f>VLOOKUP($C$5,'Список таблиц'!A:E,4,FALSE)</f>
        <v>1</v>
      </c>
      <c r="D3" s="275"/>
      <c r="E3" s="275"/>
    </row>
    <row r="4" spans="2:7" ht="16.5" customHeight="1" x14ac:dyDescent="0.35">
      <c r="B4" s="69" t="s">
        <v>746</v>
      </c>
      <c r="C4" s="287" t="str">
        <f>VLOOKUP($C$5,'Список таблиц'!A:E,5,FALSE)</f>
        <v>Бухгалтерский баланс — форма № 1 — страхование</v>
      </c>
      <c r="D4" s="288"/>
      <c r="E4" s="288"/>
    </row>
    <row r="5" spans="2:7" x14ac:dyDescent="0.35">
      <c r="B5" s="67" t="s">
        <v>747</v>
      </c>
      <c r="C5" s="281" t="s">
        <v>430</v>
      </c>
      <c r="D5" s="282"/>
      <c r="E5" s="282"/>
    </row>
    <row r="7" spans="2:7" s="167" customFormat="1" ht="59.25" customHeight="1" x14ac:dyDescent="0.35">
      <c r="B7" s="255" t="s">
        <v>976</v>
      </c>
      <c r="C7" s="255"/>
      <c r="D7" s="255"/>
      <c r="E7" s="72" t="s">
        <v>977</v>
      </c>
      <c r="F7" s="72" t="s">
        <v>978</v>
      </c>
      <c r="G7" s="72" t="s">
        <v>979</v>
      </c>
    </row>
    <row r="8" spans="2:7" ht="15" customHeight="1" x14ac:dyDescent="0.35">
      <c r="B8" s="268" t="s">
        <v>435</v>
      </c>
      <c r="C8" s="268"/>
      <c r="D8" s="268"/>
      <c r="E8" s="124"/>
      <c r="F8" s="189"/>
      <c r="G8" s="189"/>
    </row>
    <row r="9" spans="2:7" ht="15" customHeight="1" x14ac:dyDescent="0.35">
      <c r="B9" s="268" t="s">
        <v>980</v>
      </c>
      <c r="C9" s="268"/>
      <c r="D9" s="268"/>
      <c r="E9" s="124"/>
      <c r="F9" s="189"/>
      <c r="G9" s="189"/>
    </row>
    <row r="10" spans="2:7" ht="15" customHeight="1" x14ac:dyDescent="0.35">
      <c r="B10" s="257" t="s">
        <v>981</v>
      </c>
      <c r="C10" s="257"/>
      <c r="D10" s="257"/>
      <c r="E10" s="168"/>
      <c r="F10" s="190"/>
      <c r="G10" s="190"/>
    </row>
    <row r="11" spans="2:7" ht="15" customHeight="1" x14ac:dyDescent="0.35">
      <c r="B11" s="258" t="s">
        <v>982</v>
      </c>
      <c r="C11" s="258"/>
      <c r="D11" s="258"/>
      <c r="E11" s="73">
        <v>10</v>
      </c>
      <c r="F11" s="189"/>
      <c r="G11" s="189"/>
    </row>
    <row r="12" spans="2:7" ht="15" customHeight="1" x14ac:dyDescent="0.35">
      <c r="B12" s="258" t="s">
        <v>983</v>
      </c>
      <c r="C12" s="258"/>
      <c r="D12" s="258"/>
      <c r="E12" s="73">
        <v>11</v>
      </c>
      <c r="F12" s="189"/>
      <c r="G12" s="189"/>
    </row>
    <row r="13" spans="2:7" ht="15" customHeight="1" x14ac:dyDescent="0.35">
      <c r="B13" s="258" t="s">
        <v>984</v>
      </c>
      <c r="C13" s="258"/>
      <c r="D13" s="258"/>
      <c r="E13" s="73">
        <v>12</v>
      </c>
      <c r="F13" s="189"/>
      <c r="G13" s="189"/>
    </row>
    <row r="14" spans="2:7" ht="15" customHeight="1" x14ac:dyDescent="0.35">
      <c r="B14" s="257" t="s">
        <v>985</v>
      </c>
      <c r="C14" s="257"/>
      <c r="D14" s="257"/>
      <c r="E14" s="168"/>
      <c r="F14" s="190"/>
      <c r="G14" s="190"/>
    </row>
    <row r="15" spans="2:7" ht="15" customHeight="1" x14ac:dyDescent="0.35">
      <c r="B15" s="258" t="s">
        <v>986</v>
      </c>
      <c r="C15" s="258"/>
      <c r="D15" s="258"/>
      <c r="E15" s="73">
        <v>20</v>
      </c>
      <c r="F15" s="189"/>
      <c r="G15" s="189"/>
    </row>
    <row r="16" spans="2:7" ht="15" customHeight="1" x14ac:dyDescent="0.35">
      <c r="B16" s="258" t="s">
        <v>987</v>
      </c>
      <c r="C16" s="258"/>
      <c r="D16" s="258"/>
      <c r="E16" s="73">
        <v>21</v>
      </c>
      <c r="F16" s="189"/>
      <c r="G16" s="189"/>
    </row>
    <row r="17" spans="2:7" ht="15" customHeight="1" x14ac:dyDescent="0.35">
      <c r="B17" s="258" t="s">
        <v>988</v>
      </c>
      <c r="C17" s="258"/>
      <c r="D17" s="258"/>
      <c r="E17" s="73">
        <v>22</v>
      </c>
      <c r="F17" s="189"/>
      <c r="G17" s="189"/>
    </row>
    <row r="18" spans="2:7" ht="15" customHeight="1" x14ac:dyDescent="0.35">
      <c r="B18" s="257" t="s">
        <v>989</v>
      </c>
      <c r="C18" s="257"/>
      <c r="D18" s="257"/>
      <c r="E18" s="73">
        <v>30</v>
      </c>
      <c r="F18" s="190"/>
      <c r="G18" s="190"/>
    </row>
    <row r="19" spans="2:7" ht="15" customHeight="1" x14ac:dyDescent="0.35">
      <c r="B19" s="258" t="s">
        <v>990</v>
      </c>
      <c r="C19" s="258"/>
      <c r="D19" s="258"/>
      <c r="E19" s="73">
        <v>40</v>
      </c>
      <c r="F19" s="189"/>
      <c r="G19" s="189"/>
    </row>
    <row r="20" spans="2:7" ht="15" customHeight="1" x14ac:dyDescent="0.35">
      <c r="B20" s="258" t="s">
        <v>991</v>
      </c>
      <c r="C20" s="258"/>
      <c r="D20" s="258"/>
      <c r="E20" s="73">
        <v>50</v>
      </c>
      <c r="F20" s="189"/>
      <c r="G20" s="189"/>
    </row>
    <row r="21" spans="2:7" ht="15" customHeight="1" x14ac:dyDescent="0.35">
      <c r="B21" s="258" t="s">
        <v>992</v>
      </c>
      <c r="C21" s="258"/>
      <c r="D21" s="258"/>
      <c r="E21" s="73">
        <v>60</v>
      </c>
      <c r="F21" s="189"/>
      <c r="G21" s="189"/>
    </row>
    <row r="22" spans="2:7" ht="15" customHeight="1" x14ac:dyDescent="0.35">
      <c r="B22" s="258" t="s">
        <v>993</v>
      </c>
      <c r="C22" s="258"/>
      <c r="D22" s="258"/>
      <c r="E22" s="73">
        <v>70</v>
      </c>
      <c r="F22" s="189"/>
      <c r="G22" s="189"/>
    </row>
    <row r="23" spans="2:7" ht="15" customHeight="1" x14ac:dyDescent="0.35">
      <c r="B23" s="258" t="s">
        <v>994</v>
      </c>
      <c r="C23" s="258"/>
      <c r="D23" s="258"/>
      <c r="E23" s="73">
        <v>80</v>
      </c>
      <c r="F23" s="189"/>
      <c r="G23" s="189"/>
    </row>
    <row r="24" spans="2:7" ht="15" customHeight="1" x14ac:dyDescent="0.35">
      <c r="B24" s="258" t="s">
        <v>995</v>
      </c>
      <c r="C24" s="258"/>
      <c r="D24" s="258"/>
      <c r="E24" s="73">
        <v>90</v>
      </c>
      <c r="F24" s="189"/>
      <c r="G24" s="189"/>
    </row>
    <row r="25" spans="2:7" ht="15" customHeight="1" x14ac:dyDescent="0.35">
      <c r="B25" s="258" t="s">
        <v>996</v>
      </c>
      <c r="C25" s="258"/>
      <c r="D25" s="258"/>
      <c r="E25" s="73">
        <v>100</v>
      </c>
      <c r="F25" s="189"/>
      <c r="G25" s="189"/>
    </row>
    <row r="26" spans="2:7" ht="15" customHeight="1" x14ac:dyDescent="0.35">
      <c r="B26" s="258" t="s">
        <v>997</v>
      </c>
      <c r="C26" s="258"/>
      <c r="D26" s="258"/>
      <c r="E26" s="73">
        <v>110</v>
      </c>
      <c r="F26" s="189"/>
      <c r="G26" s="189"/>
    </row>
    <row r="27" spans="2:7" ht="15" customHeight="1" x14ac:dyDescent="0.35">
      <c r="B27" s="258" t="s">
        <v>998</v>
      </c>
      <c r="C27" s="258"/>
      <c r="D27" s="258"/>
      <c r="E27" s="73">
        <v>120</v>
      </c>
      <c r="F27" s="189"/>
      <c r="G27" s="189"/>
    </row>
    <row r="28" spans="2:7" ht="15" customHeight="1" x14ac:dyDescent="0.35">
      <c r="B28" s="257" t="s">
        <v>999</v>
      </c>
      <c r="C28" s="257"/>
      <c r="D28" s="257"/>
      <c r="E28" s="73">
        <v>130</v>
      </c>
      <c r="F28" s="189"/>
      <c r="G28" s="189"/>
    </row>
    <row r="29" spans="2:7" ht="15" customHeight="1" x14ac:dyDescent="0.35">
      <c r="B29" s="268" t="s">
        <v>1000</v>
      </c>
      <c r="C29" s="268"/>
      <c r="D29" s="268"/>
      <c r="E29" s="124"/>
      <c r="F29" s="190"/>
      <c r="G29" s="190"/>
    </row>
    <row r="30" spans="2:7" ht="15" customHeight="1" x14ac:dyDescent="0.35">
      <c r="B30" s="257" t="s">
        <v>1001</v>
      </c>
      <c r="C30" s="257"/>
      <c r="D30" s="257"/>
      <c r="E30" s="73">
        <v>140</v>
      </c>
      <c r="F30" s="190"/>
      <c r="G30" s="190"/>
    </row>
    <row r="31" spans="2:7" ht="15" customHeight="1" x14ac:dyDescent="0.35">
      <c r="B31" s="258" t="s">
        <v>1002</v>
      </c>
      <c r="C31" s="258"/>
      <c r="D31" s="258"/>
      <c r="E31" s="73">
        <v>150</v>
      </c>
      <c r="F31" s="189"/>
      <c r="G31" s="189"/>
    </row>
    <row r="32" spans="2:7" ht="15" customHeight="1" x14ac:dyDescent="0.35">
      <c r="B32" s="258" t="s">
        <v>1003</v>
      </c>
      <c r="C32" s="258"/>
      <c r="D32" s="258"/>
      <c r="E32" s="73">
        <v>160</v>
      </c>
      <c r="F32" s="189"/>
      <c r="G32" s="189"/>
    </row>
    <row r="33" spans="2:7" ht="15" customHeight="1" x14ac:dyDescent="0.35">
      <c r="B33" s="258" t="s">
        <v>1004</v>
      </c>
      <c r="C33" s="258"/>
      <c r="D33" s="258"/>
      <c r="E33" s="73">
        <v>170</v>
      </c>
      <c r="F33" s="189"/>
      <c r="G33" s="189"/>
    </row>
    <row r="34" spans="2:7" ht="15" customHeight="1" x14ac:dyDescent="0.35">
      <c r="B34" s="258" t="s">
        <v>1005</v>
      </c>
      <c r="C34" s="258"/>
      <c r="D34" s="258"/>
      <c r="E34" s="73">
        <v>180</v>
      </c>
      <c r="F34" s="189"/>
      <c r="G34" s="189"/>
    </row>
    <row r="35" spans="2:7" ht="15" customHeight="1" x14ac:dyDescent="0.35">
      <c r="B35" s="257" t="s">
        <v>1006</v>
      </c>
      <c r="C35" s="257"/>
      <c r="D35" s="257"/>
      <c r="E35" s="73">
        <v>190</v>
      </c>
      <c r="F35" s="190"/>
      <c r="G35" s="190"/>
    </row>
    <row r="36" spans="2:7" ht="15" customHeight="1" x14ac:dyDescent="0.35">
      <c r="B36" s="305" t="s">
        <v>1007</v>
      </c>
      <c r="C36" s="305"/>
      <c r="D36" s="305"/>
      <c r="E36" s="73">
        <v>191</v>
      </c>
      <c r="F36" s="189"/>
      <c r="G36" s="189"/>
    </row>
    <row r="37" spans="2:7" ht="15" customHeight="1" x14ac:dyDescent="0.35">
      <c r="B37" s="257" t="s">
        <v>1008</v>
      </c>
      <c r="C37" s="257"/>
      <c r="D37" s="257"/>
      <c r="E37" s="73">
        <v>200</v>
      </c>
      <c r="F37" s="190"/>
      <c r="G37" s="190"/>
    </row>
    <row r="38" spans="2:7" ht="15" customHeight="1" x14ac:dyDescent="0.35">
      <c r="B38" s="258" t="s">
        <v>1009</v>
      </c>
      <c r="C38" s="258"/>
      <c r="D38" s="258"/>
      <c r="E38" s="73">
        <v>210</v>
      </c>
      <c r="F38" s="189"/>
      <c r="G38" s="189"/>
    </row>
    <row r="39" spans="2:7" ht="30" customHeight="1" x14ac:dyDescent="0.35">
      <c r="B39" s="257" t="s">
        <v>1010</v>
      </c>
      <c r="C39" s="257"/>
      <c r="D39" s="257"/>
      <c r="E39" s="73">
        <v>220</v>
      </c>
      <c r="F39" s="190"/>
      <c r="G39" s="190"/>
    </row>
    <row r="40" spans="2:7" ht="15" customHeight="1" x14ac:dyDescent="0.35">
      <c r="B40" s="258" t="s">
        <v>1011</v>
      </c>
      <c r="C40" s="258"/>
      <c r="D40" s="258"/>
      <c r="E40" s="73">
        <v>230</v>
      </c>
      <c r="F40" s="189"/>
      <c r="G40" s="189"/>
    </row>
    <row r="41" spans="2:7" ht="15" customHeight="1" x14ac:dyDescent="0.35">
      <c r="B41" s="258" t="s">
        <v>1012</v>
      </c>
      <c r="C41" s="258"/>
      <c r="D41" s="258"/>
      <c r="E41" s="73">
        <v>240</v>
      </c>
      <c r="F41" s="189"/>
      <c r="G41" s="189"/>
    </row>
    <row r="42" spans="2:7" ht="15" customHeight="1" x14ac:dyDescent="0.35">
      <c r="B42" s="258" t="s">
        <v>1013</v>
      </c>
      <c r="C42" s="258"/>
      <c r="D42" s="258"/>
      <c r="E42" s="73">
        <v>250</v>
      </c>
      <c r="F42" s="189"/>
      <c r="G42" s="189"/>
    </row>
    <row r="43" spans="2:7" ht="30" customHeight="1" x14ac:dyDescent="0.35">
      <c r="B43" s="258" t="s">
        <v>1014</v>
      </c>
      <c r="C43" s="258"/>
      <c r="D43" s="258"/>
      <c r="E43" s="73">
        <v>260</v>
      </c>
      <c r="F43" s="189"/>
      <c r="G43" s="189"/>
    </row>
    <row r="44" spans="2:7" ht="15" customHeight="1" x14ac:dyDescent="0.35">
      <c r="B44" s="258" t="s">
        <v>1015</v>
      </c>
      <c r="C44" s="258"/>
      <c r="D44" s="258"/>
      <c r="E44" s="73">
        <v>270</v>
      </c>
      <c r="F44" s="189"/>
      <c r="G44" s="189"/>
    </row>
    <row r="45" spans="2:7" ht="15" customHeight="1" x14ac:dyDescent="0.35">
      <c r="B45" s="258" t="s">
        <v>1016</v>
      </c>
      <c r="C45" s="258"/>
      <c r="D45" s="258"/>
      <c r="E45" s="73">
        <v>280</v>
      </c>
      <c r="F45" s="189"/>
      <c r="G45" s="189"/>
    </row>
    <row r="46" spans="2:7" ht="15" customHeight="1" x14ac:dyDescent="0.35">
      <c r="B46" s="258" t="s">
        <v>1017</v>
      </c>
      <c r="C46" s="258"/>
      <c r="D46" s="258"/>
      <c r="E46" s="73">
        <v>290</v>
      </c>
      <c r="F46" s="189"/>
      <c r="G46" s="189"/>
    </row>
    <row r="47" spans="2:7" ht="15" customHeight="1" x14ac:dyDescent="0.35">
      <c r="B47" s="258" t="s">
        <v>1018</v>
      </c>
      <c r="C47" s="258"/>
      <c r="D47" s="258"/>
      <c r="E47" s="73">
        <v>300</v>
      </c>
      <c r="F47" s="189"/>
      <c r="G47" s="189"/>
    </row>
    <row r="48" spans="2:7" ht="15" customHeight="1" x14ac:dyDescent="0.35">
      <c r="B48" s="258" t="s">
        <v>1019</v>
      </c>
      <c r="C48" s="258"/>
      <c r="D48" s="258"/>
      <c r="E48" s="73">
        <v>310</v>
      </c>
      <c r="F48" s="189"/>
      <c r="G48" s="189"/>
    </row>
    <row r="49" spans="2:7" ht="15" customHeight="1" x14ac:dyDescent="0.35">
      <c r="B49" s="258" t="s">
        <v>1020</v>
      </c>
      <c r="C49" s="258"/>
      <c r="D49" s="258"/>
      <c r="E49" s="73">
        <v>320</v>
      </c>
      <c r="F49" s="189"/>
      <c r="G49" s="189"/>
    </row>
    <row r="50" spans="2:7" ht="15" customHeight="1" x14ac:dyDescent="0.35">
      <c r="B50" s="258" t="s">
        <v>1021</v>
      </c>
      <c r="C50" s="258"/>
      <c r="D50" s="258"/>
      <c r="E50" s="73">
        <v>330</v>
      </c>
      <c r="F50" s="189"/>
      <c r="G50" s="189"/>
    </row>
    <row r="51" spans="2:7" ht="15" customHeight="1" x14ac:dyDescent="0.35">
      <c r="B51" s="258" t="s">
        <v>1022</v>
      </c>
      <c r="C51" s="258"/>
      <c r="D51" s="258"/>
      <c r="E51" s="73">
        <v>340</v>
      </c>
      <c r="F51" s="189"/>
      <c r="G51" s="189"/>
    </row>
    <row r="52" spans="2:7" ht="15" customHeight="1" x14ac:dyDescent="0.35">
      <c r="B52" s="258" t="s">
        <v>1023</v>
      </c>
      <c r="C52" s="258"/>
      <c r="D52" s="258"/>
      <c r="E52" s="73">
        <v>350</v>
      </c>
      <c r="F52" s="189"/>
      <c r="G52" s="189"/>
    </row>
    <row r="53" spans="2:7" ht="15" customHeight="1" x14ac:dyDescent="0.35">
      <c r="B53" s="258" t="s">
        <v>1024</v>
      </c>
      <c r="C53" s="258"/>
      <c r="D53" s="258"/>
      <c r="E53" s="73">
        <v>360</v>
      </c>
      <c r="F53" s="189"/>
      <c r="G53" s="189"/>
    </row>
    <row r="54" spans="2:7" ht="15" customHeight="1" x14ac:dyDescent="0.35">
      <c r="B54" s="258" t="s">
        <v>1025</v>
      </c>
      <c r="C54" s="258"/>
      <c r="D54" s="258"/>
      <c r="E54" s="73">
        <v>370</v>
      </c>
      <c r="F54" s="189"/>
      <c r="G54" s="189"/>
    </row>
    <row r="55" spans="2:7" ht="15" customHeight="1" x14ac:dyDescent="0.35">
      <c r="B55" s="258" t="s">
        <v>1026</v>
      </c>
      <c r="C55" s="258"/>
      <c r="D55" s="258"/>
      <c r="E55" s="73">
        <v>380</v>
      </c>
      <c r="F55" s="189"/>
      <c r="G55" s="189"/>
    </row>
    <row r="56" spans="2:7" ht="15" customHeight="1" x14ac:dyDescent="0.35">
      <c r="B56" s="258" t="s">
        <v>1027</v>
      </c>
      <c r="C56" s="258"/>
      <c r="D56" s="258"/>
      <c r="E56" s="73">
        <v>390</v>
      </c>
      <c r="F56" s="189"/>
      <c r="G56" s="189"/>
    </row>
    <row r="57" spans="2:7" ht="15" customHeight="1" x14ac:dyDescent="0.35">
      <c r="B57" s="258" t="s">
        <v>1028</v>
      </c>
      <c r="C57" s="258"/>
      <c r="D57" s="258"/>
      <c r="E57" s="73">
        <v>400</v>
      </c>
      <c r="F57" s="189"/>
      <c r="G57" s="189"/>
    </row>
    <row r="58" spans="2:7" ht="15" customHeight="1" x14ac:dyDescent="0.35">
      <c r="B58" s="257" t="s">
        <v>1029</v>
      </c>
      <c r="C58" s="257"/>
      <c r="D58" s="257"/>
      <c r="E58" s="73">
        <v>410</v>
      </c>
      <c r="F58" s="190"/>
      <c r="G58" s="190"/>
    </row>
    <row r="59" spans="2:7" ht="15" customHeight="1" x14ac:dyDescent="0.35">
      <c r="B59" s="258" t="s">
        <v>1030</v>
      </c>
      <c r="C59" s="258"/>
      <c r="D59" s="258"/>
      <c r="E59" s="73">
        <v>420</v>
      </c>
      <c r="F59" s="189"/>
      <c r="G59" s="189"/>
    </row>
    <row r="60" spans="2:7" ht="15" customHeight="1" x14ac:dyDescent="0.35">
      <c r="B60" s="258" t="s">
        <v>1031</v>
      </c>
      <c r="C60" s="258"/>
      <c r="D60" s="258"/>
      <c r="E60" s="73">
        <v>430</v>
      </c>
      <c r="F60" s="189"/>
      <c r="G60" s="189"/>
    </row>
    <row r="61" spans="2:7" ht="15" customHeight="1" x14ac:dyDescent="0.35">
      <c r="B61" s="258" t="s">
        <v>1032</v>
      </c>
      <c r="C61" s="258"/>
      <c r="D61" s="258"/>
      <c r="E61" s="73">
        <v>440</v>
      </c>
      <c r="F61" s="189"/>
      <c r="G61" s="189"/>
    </row>
    <row r="62" spans="2:7" ht="15" customHeight="1" x14ac:dyDescent="0.35">
      <c r="B62" s="258" t="s">
        <v>1033</v>
      </c>
      <c r="C62" s="258"/>
      <c r="D62" s="258"/>
      <c r="E62" s="73">
        <v>450</v>
      </c>
      <c r="F62" s="189"/>
      <c r="G62" s="189"/>
    </row>
    <row r="63" spans="2:7" ht="15" customHeight="1" x14ac:dyDescent="0.35">
      <c r="B63" s="258" t="s">
        <v>1034</v>
      </c>
      <c r="C63" s="258"/>
      <c r="D63" s="258"/>
      <c r="E63" s="73">
        <v>460</v>
      </c>
      <c r="F63" s="189"/>
      <c r="G63" s="189"/>
    </row>
    <row r="64" spans="2:7" ht="15" customHeight="1" x14ac:dyDescent="0.35">
      <c r="B64" s="258" t="s">
        <v>1035</v>
      </c>
      <c r="C64" s="258"/>
      <c r="D64" s="258"/>
      <c r="E64" s="73">
        <v>470</v>
      </c>
      <c r="F64" s="189"/>
      <c r="G64" s="189"/>
    </row>
    <row r="65" spans="2:7" ht="15" customHeight="1" x14ac:dyDescent="0.35">
      <c r="B65" s="257" t="s">
        <v>1036</v>
      </c>
      <c r="C65" s="257"/>
      <c r="D65" s="257"/>
      <c r="E65" s="73">
        <v>480</v>
      </c>
      <c r="F65" s="190"/>
      <c r="G65" s="190"/>
    </row>
    <row r="66" spans="2:7" ht="15" customHeight="1" x14ac:dyDescent="0.35">
      <c r="B66" s="257" t="s">
        <v>1037</v>
      </c>
      <c r="C66" s="257"/>
      <c r="D66" s="257"/>
      <c r="E66" s="73">
        <v>490</v>
      </c>
      <c r="F66" s="190"/>
      <c r="G66" s="190"/>
    </row>
    <row r="67" spans="2:7" ht="15" customHeight="1" x14ac:dyDescent="0.35">
      <c r="B67" s="268" t="s">
        <v>494</v>
      </c>
      <c r="C67" s="268"/>
      <c r="D67" s="268"/>
      <c r="E67" s="124"/>
      <c r="F67" s="189"/>
      <c r="G67" s="189"/>
    </row>
    <row r="68" spans="2:7" ht="15" customHeight="1" x14ac:dyDescent="0.35">
      <c r="B68" s="268" t="s">
        <v>1038</v>
      </c>
      <c r="C68" s="268"/>
      <c r="D68" s="268"/>
      <c r="E68" s="124"/>
      <c r="F68" s="189"/>
      <c r="G68" s="189"/>
    </row>
    <row r="69" spans="2:7" ht="15" customHeight="1" x14ac:dyDescent="0.35">
      <c r="B69" s="269" t="s">
        <v>1039</v>
      </c>
      <c r="C69" s="269"/>
      <c r="D69" s="269"/>
      <c r="E69" s="106">
        <v>500</v>
      </c>
      <c r="F69" s="189"/>
      <c r="G69" s="189"/>
    </row>
    <row r="70" spans="2:7" ht="15" customHeight="1" x14ac:dyDescent="0.35">
      <c r="B70" s="269" t="s">
        <v>1040</v>
      </c>
      <c r="C70" s="269"/>
      <c r="D70" s="269"/>
      <c r="E70" s="106">
        <v>510</v>
      </c>
      <c r="F70" s="189"/>
      <c r="G70" s="189"/>
    </row>
    <row r="71" spans="2:7" ht="15" customHeight="1" x14ac:dyDescent="0.35">
      <c r="B71" s="269" t="s">
        <v>1041</v>
      </c>
      <c r="C71" s="269"/>
      <c r="D71" s="269"/>
      <c r="E71" s="106">
        <v>520</v>
      </c>
      <c r="F71" s="189"/>
      <c r="G71" s="189"/>
    </row>
    <row r="72" spans="2:7" ht="15" customHeight="1" x14ac:dyDescent="0.35">
      <c r="B72" s="269" t="s">
        <v>1042</v>
      </c>
      <c r="C72" s="269"/>
      <c r="D72" s="269"/>
      <c r="E72" s="106">
        <v>530</v>
      </c>
      <c r="F72" s="189"/>
      <c r="G72" s="189"/>
    </row>
    <row r="73" spans="2:7" ht="15" customHeight="1" x14ac:dyDescent="0.35">
      <c r="B73" s="269" t="s">
        <v>1043</v>
      </c>
      <c r="C73" s="269"/>
      <c r="D73" s="269"/>
      <c r="E73" s="106">
        <v>540</v>
      </c>
      <c r="F73" s="189"/>
      <c r="G73" s="189"/>
    </row>
    <row r="74" spans="2:7" ht="15" customHeight="1" x14ac:dyDescent="0.35">
      <c r="B74" s="269" t="s">
        <v>1044</v>
      </c>
      <c r="C74" s="269"/>
      <c r="D74" s="269"/>
      <c r="E74" s="106">
        <v>550</v>
      </c>
      <c r="F74" s="189"/>
      <c r="G74" s="189"/>
    </row>
    <row r="75" spans="2:7" ht="15" customHeight="1" x14ac:dyDescent="0.35">
      <c r="B75" s="269" t="s">
        <v>1045</v>
      </c>
      <c r="C75" s="269"/>
      <c r="D75" s="269"/>
      <c r="E75" s="106">
        <v>560</v>
      </c>
      <c r="F75" s="189"/>
      <c r="G75" s="189"/>
    </row>
    <row r="76" spans="2:7" ht="15" customHeight="1" x14ac:dyDescent="0.35">
      <c r="B76" s="278" t="s">
        <v>1046</v>
      </c>
      <c r="C76" s="278"/>
      <c r="D76" s="278"/>
      <c r="E76" s="106">
        <v>570</v>
      </c>
      <c r="F76" s="190"/>
      <c r="G76" s="190"/>
    </row>
    <row r="77" spans="2:7" ht="15" customHeight="1" x14ac:dyDescent="0.35">
      <c r="B77" s="268" t="s">
        <v>1047</v>
      </c>
      <c r="C77" s="268"/>
      <c r="D77" s="268"/>
      <c r="E77" s="106"/>
      <c r="F77" s="189"/>
      <c r="G77" s="189"/>
    </row>
    <row r="78" spans="2:7" ht="15" customHeight="1" x14ac:dyDescent="0.35">
      <c r="B78" s="278" t="s">
        <v>1048</v>
      </c>
      <c r="C78" s="278"/>
      <c r="D78" s="278"/>
      <c r="E78" s="106">
        <v>580</v>
      </c>
      <c r="F78" s="190"/>
      <c r="G78" s="190"/>
    </row>
    <row r="79" spans="2:7" ht="15" customHeight="1" x14ac:dyDescent="0.35">
      <c r="B79" s="269" t="s">
        <v>1049</v>
      </c>
      <c r="C79" s="269"/>
      <c r="D79" s="269"/>
      <c r="E79" s="106">
        <v>590</v>
      </c>
      <c r="F79" s="189"/>
      <c r="G79" s="189"/>
    </row>
    <row r="80" spans="2:7" ht="15" customHeight="1" x14ac:dyDescent="0.35">
      <c r="B80" s="269" t="s">
        <v>1050</v>
      </c>
      <c r="C80" s="269"/>
      <c r="D80" s="269"/>
      <c r="E80" s="106">
        <v>600</v>
      </c>
      <c r="F80" s="189"/>
      <c r="G80" s="189"/>
    </row>
    <row r="81" spans="2:7" ht="15" customHeight="1" x14ac:dyDescent="0.35">
      <c r="B81" s="269" t="s">
        <v>1051</v>
      </c>
      <c r="C81" s="269"/>
      <c r="D81" s="269"/>
      <c r="E81" s="106">
        <v>610</v>
      </c>
      <c r="F81" s="189"/>
      <c r="G81" s="189"/>
    </row>
    <row r="82" spans="2:7" ht="15" customHeight="1" x14ac:dyDescent="0.35">
      <c r="B82" s="269" t="s">
        <v>1052</v>
      </c>
      <c r="C82" s="269"/>
      <c r="D82" s="269"/>
      <c r="E82" s="106">
        <v>620</v>
      </c>
      <c r="F82" s="189"/>
      <c r="G82" s="189"/>
    </row>
    <row r="83" spans="2:7" ht="15" customHeight="1" x14ac:dyDescent="0.35">
      <c r="B83" s="269" t="s">
        <v>1053</v>
      </c>
      <c r="C83" s="269"/>
      <c r="D83" s="269"/>
      <c r="E83" s="106">
        <v>630</v>
      </c>
      <c r="F83" s="189"/>
      <c r="G83" s="189"/>
    </row>
    <row r="84" spans="2:7" ht="15" customHeight="1" x14ac:dyDescent="0.35">
      <c r="B84" s="269" t="s">
        <v>1054</v>
      </c>
      <c r="C84" s="269"/>
      <c r="D84" s="269"/>
      <c r="E84" s="106">
        <v>640</v>
      </c>
      <c r="F84" s="189"/>
      <c r="G84" s="189"/>
    </row>
    <row r="85" spans="2:7" ht="15" customHeight="1" x14ac:dyDescent="0.35">
      <c r="B85" s="269" t="s">
        <v>1055</v>
      </c>
      <c r="C85" s="269"/>
      <c r="D85" s="269"/>
      <c r="E85" s="106">
        <v>650</v>
      </c>
      <c r="F85" s="189"/>
      <c r="G85" s="189"/>
    </row>
    <row r="86" spans="2:7" ht="15" customHeight="1" x14ac:dyDescent="0.35">
      <c r="B86" s="269" t="s">
        <v>1056</v>
      </c>
      <c r="C86" s="269"/>
      <c r="D86" s="269"/>
      <c r="E86" s="106">
        <v>660</v>
      </c>
      <c r="F86" s="189"/>
      <c r="G86" s="189"/>
    </row>
    <row r="87" spans="2:7" ht="15" customHeight="1" x14ac:dyDescent="0.35">
      <c r="B87" s="278" t="s">
        <v>1057</v>
      </c>
      <c r="C87" s="278"/>
      <c r="D87" s="278"/>
      <c r="E87" s="106">
        <v>670</v>
      </c>
      <c r="F87" s="190"/>
      <c r="G87" s="190"/>
    </row>
    <row r="88" spans="2:7" ht="15" customHeight="1" x14ac:dyDescent="0.35">
      <c r="B88" s="269" t="s">
        <v>1058</v>
      </c>
      <c r="C88" s="269"/>
      <c r="D88" s="269"/>
      <c r="E88" s="106">
        <v>680</v>
      </c>
      <c r="F88" s="189"/>
      <c r="G88" s="189"/>
    </row>
    <row r="89" spans="2:7" ht="15" customHeight="1" x14ac:dyDescent="0.35">
      <c r="B89" s="269" t="s">
        <v>1059</v>
      </c>
      <c r="C89" s="269"/>
      <c r="D89" s="269"/>
      <c r="E89" s="106">
        <v>690</v>
      </c>
      <c r="F89" s="189"/>
      <c r="G89" s="189"/>
    </row>
    <row r="90" spans="2:7" ht="15" customHeight="1" x14ac:dyDescent="0.35">
      <c r="B90" s="269" t="s">
        <v>1060</v>
      </c>
      <c r="C90" s="269"/>
      <c r="D90" s="269"/>
      <c r="E90" s="106">
        <v>700</v>
      </c>
      <c r="F90" s="189"/>
      <c r="G90" s="189"/>
    </row>
    <row r="91" spans="2:7" ht="15" customHeight="1" x14ac:dyDescent="0.35">
      <c r="B91" s="269" t="s">
        <v>1061</v>
      </c>
      <c r="C91" s="269"/>
      <c r="D91" s="269"/>
      <c r="E91" s="169">
        <v>710</v>
      </c>
      <c r="F91" s="189"/>
      <c r="G91" s="189"/>
    </row>
    <row r="92" spans="2:7" ht="15" customHeight="1" x14ac:dyDescent="0.35">
      <c r="B92" s="278" t="s">
        <v>1062</v>
      </c>
      <c r="C92" s="278"/>
      <c r="D92" s="278"/>
      <c r="E92" s="106">
        <v>720</v>
      </c>
      <c r="F92" s="189"/>
      <c r="G92" s="189"/>
    </row>
    <row r="93" spans="2:7" ht="15" customHeight="1" x14ac:dyDescent="0.35">
      <c r="B93" s="268" t="s">
        <v>1063</v>
      </c>
      <c r="C93" s="268"/>
      <c r="D93" s="268"/>
      <c r="E93" s="106"/>
      <c r="F93" s="189"/>
      <c r="G93" s="189"/>
    </row>
    <row r="94" spans="2:7" ht="30" customHeight="1" x14ac:dyDescent="0.35">
      <c r="B94" s="278" t="s">
        <v>1064</v>
      </c>
      <c r="C94" s="278"/>
      <c r="D94" s="278"/>
      <c r="E94" s="106">
        <v>730</v>
      </c>
      <c r="F94" s="190"/>
      <c r="G94" s="190"/>
    </row>
    <row r="95" spans="2:7" ht="30" customHeight="1" x14ac:dyDescent="0.35">
      <c r="B95" s="269" t="s">
        <v>1065</v>
      </c>
      <c r="C95" s="269"/>
      <c r="D95" s="269"/>
      <c r="E95" s="106">
        <v>731</v>
      </c>
      <c r="F95" s="189"/>
      <c r="G95" s="189"/>
    </row>
    <row r="96" spans="2:7" ht="15" customHeight="1" x14ac:dyDescent="0.35">
      <c r="B96" s="269" t="s">
        <v>1066</v>
      </c>
      <c r="C96" s="269"/>
      <c r="D96" s="269"/>
      <c r="E96" s="106">
        <v>740</v>
      </c>
      <c r="F96" s="189"/>
      <c r="G96" s="189"/>
    </row>
    <row r="97" spans="2:7" ht="30" customHeight="1" x14ac:dyDescent="0.35">
      <c r="B97" s="278" t="s">
        <v>1067</v>
      </c>
      <c r="C97" s="278"/>
      <c r="D97" s="278"/>
      <c r="E97" s="106">
        <v>750</v>
      </c>
      <c r="F97" s="190"/>
      <c r="G97" s="190"/>
    </row>
    <row r="98" spans="2:7" ht="30" customHeight="1" x14ac:dyDescent="0.35">
      <c r="B98" s="269" t="s">
        <v>1068</v>
      </c>
      <c r="C98" s="269"/>
      <c r="D98" s="269"/>
      <c r="E98" s="106">
        <v>760</v>
      </c>
      <c r="F98" s="189"/>
      <c r="G98" s="189"/>
    </row>
    <row r="99" spans="2:7" ht="15" customHeight="1" x14ac:dyDescent="0.35">
      <c r="B99" s="269" t="s">
        <v>1069</v>
      </c>
      <c r="C99" s="269"/>
      <c r="D99" s="269"/>
      <c r="E99" s="106">
        <v>770</v>
      </c>
      <c r="F99" s="189"/>
      <c r="G99" s="189"/>
    </row>
    <row r="100" spans="2:7" ht="15" customHeight="1" x14ac:dyDescent="0.35">
      <c r="B100" s="269" t="s">
        <v>1070</v>
      </c>
      <c r="C100" s="269"/>
      <c r="D100" s="269"/>
      <c r="E100" s="106">
        <v>780</v>
      </c>
      <c r="F100" s="189"/>
      <c r="G100" s="189"/>
    </row>
    <row r="101" spans="2:7" ht="15" customHeight="1" x14ac:dyDescent="0.35">
      <c r="B101" s="269" t="s">
        <v>1071</v>
      </c>
      <c r="C101" s="269"/>
      <c r="D101" s="269"/>
      <c r="E101" s="106">
        <v>790</v>
      </c>
      <c r="F101" s="189"/>
      <c r="G101" s="189"/>
    </row>
    <row r="102" spans="2:7" ht="15" customHeight="1" x14ac:dyDescent="0.35">
      <c r="B102" s="269" t="s">
        <v>1072</v>
      </c>
      <c r="C102" s="269"/>
      <c r="D102" s="269"/>
      <c r="E102" s="106">
        <v>800</v>
      </c>
      <c r="F102" s="189"/>
      <c r="G102" s="189"/>
    </row>
    <row r="103" spans="2:7" ht="15" customHeight="1" x14ac:dyDescent="0.35">
      <c r="B103" s="269" t="s">
        <v>1073</v>
      </c>
      <c r="C103" s="269"/>
      <c r="D103" s="269"/>
      <c r="E103" s="106">
        <v>810</v>
      </c>
      <c r="F103" s="189"/>
      <c r="G103" s="189"/>
    </row>
    <row r="104" spans="2:7" ht="30" customHeight="1" x14ac:dyDescent="0.35">
      <c r="B104" s="269" t="s">
        <v>1074</v>
      </c>
      <c r="C104" s="269"/>
      <c r="D104" s="269"/>
      <c r="E104" s="106">
        <v>820</v>
      </c>
      <c r="F104" s="189"/>
      <c r="G104" s="189"/>
    </row>
    <row r="105" spans="2:7" ht="14.25" customHeight="1" x14ac:dyDescent="0.35">
      <c r="B105" s="269" t="s">
        <v>1075</v>
      </c>
      <c r="C105" s="269"/>
      <c r="D105" s="269"/>
      <c r="E105" s="106">
        <v>830</v>
      </c>
      <c r="F105" s="189"/>
      <c r="G105" s="189"/>
    </row>
    <row r="106" spans="2:7" ht="14.25" customHeight="1" x14ac:dyDescent="0.35">
      <c r="B106" s="269" t="s">
        <v>1076</v>
      </c>
      <c r="C106" s="269"/>
      <c r="D106" s="269"/>
      <c r="E106" s="106">
        <v>840</v>
      </c>
      <c r="F106" s="189"/>
      <c r="G106" s="189"/>
    </row>
    <row r="107" spans="2:7" ht="14.25" customHeight="1" x14ac:dyDescent="0.35">
      <c r="B107" s="269" t="s">
        <v>1077</v>
      </c>
      <c r="C107" s="269"/>
      <c r="D107" s="269"/>
      <c r="E107" s="106">
        <v>850</v>
      </c>
      <c r="F107" s="189"/>
      <c r="G107" s="189"/>
    </row>
    <row r="108" spans="2:7" ht="14.25" customHeight="1" x14ac:dyDescent="0.35">
      <c r="B108" s="269" t="s">
        <v>1078</v>
      </c>
      <c r="C108" s="269"/>
      <c r="D108" s="269"/>
      <c r="E108" s="106">
        <v>860</v>
      </c>
      <c r="F108" s="189"/>
      <c r="G108" s="189"/>
    </row>
    <row r="109" spans="2:7" ht="30" customHeight="1" x14ac:dyDescent="0.35">
      <c r="B109" s="269" t="s">
        <v>1079</v>
      </c>
      <c r="C109" s="269"/>
      <c r="D109" s="269"/>
      <c r="E109" s="106">
        <v>870</v>
      </c>
      <c r="F109" s="189"/>
      <c r="G109" s="189"/>
    </row>
    <row r="110" spans="2:7" ht="15" customHeight="1" x14ac:dyDescent="0.35">
      <c r="B110" s="269" t="s">
        <v>1080</v>
      </c>
      <c r="C110" s="269"/>
      <c r="D110" s="269"/>
      <c r="E110" s="106">
        <v>880</v>
      </c>
      <c r="F110" s="189"/>
      <c r="G110" s="189"/>
    </row>
    <row r="111" spans="2:7" ht="15" customHeight="1" x14ac:dyDescent="0.35">
      <c r="B111" s="269" t="s">
        <v>1081</v>
      </c>
      <c r="C111" s="269"/>
      <c r="D111" s="269"/>
      <c r="E111" s="106">
        <v>890</v>
      </c>
      <c r="F111" s="189"/>
      <c r="G111" s="189"/>
    </row>
    <row r="112" spans="2:7" ht="15" customHeight="1" x14ac:dyDescent="0.35">
      <c r="B112" s="269" t="s">
        <v>1082</v>
      </c>
      <c r="C112" s="269"/>
      <c r="D112" s="269"/>
      <c r="E112" s="106">
        <v>900</v>
      </c>
      <c r="F112" s="189"/>
      <c r="G112" s="189"/>
    </row>
    <row r="113" spans="2:7" ht="15" customHeight="1" x14ac:dyDescent="0.35">
      <c r="B113" s="269" t="s">
        <v>1083</v>
      </c>
      <c r="C113" s="269"/>
      <c r="D113" s="269"/>
      <c r="E113" s="106">
        <v>910</v>
      </c>
      <c r="F113" s="189"/>
      <c r="G113" s="189"/>
    </row>
    <row r="114" spans="2:7" ht="15" customHeight="1" x14ac:dyDescent="0.35">
      <c r="B114" s="269" t="s">
        <v>1084</v>
      </c>
      <c r="C114" s="269"/>
      <c r="D114" s="269"/>
      <c r="E114" s="106">
        <v>920</v>
      </c>
      <c r="F114" s="189"/>
      <c r="G114" s="189"/>
    </row>
    <row r="115" spans="2:7" ht="30" customHeight="1" x14ac:dyDescent="0.35">
      <c r="B115" s="278" t="s">
        <v>1085</v>
      </c>
      <c r="C115" s="278"/>
      <c r="D115" s="278"/>
      <c r="E115" s="106">
        <v>930</v>
      </c>
      <c r="F115" s="190"/>
      <c r="G115" s="190"/>
    </row>
    <row r="116" spans="2:7" ht="30" customHeight="1" x14ac:dyDescent="0.35">
      <c r="B116" s="269" t="s">
        <v>1086</v>
      </c>
      <c r="C116" s="269"/>
      <c r="D116" s="269"/>
      <c r="E116" s="169">
        <v>931</v>
      </c>
      <c r="F116" s="189"/>
      <c r="G116" s="189"/>
    </row>
    <row r="117" spans="2:7" ht="15" customHeight="1" x14ac:dyDescent="0.35">
      <c r="B117" s="304" t="s">
        <v>1087</v>
      </c>
      <c r="C117" s="304"/>
      <c r="D117" s="304"/>
      <c r="E117" s="106">
        <v>932</v>
      </c>
      <c r="F117" s="189"/>
      <c r="G117" s="189"/>
    </row>
    <row r="118" spans="2:7" ht="15" customHeight="1" x14ac:dyDescent="0.35">
      <c r="B118" s="269" t="s">
        <v>1088</v>
      </c>
      <c r="C118" s="269"/>
      <c r="D118" s="269"/>
      <c r="E118" s="106">
        <v>940</v>
      </c>
      <c r="F118" s="189"/>
      <c r="G118" s="189"/>
    </row>
    <row r="119" spans="2:7" ht="30" customHeight="1" x14ac:dyDescent="0.35">
      <c r="B119" s="278" t="s">
        <v>1089</v>
      </c>
      <c r="C119" s="278"/>
      <c r="D119" s="278"/>
      <c r="E119" s="106">
        <v>950</v>
      </c>
      <c r="F119" s="190"/>
      <c r="G119" s="190"/>
    </row>
    <row r="120" spans="2:7" ht="15" customHeight="1" x14ac:dyDescent="0.35">
      <c r="B120" s="269" t="s">
        <v>1090</v>
      </c>
      <c r="C120" s="269"/>
      <c r="D120" s="269"/>
      <c r="E120" s="106">
        <v>960</v>
      </c>
      <c r="F120" s="189"/>
      <c r="G120" s="189"/>
    </row>
    <row r="121" spans="2:7" ht="15" customHeight="1" x14ac:dyDescent="0.35">
      <c r="B121" s="269" t="s">
        <v>1091</v>
      </c>
      <c r="C121" s="269"/>
      <c r="D121" s="269"/>
      <c r="E121" s="106">
        <v>970</v>
      </c>
      <c r="F121" s="189"/>
      <c r="G121" s="189"/>
    </row>
    <row r="122" spans="2:7" ht="15" customHeight="1" x14ac:dyDescent="0.35">
      <c r="B122" s="269" t="s">
        <v>1092</v>
      </c>
      <c r="C122" s="269"/>
      <c r="D122" s="269"/>
      <c r="E122" s="106">
        <v>980</v>
      </c>
      <c r="F122" s="189"/>
      <c r="G122" s="189"/>
    </row>
    <row r="123" spans="2:7" ht="15" customHeight="1" x14ac:dyDescent="0.35">
      <c r="B123" s="269" t="s">
        <v>1093</v>
      </c>
      <c r="C123" s="269"/>
      <c r="D123" s="269"/>
      <c r="E123" s="106">
        <v>990</v>
      </c>
      <c r="F123" s="189"/>
      <c r="G123" s="189"/>
    </row>
    <row r="124" spans="2:7" ht="15" customHeight="1" x14ac:dyDescent="0.35">
      <c r="B124" s="269" t="s">
        <v>1094</v>
      </c>
      <c r="C124" s="269"/>
      <c r="D124" s="269"/>
      <c r="E124" s="106">
        <v>1000</v>
      </c>
      <c r="F124" s="189"/>
      <c r="G124" s="189"/>
    </row>
    <row r="125" spans="2:7" ht="15" customHeight="1" x14ac:dyDescent="0.35">
      <c r="B125" s="269" t="s">
        <v>1095</v>
      </c>
      <c r="C125" s="269"/>
      <c r="D125" s="269"/>
      <c r="E125" s="106">
        <v>1010</v>
      </c>
      <c r="F125" s="189"/>
      <c r="G125" s="189"/>
    </row>
    <row r="126" spans="2:7" ht="30" customHeight="1" x14ac:dyDescent="0.35">
      <c r="B126" s="269" t="s">
        <v>1096</v>
      </c>
      <c r="C126" s="269"/>
      <c r="D126" s="269"/>
      <c r="E126" s="106">
        <v>1020</v>
      </c>
      <c r="F126" s="189"/>
      <c r="G126" s="189"/>
    </row>
    <row r="127" spans="2:7" ht="15" customHeight="1" x14ac:dyDescent="0.35">
      <c r="B127" s="269" t="s">
        <v>1097</v>
      </c>
      <c r="C127" s="269"/>
      <c r="D127" s="269"/>
      <c r="E127" s="106">
        <v>1030</v>
      </c>
      <c r="F127" s="189"/>
      <c r="G127" s="189"/>
    </row>
    <row r="128" spans="2:7" ht="15" customHeight="1" x14ac:dyDescent="0.35">
      <c r="B128" s="269" t="s">
        <v>1098</v>
      </c>
      <c r="C128" s="269"/>
      <c r="D128" s="269"/>
      <c r="E128" s="106">
        <v>1040</v>
      </c>
      <c r="F128" s="189"/>
      <c r="G128" s="189"/>
    </row>
    <row r="129" spans="2:7" ht="15" customHeight="1" x14ac:dyDescent="0.35">
      <c r="B129" s="269" t="s">
        <v>1099</v>
      </c>
      <c r="C129" s="269"/>
      <c r="D129" s="269"/>
      <c r="E129" s="106">
        <v>1050</v>
      </c>
      <c r="F129" s="189"/>
      <c r="G129" s="189"/>
    </row>
    <row r="130" spans="2:7" ht="15" customHeight="1" x14ac:dyDescent="0.35">
      <c r="B130" s="269" t="s">
        <v>1100</v>
      </c>
      <c r="C130" s="269"/>
      <c r="D130" s="269"/>
      <c r="E130" s="106">
        <v>1060</v>
      </c>
      <c r="F130" s="189"/>
      <c r="G130" s="189"/>
    </row>
    <row r="131" spans="2:7" ht="15" customHeight="1" x14ac:dyDescent="0.35">
      <c r="B131" s="269" t="s">
        <v>1101</v>
      </c>
      <c r="C131" s="269"/>
      <c r="D131" s="269"/>
      <c r="E131" s="106">
        <v>1070</v>
      </c>
      <c r="F131" s="189"/>
      <c r="G131" s="189"/>
    </row>
    <row r="132" spans="2:7" ht="15" customHeight="1" x14ac:dyDescent="0.35">
      <c r="B132" s="269" t="s">
        <v>1102</v>
      </c>
      <c r="C132" s="269"/>
      <c r="D132" s="269"/>
      <c r="E132" s="106">
        <v>1080</v>
      </c>
      <c r="F132" s="189"/>
      <c r="G132" s="189"/>
    </row>
    <row r="133" spans="2:7" ht="15" customHeight="1" x14ac:dyDescent="0.35">
      <c r="B133" s="269" t="s">
        <v>1103</v>
      </c>
      <c r="C133" s="269"/>
      <c r="D133" s="269"/>
      <c r="E133" s="106">
        <v>1090</v>
      </c>
      <c r="F133" s="189"/>
      <c r="G133" s="189"/>
    </row>
    <row r="134" spans="2:7" ht="15" customHeight="1" x14ac:dyDescent="0.35">
      <c r="B134" s="269" t="s">
        <v>1104</v>
      </c>
      <c r="C134" s="269"/>
      <c r="D134" s="269"/>
      <c r="E134" s="106">
        <v>1100</v>
      </c>
      <c r="F134" s="189"/>
      <c r="G134" s="189"/>
    </row>
    <row r="135" spans="2:7" ht="15" customHeight="1" x14ac:dyDescent="0.35">
      <c r="B135" s="269" t="s">
        <v>1105</v>
      </c>
      <c r="C135" s="269"/>
      <c r="D135" s="269"/>
      <c r="E135" s="106">
        <v>1110</v>
      </c>
      <c r="F135" s="189"/>
      <c r="G135" s="189"/>
    </row>
    <row r="136" spans="2:7" ht="15" customHeight="1" x14ac:dyDescent="0.35">
      <c r="B136" s="269" t="s">
        <v>1106</v>
      </c>
      <c r="C136" s="269"/>
      <c r="D136" s="269"/>
      <c r="E136" s="106">
        <v>1120</v>
      </c>
      <c r="F136" s="189"/>
      <c r="G136" s="189"/>
    </row>
    <row r="137" spans="2:7" ht="15" customHeight="1" x14ac:dyDescent="0.35">
      <c r="B137" s="269" t="s">
        <v>1107</v>
      </c>
      <c r="C137" s="269"/>
      <c r="D137" s="269"/>
      <c r="E137" s="106">
        <v>1130</v>
      </c>
      <c r="F137" s="189"/>
      <c r="G137" s="189"/>
    </row>
    <row r="138" spans="2:7" ht="15" customHeight="1" x14ac:dyDescent="0.35">
      <c r="B138" s="269" t="s">
        <v>1108</v>
      </c>
      <c r="C138" s="269"/>
      <c r="D138" s="269"/>
      <c r="E138" s="106">
        <v>1140</v>
      </c>
      <c r="F138" s="189"/>
      <c r="G138" s="189"/>
    </row>
    <row r="139" spans="2:7" ht="15" customHeight="1" x14ac:dyDescent="0.35">
      <c r="B139" s="269" t="s">
        <v>1109</v>
      </c>
      <c r="C139" s="269"/>
      <c r="D139" s="269"/>
      <c r="E139" s="106">
        <v>1150</v>
      </c>
      <c r="F139" s="189"/>
      <c r="G139" s="189"/>
    </row>
    <row r="140" spans="2:7" ht="15" customHeight="1" x14ac:dyDescent="0.35">
      <c r="B140" s="269" t="s">
        <v>1110</v>
      </c>
      <c r="C140" s="269"/>
      <c r="D140" s="269"/>
      <c r="E140" s="106">
        <v>1160</v>
      </c>
      <c r="F140" s="189"/>
      <c r="G140" s="189"/>
    </row>
    <row r="141" spans="2:7" ht="15" customHeight="1" x14ac:dyDescent="0.35">
      <c r="B141" s="269" t="s">
        <v>1111</v>
      </c>
      <c r="C141" s="269"/>
      <c r="D141" s="269"/>
      <c r="E141" s="106">
        <v>1170</v>
      </c>
      <c r="F141" s="189"/>
      <c r="G141" s="189"/>
    </row>
    <row r="142" spans="2:7" ht="15" customHeight="1" x14ac:dyDescent="0.35">
      <c r="B142" s="269" t="s">
        <v>1112</v>
      </c>
      <c r="C142" s="269"/>
      <c r="D142" s="269"/>
      <c r="E142" s="106">
        <v>1180</v>
      </c>
      <c r="F142" s="189"/>
      <c r="G142" s="189"/>
    </row>
    <row r="143" spans="2:7" ht="15" customHeight="1" x14ac:dyDescent="0.35">
      <c r="B143" s="278" t="s">
        <v>1113</v>
      </c>
      <c r="C143" s="278"/>
      <c r="D143" s="278"/>
      <c r="E143" s="106">
        <v>1190</v>
      </c>
      <c r="F143" s="190"/>
      <c r="G143" s="190"/>
    </row>
    <row r="144" spans="2:7" ht="15" customHeight="1" x14ac:dyDescent="0.35">
      <c r="B144" s="278" t="s">
        <v>1114</v>
      </c>
      <c r="C144" s="278"/>
      <c r="D144" s="278"/>
      <c r="E144" s="106">
        <v>1200</v>
      </c>
      <c r="F144" s="190"/>
      <c r="G144" s="190"/>
    </row>
    <row r="146" spans="2:7" ht="15" customHeight="1" x14ac:dyDescent="0.35">
      <c r="B146" s="254" t="s">
        <v>1115</v>
      </c>
      <c r="C146" s="254"/>
      <c r="D146" s="254"/>
      <c r="E146" s="254"/>
      <c r="F146" s="254"/>
      <c r="G146" s="254"/>
    </row>
    <row r="147" spans="2:7" x14ac:dyDescent="0.35">
      <c r="B147" s="254"/>
      <c r="C147" s="254"/>
      <c r="D147" s="254"/>
      <c r="E147" s="254"/>
      <c r="F147" s="254"/>
      <c r="G147" s="254"/>
    </row>
    <row r="148" spans="2:7" x14ac:dyDescent="0.35">
      <c r="B148" s="254"/>
      <c r="C148" s="254"/>
      <c r="D148" s="254"/>
      <c r="E148" s="254"/>
      <c r="F148" s="254"/>
      <c r="G148" s="254"/>
    </row>
    <row r="149" spans="2:7" x14ac:dyDescent="0.35">
      <c r="B149" s="129"/>
    </row>
  </sheetData>
  <sheetProtection algorithmName="SHA-512" hashValue="lT4noUwr02wHu5AtHTtoI+QbokVUBDYAh9JLiw67CvZrBhYFbYnvSlUAo72YlOEcMzT/ST7qSoEvFc9oK7VLUQ==" saltValue="CwgVAeWzh1XVYNvYXgujBQ==" spinCount="100000" sheet="1" objects="1" scenarios="1" formatCells="0"/>
  <protectedRanges>
    <protectedRange sqref="F8:G144" name="Диапазон1"/>
  </protectedRanges>
  <mergeCells count="144">
    <mergeCell ref="B8:D8"/>
    <mergeCell ref="B9:D9"/>
    <mergeCell ref="B10:D10"/>
    <mergeCell ref="B11:D11"/>
    <mergeCell ref="B12:D12"/>
    <mergeCell ref="B13:D13"/>
    <mergeCell ref="C1:E1"/>
    <mergeCell ref="C2:E2"/>
    <mergeCell ref="C3:E3"/>
    <mergeCell ref="C4:E4"/>
    <mergeCell ref="C5:E5"/>
    <mergeCell ref="B7:D7"/>
    <mergeCell ref="B20:D20"/>
    <mergeCell ref="B21:D21"/>
    <mergeCell ref="B22:D22"/>
    <mergeCell ref="B23:D23"/>
    <mergeCell ref="B24:D24"/>
    <mergeCell ref="B25:D25"/>
    <mergeCell ref="B14:D14"/>
    <mergeCell ref="B15:D15"/>
    <mergeCell ref="B16:D16"/>
    <mergeCell ref="B17:D17"/>
    <mergeCell ref="B18:D18"/>
    <mergeCell ref="B19:D19"/>
    <mergeCell ref="B32:D32"/>
    <mergeCell ref="B33:D33"/>
    <mergeCell ref="B34:D34"/>
    <mergeCell ref="B35:D35"/>
    <mergeCell ref="B36:D36"/>
    <mergeCell ref="B37:D37"/>
    <mergeCell ref="B26:D26"/>
    <mergeCell ref="B27:D27"/>
    <mergeCell ref="B28:D28"/>
    <mergeCell ref="B29:D29"/>
    <mergeCell ref="B30:D30"/>
    <mergeCell ref="B31:D31"/>
    <mergeCell ref="B44:D44"/>
    <mergeCell ref="B45:D45"/>
    <mergeCell ref="B46:D46"/>
    <mergeCell ref="B47:D47"/>
    <mergeCell ref="B48:D48"/>
    <mergeCell ref="B49:D49"/>
    <mergeCell ref="B38:D38"/>
    <mergeCell ref="B39:D39"/>
    <mergeCell ref="B40:D40"/>
    <mergeCell ref="B41:D41"/>
    <mergeCell ref="B42:D42"/>
    <mergeCell ref="B43:D43"/>
    <mergeCell ref="B56:D56"/>
    <mergeCell ref="B57:D57"/>
    <mergeCell ref="B58:D58"/>
    <mergeCell ref="B59:D59"/>
    <mergeCell ref="B60:D60"/>
    <mergeCell ref="B61:D61"/>
    <mergeCell ref="B50:D50"/>
    <mergeCell ref="B51:D51"/>
    <mergeCell ref="B52:D52"/>
    <mergeCell ref="B53:D53"/>
    <mergeCell ref="B54:D54"/>
    <mergeCell ref="B55:D55"/>
    <mergeCell ref="B68:D68"/>
    <mergeCell ref="B69:D69"/>
    <mergeCell ref="B70:D70"/>
    <mergeCell ref="B71:D71"/>
    <mergeCell ref="B72:D72"/>
    <mergeCell ref="B73:D73"/>
    <mergeCell ref="B62:D62"/>
    <mergeCell ref="B63:D63"/>
    <mergeCell ref="B64:D64"/>
    <mergeCell ref="B65:D65"/>
    <mergeCell ref="B66:D66"/>
    <mergeCell ref="B67:D67"/>
    <mergeCell ref="B80:D80"/>
    <mergeCell ref="B81:D81"/>
    <mergeCell ref="B82:D82"/>
    <mergeCell ref="B83:D83"/>
    <mergeCell ref="B84:D84"/>
    <mergeCell ref="B85:D85"/>
    <mergeCell ref="B74:D74"/>
    <mergeCell ref="B75:D75"/>
    <mergeCell ref="B76:D76"/>
    <mergeCell ref="B77:D77"/>
    <mergeCell ref="B78:D78"/>
    <mergeCell ref="B79:D79"/>
    <mergeCell ref="B92:D92"/>
    <mergeCell ref="B93:D93"/>
    <mergeCell ref="B94:D94"/>
    <mergeCell ref="B95:D95"/>
    <mergeCell ref="B96:D96"/>
    <mergeCell ref="B97:D97"/>
    <mergeCell ref="B86:D86"/>
    <mergeCell ref="B87:D87"/>
    <mergeCell ref="B88:D88"/>
    <mergeCell ref="B89:D89"/>
    <mergeCell ref="B90:D90"/>
    <mergeCell ref="B91:D91"/>
    <mergeCell ref="B104:D104"/>
    <mergeCell ref="B105:D105"/>
    <mergeCell ref="B106:D106"/>
    <mergeCell ref="B107:D107"/>
    <mergeCell ref="B108:D108"/>
    <mergeCell ref="B109:D109"/>
    <mergeCell ref="B98:D98"/>
    <mergeCell ref="B99:D99"/>
    <mergeCell ref="B100:D100"/>
    <mergeCell ref="B101:D101"/>
    <mergeCell ref="B102:D102"/>
    <mergeCell ref="B103:D103"/>
    <mergeCell ref="B116:D116"/>
    <mergeCell ref="B117:D117"/>
    <mergeCell ref="B118:D118"/>
    <mergeCell ref="B119:D119"/>
    <mergeCell ref="B120:D120"/>
    <mergeCell ref="B121:D121"/>
    <mergeCell ref="B110:D110"/>
    <mergeCell ref="B111:D111"/>
    <mergeCell ref="B112:D112"/>
    <mergeCell ref="B113:D113"/>
    <mergeCell ref="B114:D114"/>
    <mergeCell ref="B115:D115"/>
    <mergeCell ref="B128:D128"/>
    <mergeCell ref="B129:D129"/>
    <mergeCell ref="B130:D130"/>
    <mergeCell ref="B131:D131"/>
    <mergeCell ref="B132:D132"/>
    <mergeCell ref="B133:D133"/>
    <mergeCell ref="B122:D122"/>
    <mergeCell ref="B123:D123"/>
    <mergeCell ref="B124:D124"/>
    <mergeCell ref="B125:D125"/>
    <mergeCell ref="B126:D126"/>
    <mergeCell ref="B127:D127"/>
    <mergeCell ref="B140:D140"/>
    <mergeCell ref="B141:D141"/>
    <mergeCell ref="B142:D142"/>
    <mergeCell ref="B143:D143"/>
    <mergeCell ref="B144:D144"/>
    <mergeCell ref="B146:G148"/>
    <mergeCell ref="B134:D134"/>
    <mergeCell ref="B135:D135"/>
    <mergeCell ref="B136:D136"/>
    <mergeCell ref="B137:D137"/>
    <mergeCell ref="B138:D138"/>
    <mergeCell ref="B139:D139"/>
  </mergeCells>
  <hyperlinks>
    <hyperlink ref="B36" r:id="rId1" display="javascript:scrollText(2127290)" xr:uid="{98CEEDD7-CED7-4E92-8F68-BAF7AFF9D25A}"/>
    <hyperlink ref="B117" r:id="rId2" display="javascript:scrollText(2127290)" xr:uid="{B8B13941-5851-4805-AE1F-5407B9132127}"/>
    <hyperlink ref="F1" location="'Список таблиц'!A1" display="Список таблиц" xr:uid="{B4AF0F3A-EB44-4BF7-A407-4847BF9A0FF0}"/>
  </hyperlinks>
  <pageMargins left="0.7" right="0.7" top="0.75" bottom="0.75" header="0.3" footer="0.3"/>
  <pageSetup paperSize="9" scale="56" orientation="portrait"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4B0AF-6FDF-4E84-9835-7AA25DE68304}">
  <sheetPr codeName="Лист36">
    <tabColor theme="9" tint="0.79998168889431442"/>
  </sheetPr>
  <dimension ref="B1:G25"/>
  <sheetViews>
    <sheetView view="pageBreakPreview" zoomScale="60" zoomScaleNormal="100" workbookViewId="0">
      <selection activeCell="U50" sqref="U50"/>
    </sheetView>
  </sheetViews>
  <sheetFormatPr defaultColWidth="9.1796875" defaultRowHeight="14.5" x14ac:dyDescent="0.35"/>
  <cols>
    <col min="1" max="1" width="7.81640625" style="29" customWidth="1"/>
    <col min="2" max="2" width="14" style="129" bestFit="1" customWidth="1"/>
    <col min="3" max="3" width="17.7265625" style="129" customWidth="1"/>
    <col min="4" max="4" width="59.453125" style="129" customWidth="1"/>
    <col min="5" max="5" width="12.54296875" style="29" customWidth="1"/>
    <col min="6" max="7" width="19.453125" style="29" customWidth="1"/>
    <col min="8" max="16384" width="9.1796875" style="29"/>
  </cols>
  <sheetData>
    <row r="1" spans="2:7" s="85" customFormat="1" x14ac:dyDescent="0.35">
      <c r="B1" s="62" t="s">
        <v>742</v>
      </c>
      <c r="C1" s="270">
        <f>VLOOKUP($C$5,'Список таблиц'!A:E,2,FALSE)</f>
        <v>1945</v>
      </c>
      <c r="D1" s="271"/>
      <c r="E1" s="271"/>
      <c r="F1" s="98" t="s">
        <v>743</v>
      </c>
    </row>
    <row r="2" spans="2:7" s="85" customFormat="1" x14ac:dyDescent="0.35">
      <c r="B2" s="65" t="s">
        <v>744</v>
      </c>
      <c r="C2" s="306" t="str">
        <f>VLOOKUP($C$5,'Список таблиц'!A:E,3,FALSE)</f>
        <v>Формы финансовой отчетности страховщиков и правила по их заполнению</v>
      </c>
      <c r="D2" s="307"/>
      <c r="E2" s="307"/>
    </row>
    <row r="3" spans="2:7" x14ac:dyDescent="0.35">
      <c r="B3" s="67" t="s">
        <v>745</v>
      </c>
      <c r="C3" s="274">
        <f>VLOOKUP($C$5,'Список таблиц'!A:E,4,FALSE)</f>
        <v>2</v>
      </c>
      <c r="D3" s="275"/>
      <c r="E3" s="275"/>
    </row>
    <row r="4" spans="2:7" ht="15" customHeight="1" x14ac:dyDescent="0.35">
      <c r="B4" s="69" t="s">
        <v>746</v>
      </c>
      <c r="C4" s="276" t="str">
        <f>VLOOKUP($C$5,'Список таблиц'!A:E,5,FALSE)</f>
        <v>Справка о наличии ценностей, учитываемых на забалансовых счетах</v>
      </c>
      <c r="D4" s="277"/>
      <c r="E4" s="277"/>
    </row>
    <row r="5" spans="2:7" x14ac:dyDescent="0.35">
      <c r="B5" s="67" t="s">
        <v>747</v>
      </c>
      <c r="C5" s="281" t="s">
        <v>573</v>
      </c>
      <c r="D5" s="282"/>
      <c r="E5" s="282"/>
    </row>
    <row r="7" spans="2:7" ht="57.75" customHeight="1" x14ac:dyDescent="0.35">
      <c r="B7" s="255" t="s">
        <v>1116</v>
      </c>
      <c r="C7" s="255"/>
      <c r="D7" s="255"/>
      <c r="E7" s="72" t="s">
        <v>977</v>
      </c>
      <c r="F7" s="116" t="s">
        <v>1117</v>
      </c>
      <c r="G7" s="72" t="s">
        <v>979</v>
      </c>
    </row>
    <row r="8" spans="2:7" ht="15" customHeight="1" x14ac:dyDescent="0.35">
      <c r="B8" s="269" t="s">
        <v>1118</v>
      </c>
      <c r="C8" s="269"/>
      <c r="D8" s="269"/>
      <c r="E8" s="73">
        <v>1210</v>
      </c>
      <c r="F8" s="202"/>
      <c r="G8" s="196"/>
    </row>
    <row r="9" spans="2:7" ht="15" customHeight="1" x14ac:dyDescent="0.35">
      <c r="B9" s="269" t="s">
        <v>1119</v>
      </c>
      <c r="C9" s="269"/>
      <c r="D9" s="269"/>
      <c r="E9" s="73">
        <v>1220</v>
      </c>
      <c r="F9" s="202"/>
      <c r="G9" s="196"/>
    </row>
    <row r="10" spans="2:7" ht="15" customHeight="1" x14ac:dyDescent="0.35">
      <c r="B10" s="269" t="s">
        <v>1120</v>
      </c>
      <c r="C10" s="269"/>
      <c r="D10" s="269"/>
      <c r="E10" s="73">
        <v>1230</v>
      </c>
      <c r="F10" s="202"/>
      <c r="G10" s="196"/>
    </row>
    <row r="11" spans="2:7" ht="15" customHeight="1" x14ac:dyDescent="0.35">
      <c r="B11" s="269" t="s">
        <v>1121</v>
      </c>
      <c r="C11" s="269"/>
      <c r="D11" s="269"/>
      <c r="E11" s="73">
        <v>1240</v>
      </c>
      <c r="F11" s="202"/>
      <c r="G11" s="196"/>
    </row>
    <row r="12" spans="2:7" ht="15" customHeight="1" x14ac:dyDescent="0.35">
      <c r="B12" s="269" t="s">
        <v>1122</v>
      </c>
      <c r="C12" s="269"/>
      <c r="D12" s="269"/>
      <c r="E12" s="73">
        <v>1250</v>
      </c>
      <c r="F12" s="202"/>
      <c r="G12" s="196"/>
    </row>
    <row r="13" spans="2:7" ht="15" customHeight="1" x14ac:dyDescent="0.35">
      <c r="B13" s="269" t="s">
        <v>1123</v>
      </c>
      <c r="C13" s="269"/>
      <c r="D13" s="269"/>
      <c r="E13" s="73">
        <v>1260</v>
      </c>
      <c r="F13" s="202"/>
      <c r="G13" s="196"/>
    </row>
    <row r="14" spans="2:7" ht="15" customHeight="1" x14ac:dyDescent="0.35">
      <c r="B14" s="269" t="s">
        <v>1124</v>
      </c>
      <c r="C14" s="269"/>
      <c r="D14" s="269"/>
      <c r="E14" s="73">
        <v>1270</v>
      </c>
      <c r="F14" s="202"/>
      <c r="G14" s="196"/>
    </row>
    <row r="15" spans="2:7" ht="15" customHeight="1" x14ac:dyDescent="0.35">
      <c r="B15" s="269" t="s">
        <v>1125</v>
      </c>
      <c r="C15" s="269"/>
      <c r="D15" s="269"/>
      <c r="E15" s="73">
        <v>1280</v>
      </c>
      <c r="F15" s="202"/>
      <c r="G15" s="196"/>
    </row>
    <row r="16" spans="2:7" ht="15" customHeight="1" x14ac:dyDescent="0.35">
      <c r="B16" s="269" t="s">
        <v>1126</v>
      </c>
      <c r="C16" s="269"/>
      <c r="D16" s="269"/>
      <c r="E16" s="73">
        <v>1290</v>
      </c>
      <c r="F16" s="202"/>
      <c r="G16" s="196"/>
    </row>
    <row r="17" spans="2:7" ht="15" customHeight="1" x14ac:dyDescent="0.35">
      <c r="B17" s="269" t="s">
        <v>1127</v>
      </c>
      <c r="C17" s="269"/>
      <c r="D17" s="269"/>
      <c r="E17" s="73">
        <v>1300</v>
      </c>
      <c r="F17" s="202"/>
      <c r="G17" s="196"/>
    </row>
    <row r="18" spans="2:7" ht="15" customHeight="1" x14ac:dyDescent="0.35">
      <c r="B18" s="269" t="s">
        <v>1128</v>
      </c>
      <c r="C18" s="269"/>
      <c r="D18" s="269"/>
      <c r="E18" s="73">
        <v>1310</v>
      </c>
      <c r="F18" s="202"/>
      <c r="G18" s="196"/>
    </row>
    <row r="19" spans="2:7" ht="15" customHeight="1" x14ac:dyDescent="0.35">
      <c r="B19" s="269" t="s">
        <v>1129</v>
      </c>
      <c r="C19" s="269"/>
      <c r="D19" s="269"/>
      <c r="E19" s="73">
        <v>1320</v>
      </c>
      <c r="F19" s="202"/>
      <c r="G19" s="196"/>
    </row>
    <row r="20" spans="2:7" ht="15" customHeight="1" x14ac:dyDescent="0.35">
      <c r="B20" s="269" t="s">
        <v>1130</v>
      </c>
      <c r="C20" s="269"/>
      <c r="D20" s="269"/>
      <c r="E20" s="73">
        <v>1330</v>
      </c>
      <c r="F20" s="202"/>
      <c r="G20" s="196"/>
    </row>
    <row r="21" spans="2:7" ht="15" customHeight="1" x14ac:dyDescent="0.35">
      <c r="B21" s="269" t="s">
        <v>1131</v>
      </c>
      <c r="C21" s="269"/>
      <c r="D21" s="269"/>
      <c r="E21" s="73">
        <v>1340</v>
      </c>
      <c r="F21" s="202"/>
      <c r="G21" s="196"/>
    </row>
    <row r="23" spans="2:7" ht="15" customHeight="1" x14ac:dyDescent="0.35">
      <c r="B23" s="254" t="s">
        <v>1115</v>
      </c>
      <c r="C23" s="254"/>
      <c r="D23" s="254"/>
      <c r="E23" s="254"/>
      <c r="F23" s="254"/>
      <c r="G23" s="254"/>
    </row>
    <row r="24" spans="2:7" x14ac:dyDescent="0.35">
      <c r="B24" s="254"/>
      <c r="C24" s="254"/>
      <c r="D24" s="254"/>
      <c r="E24" s="254"/>
      <c r="F24" s="254"/>
      <c r="G24" s="254"/>
    </row>
    <row r="25" spans="2:7" x14ac:dyDescent="0.35">
      <c r="B25" s="254"/>
      <c r="C25" s="254"/>
      <c r="D25" s="254"/>
      <c r="E25" s="254"/>
      <c r="F25" s="254"/>
      <c r="G25" s="254"/>
    </row>
  </sheetData>
  <sheetProtection algorithmName="SHA-512" hashValue="9hp4SFze9IgQLwlfBP0YB1uSmecv2g/zGXTrtZkc5afCzgvxkoE+fUDu16o9WEz2ke2aHtdJWuclKeasFC/YBg==" saltValue="qgQEexCxiNdRccvwWqGxvw==" spinCount="100000" sheet="1" objects="1" scenarios="1" formatCells="0"/>
  <protectedRanges>
    <protectedRange sqref="F8:G21" name="Диапазон1_1"/>
  </protectedRanges>
  <mergeCells count="21">
    <mergeCell ref="B7:D7"/>
    <mergeCell ref="B8:D8"/>
    <mergeCell ref="B19:D19"/>
    <mergeCell ref="B9:D9"/>
    <mergeCell ref="B10:D10"/>
    <mergeCell ref="B11:D11"/>
    <mergeCell ref="B12:D12"/>
    <mergeCell ref="C1:E1"/>
    <mergeCell ref="C2:E2"/>
    <mergeCell ref="C3:E3"/>
    <mergeCell ref="C4:E4"/>
    <mergeCell ref="C5:E5"/>
    <mergeCell ref="B20:D20"/>
    <mergeCell ref="B21:D21"/>
    <mergeCell ref="B23:G25"/>
    <mergeCell ref="B13:D13"/>
    <mergeCell ref="B14:D14"/>
    <mergeCell ref="B15:D15"/>
    <mergeCell ref="B16:D16"/>
    <mergeCell ref="B17:D17"/>
    <mergeCell ref="B18:D18"/>
  </mergeCells>
  <hyperlinks>
    <hyperlink ref="F1" location="'Список таблиц'!A1" display="Список таблиц" xr:uid="{0BFE3A72-C842-453E-9F38-7A267BF7EE0F}"/>
  </hyperlinks>
  <pageMargins left="0.7" right="0.7" top="0.75" bottom="0.75" header="0.3" footer="0.3"/>
  <pageSetup paperSize="9" scale="58"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8296B-E062-49D4-87E1-D7AC7AC327E3}">
  <sheetPr codeName="Лист37">
    <tabColor theme="9" tint="0.79998168889431442"/>
  </sheetPr>
  <dimension ref="B1:I49"/>
  <sheetViews>
    <sheetView view="pageBreakPreview" zoomScale="60" zoomScaleNormal="100" workbookViewId="0">
      <selection activeCell="AB46" sqref="AB46"/>
    </sheetView>
  </sheetViews>
  <sheetFormatPr defaultColWidth="9.1796875" defaultRowHeight="14.5" x14ac:dyDescent="0.35"/>
  <cols>
    <col min="1" max="1" width="7.81640625" style="29" customWidth="1"/>
    <col min="2" max="2" width="14" style="129" bestFit="1" customWidth="1"/>
    <col min="3" max="3" width="17.7265625" style="129" customWidth="1"/>
    <col min="4" max="4" width="59.54296875" style="29" customWidth="1"/>
    <col min="5" max="5" width="12.54296875" style="29" customWidth="1"/>
    <col min="6" max="9" width="17.1796875" style="29" customWidth="1"/>
    <col min="10" max="16384" width="9.1796875" style="29"/>
  </cols>
  <sheetData>
    <row r="1" spans="2:9" s="85" customFormat="1" x14ac:dyDescent="0.35">
      <c r="B1" s="62" t="s">
        <v>742</v>
      </c>
      <c r="C1" s="270">
        <f>VLOOKUP($C$5,'Список таблиц'!A:E,2,FALSE)</f>
        <v>1945</v>
      </c>
      <c r="D1" s="271"/>
      <c r="E1" s="271"/>
      <c r="F1" s="98" t="s">
        <v>743</v>
      </c>
    </row>
    <row r="2" spans="2:9" s="85" customFormat="1" x14ac:dyDescent="0.35">
      <c r="B2" s="65" t="s">
        <v>744</v>
      </c>
      <c r="C2" s="306" t="str">
        <f>VLOOKUP($C$5,'Список таблиц'!A:E,3,FALSE)</f>
        <v>Формы финансовой отчетности страховщиков и правила по их заполнению</v>
      </c>
      <c r="D2" s="307"/>
      <c r="E2" s="307"/>
    </row>
    <row r="3" spans="2:9" x14ac:dyDescent="0.35">
      <c r="B3" s="67" t="s">
        <v>745</v>
      </c>
      <c r="C3" s="274">
        <f>VLOOKUP($C$5,'Список таблиц'!A:E,4,FALSE)</f>
        <v>3</v>
      </c>
      <c r="D3" s="275"/>
      <c r="E3" s="275"/>
    </row>
    <row r="4" spans="2:9" ht="15" customHeight="1" x14ac:dyDescent="0.35">
      <c r="B4" s="69" t="s">
        <v>746</v>
      </c>
      <c r="C4" s="276" t="str">
        <f>VLOOKUP($C$5,'Список таблиц'!A:E,5,FALSE)</f>
        <v>Отчет о финансовых результатах — форма № 2 — страхование</v>
      </c>
      <c r="D4" s="277"/>
      <c r="E4" s="277"/>
    </row>
    <row r="5" spans="2:9" x14ac:dyDescent="0.35">
      <c r="B5" s="67" t="s">
        <v>747</v>
      </c>
      <c r="C5" s="281" t="s">
        <v>589</v>
      </c>
      <c r="D5" s="282"/>
      <c r="E5" s="282"/>
    </row>
    <row r="7" spans="2:9" ht="39.75" customHeight="1" x14ac:dyDescent="0.35">
      <c r="B7" s="259" t="s">
        <v>976</v>
      </c>
      <c r="C7" s="283"/>
      <c r="D7" s="260"/>
      <c r="E7" s="259" t="s">
        <v>1132</v>
      </c>
      <c r="F7" s="255" t="s">
        <v>1133</v>
      </c>
      <c r="G7" s="255"/>
      <c r="H7" s="255" t="s">
        <v>1134</v>
      </c>
      <c r="I7" s="255"/>
    </row>
    <row r="8" spans="2:9" ht="39.75" customHeight="1" x14ac:dyDescent="0.35">
      <c r="B8" s="261"/>
      <c r="C8" s="284"/>
      <c r="D8" s="262"/>
      <c r="E8" s="261"/>
      <c r="F8" s="111" t="s">
        <v>1135</v>
      </c>
      <c r="G8" s="111" t="s">
        <v>1136</v>
      </c>
      <c r="H8" s="72" t="s">
        <v>1135</v>
      </c>
      <c r="I8" s="111" t="s">
        <v>1136</v>
      </c>
    </row>
    <row r="9" spans="2:9" ht="30" customHeight="1" x14ac:dyDescent="0.35">
      <c r="B9" s="269" t="s">
        <v>1137</v>
      </c>
      <c r="C9" s="269"/>
      <c r="D9" s="269"/>
      <c r="E9" s="106">
        <v>10</v>
      </c>
      <c r="F9" s="197"/>
      <c r="G9" s="197"/>
      <c r="H9" s="197"/>
      <c r="I9" s="197"/>
    </row>
    <row r="10" spans="2:9" ht="30" customHeight="1" x14ac:dyDescent="0.35">
      <c r="B10" s="269" t="s">
        <v>1138</v>
      </c>
      <c r="C10" s="269"/>
      <c r="D10" s="269"/>
      <c r="E10" s="106">
        <v>11</v>
      </c>
      <c r="F10" s="197"/>
      <c r="G10" s="197"/>
      <c r="H10" s="197"/>
      <c r="I10" s="197"/>
    </row>
    <row r="11" spans="2:9" ht="15" customHeight="1" x14ac:dyDescent="0.35">
      <c r="B11" s="269" t="s">
        <v>1139</v>
      </c>
      <c r="C11" s="269"/>
      <c r="D11" s="269"/>
      <c r="E11" s="106">
        <v>12</v>
      </c>
      <c r="F11" s="197"/>
      <c r="G11" s="197"/>
      <c r="H11" s="197"/>
      <c r="I11" s="197"/>
    </row>
    <row r="12" spans="2:9" ht="15" customHeight="1" x14ac:dyDescent="0.35">
      <c r="B12" s="269" t="s">
        <v>1140</v>
      </c>
      <c r="C12" s="269"/>
      <c r="D12" s="269"/>
      <c r="E12" s="106">
        <v>13</v>
      </c>
      <c r="F12" s="197"/>
      <c r="G12" s="197"/>
      <c r="H12" s="197"/>
      <c r="I12" s="197"/>
    </row>
    <row r="13" spans="2:9" ht="30" customHeight="1" x14ac:dyDescent="0.35">
      <c r="B13" s="269" t="s">
        <v>1141</v>
      </c>
      <c r="C13" s="269"/>
      <c r="D13" s="269"/>
      <c r="E13" s="106">
        <v>14</v>
      </c>
      <c r="F13" s="197"/>
      <c r="G13" s="197"/>
      <c r="H13" s="197"/>
      <c r="I13" s="197"/>
    </row>
    <row r="14" spans="2:9" ht="52.5" customHeight="1" x14ac:dyDescent="0.35">
      <c r="B14" s="269" t="s">
        <v>1142</v>
      </c>
      <c r="C14" s="269"/>
      <c r="D14" s="269"/>
      <c r="E14" s="169">
        <v>15</v>
      </c>
      <c r="F14" s="197"/>
      <c r="G14" s="197"/>
      <c r="H14" s="197"/>
      <c r="I14" s="197"/>
    </row>
    <row r="15" spans="2:9" ht="52.5" customHeight="1" x14ac:dyDescent="0.35">
      <c r="B15" s="269" t="s">
        <v>1143</v>
      </c>
      <c r="C15" s="269"/>
      <c r="D15" s="269"/>
      <c r="E15" s="169">
        <v>16</v>
      </c>
      <c r="F15" s="197"/>
      <c r="G15" s="197"/>
      <c r="H15" s="197"/>
      <c r="I15" s="197"/>
    </row>
    <row r="16" spans="2:9" ht="30" customHeight="1" x14ac:dyDescent="0.35">
      <c r="B16" s="269" t="s">
        <v>1144</v>
      </c>
      <c r="C16" s="269"/>
      <c r="D16" s="269"/>
      <c r="E16" s="169">
        <v>17</v>
      </c>
      <c r="F16" s="197"/>
      <c r="G16" s="197"/>
      <c r="H16" s="197"/>
      <c r="I16" s="197"/>
    </row>
    <row r="17" spans="2:9" ht="30" customHeight="1" x14ac:dyDescent="0.35">
      <c r="B17" s="269" t="s">
        <v>1145</v>
      </c>
      <c r="C17" s="269"/>
      <c r="D17" s="269"/>
      <c r="E17" s="169">
        <v>18</v>
      </c>
      <c r="F17" s="197"/>
      <c r="G17" s="197"/>
      <c r="H17" s="197"/>
      <c r="I17" s="197"/>
    </row>
    <row r="18" spans="2:9" ht="15" customHeight="1" x14ac:dyDescent="0.35">
      <c r="B18" s="269" t="s">
        <v>1146</v>
      </c>
      <c r="C18" s="269"/>
      <c r="D18" s="269"/>
      <c r="E18" s="169">
        <v>19</v>
      </c>
      <c r="F18" s="197"/>
      <c r="G18" s="197"/>
      <c r="H18" s="197"/>
      <c r="I18" s="197"/>
    </row>
    <row r="19" spans="2:9" ht="15" customHeight="1" x14ac:dyDescent="0.35">
      <c r="B19" s="269" t="s">
        <v>1147</v>
      </c>
      <c r="C19" s="269"/>
      <c r="D19" s="269"/>
      <c r="E19" s="169">
        <v>20</v>
      </c>
      <c r="F19" s="201"/>
      <c r="G19" s="197"/>
      <c r="H19" s="197"/>
      <c r="I19" s="197"/>
    </row>
    <row r="20" spans="2:9" ht="15" customHeight="1" x14ac:dyDescent="0.35">
      <c r="B20" s="269" t="s">
        <v>1148</v>
      </c>
      <c r="C20" s="269"/>
      <c r="D20" s="269"/>
      <c r="E20" s="169">
        <v>30</v>
      </c>
      <c r="F20" s="197"/>
      <c r="G20" s="197"/>
      <c r="H20" s="197"/>
      <c r="I20" s="197"/>
    </row>
    <row r="21" spans="2:9" ht="15" customHeight="1" x14ac:dyDescent="0.35">
      <c r="B21" s="269" t="s">
        <v>1149</v>
      </c>
      <c r="C21" s="269"/>
      <c r="D21" s="269"/>
      <c r="E21" s="169">
        <v>40</v>
      </c>
      <c r="F21" s="197"/>
      <c r="G21" s="197"/>
      <c r="H21" s="197"/>
      <c r="I21" s="197"/>
    </row>
    <row r="22" spans="2:9" ht="15" customHeight="1" x14ac:dyDescent="0.35">
      <c r="B22" s="269" t="s">
        <v>1150</v>
      </c>
      <c r="C22" s="269"/>
      <c r="D22" s="269"/>
      <c r="E22" s="169">
        <v>50</v>
      </c>
      <c r="F22" s="197"/>
      <c r="G22" s="197"/>
      <c r="H22" s="197"/>
      <c r="I22" s="197"/>
    </row>
    <row r="23" spans="2:9" ht="15" customHeight="1" x14ac:dyDescent="0.35">
      <c r="B23" s="269" t="s">
        <v>1151</v>
      </c>
      <c r="C23" s="269"/>
      <c r="D23" s="269"/>
      <c r="E23" s="169">
        <v>60</v>
      </c>
      <c r="F23" s="197"/>
      <c r="G23" s="197"/>
      <c r="H23" s="197"/>
      <c r="I23" s="197"/>
    </row>
    <row r="24" spans="2:9" ht="15" customHeight="1" x14ac:dyDescent="0.35">
      <c r="B24" s="269" t="s">
        <v>1152</v>
      </c>
      <c r="C24" s="269"/>
      <c r="D24" s="269"/>
      <c r="E24" s="169">
        <v>70</v>
      </c>
      <c r="F24" s="197"/>
      <c r="G24" s="197"/>
      <c r="H24" s="197"/>
      <c r="I24" s="197"/>
    </row>
    <row r="25" spans="2:9" ht="15" customHeight="1" x14ac:dyDescent="0.35">
      <c r="B25" s="269" t="s">
        <v>1153</v>
      </c>
      <c r="C25" s="269"/>
      <c r="D25" s="269"/>
      <c r="E25" s="169">
        <v>80</v>
      </c>
      <c r="F25" s="197"/>
      <c r="G25" s="197"/>
      <c r="H25" s="197"/>
      <c r="I25" s="197"/>
    </row>
    <row r="26" spans="2:9" ht="15" customHeight="1" x14ac:dyDescent="0.35">
      <c r="B26" s="269" t="s">
        <v>1154</v>
      </c>
      <c r="C26" s="269"/>
      <c r="D26" s="269"/>
      <c r="E26" s="106">
        <v>90</v>
      </c>
      <c r="F26" s="197"/>
      <c r="G26" s="197"/>
      <c r="H26" s="197"/>
      <c r="I26" s="197"/>
    </row>
    <row r="27" spans="2:9" ht="15" customHeight="1" x14ac:dyDescent="0.35">
      <c r="B27" s="269" t="s">
        <v>1155</v>
      </c>
      <c r="C27" s="269"/>
      <c r="D27" s="269"/>
      <c r="E27" s="169">
        <v>100</v>
      </c>
      <c r="F27" s="197"/>
      <c r="G27" s="197"/>
      <c r="H27" s="197"/>
      <c r="I27" s="197"/>
    </row>
    <row r="28" spans="2:9" ht="15" customHeight="1" x14ac:dyDescent="0.35">
      <c r="B28" s="269" t="s">
        <v>1156</v>
      </c>
      <c r="C28" s="269"/>
      <c r="D28" s="269"/>
      <c r="E28" s="169">
        <v>110</v>
      </c>
      <c r="F28" s="197"/>
      <c r="G28" s="197"/>
      <c r="H28" s="197"/>
      <c r="I28" s="197"/>
    </row>
    <row r="29" spans="2:9" ht="15" customHeight="1" x14ac:dyDescent="0.35">
      <c r="B29" s="269" t="s">
        <v>1157</v>
      </c>
      <c r="C29" s="269"/>
      <c r="D29" s="269"/>
      <c r="E29" s="169">
        <v>120</v>
      </c>
      <c r="F29" s="197"/>
      <c r="G29" s="197"/>
      <c r="H29" s="197"/>
      <c r="I29" s="197"/>
    </row>
    <row r="30" spans="2:9" ht="15" customHeight="1" x14ac:dyDescent="0.35">
      <c r="B30" s="269" t="s">
        <v>1158</v>
      </c>
      <c r="C30" s="269"/>
      <c r="D30" s="269"/>
      <c r="E30" s="169">
        <v>130</v>
      </c>
      <c r="F30" s="197"/>
      <c r="G30" s="197"/>
      <c r="H30" s="197"/>
      <c r="I30" s="197"/>
    </row>
    <row r="31" spans="2:9" ht="15" customHeight="1" x14ac:dyDescent="0.35">
      <c r="B31" s="269" t="s">
        <v>1159</v>
      </c>
      <c r="C31" s="269"/>
      <c r="D31" s="269"/>
      <c r="E31" s="169">
        <v>140</v>
      </c>
      <c r="F31" s="197"/>
      <c r="G31" s="197"/>
      <c r="H31" s="197"/>
      <c r="I31" s="197"/>
    </row>
    <row r="32" spans="2:9" ht="15" customHeight="1" x14ac:dyDescent="0.35">
      <c r="B32" s="269" t="s">
        <v>1160</v>
      </c>
      <c r="C32" s="269"/>
      <c r="D32" s="269"/>
      <c r="E32" s="169">
        <v>150</v>
      </c>
      <c r="F32" s="197"/>
      <c r="G32" s="197"/>
      <c r="H32" s="197"/>
      <c r="I32" s="197"/>
    </row>
    <row r="33" spans="2:9" ht="15" customHeight="1" x14ac:dyDescent="0.35">
      <c r="B33" s="269" t="s">
        <v>1161</v>
      </c>
      <c r="C33" s="269"/>
      <c r="D33" s="269"/>
      <c r="E33" s="169">
        <v>160</v>
      </c>
      <c r="F33" s="197"/>
      <c r="G33" s="197"/>
      <c r="H33" s="197"/>
      <c r="I33" s="197"/>
    </row>
    <row r="34" spans="2:9" ht="15" customHeight="1" x14ac:dyDescent="0.35">
      <c r="B34" s="269" t="s">
        <v>1162</v>
      </c>
      <c r="C34" s="269"/>
      <c r="D34" s="269"/>
      <c r="E34" s="169">
        <v>170</v>
      </c>
      <c r="F34" s="197"/>
      <c r="G34" s="197"/>
      <c r="H34" s="197"/>
      <c r="I34" s="197"/>
    </row>
    <row r="35" spans="2:9" ht="15" customHeight="1" x14ac:dyDescent="0.35">
      <c r="B35" s="269" t="s">
        <v>1163</v>
      </c>
      <c r="C35" s="269"/>
      <c r="D35" s="269"/>
      <c r="E35" s="169">
        <v>180</v>
      </c>
      <c r="F35" s="197"/>
      <c r="G35" s="197"/>
      <c r="H35" s="197"/>
      <c r="I35" s="197"/>
    </row>
    <row r="36" spans="2:9" ht="15" customHeight="1" x14ac:dyDescent="0.35">
      <c r="B36" s="269" t="s">
        <v>1164</v>
      </c>
      <c r="C36" s="269"/>
      <c r="D36" s="269"/>
      <c r="E36" s="169">
        <v>190</v>
      </c>
      <c r="F36" s="197"/>
      <c r="G36" s="197"/>
      <c r="H36" s="197"/>
      <c r="I36" s="197"/>
    </row>
    <row r="37" spans="2:9" ht="15" customHeight="1" x14ac:dyDescent="0.35">
      <c r="B37" s="269" t="s">
        <v>1165</v>
      </c>
      <c r="C37" s="269"/>
      <c r="D37" s="269"/>
      <c r="E37" s="169">
        <v>200</v>
      </c>
      <c r="F37" s="197"/>
      <c r="G37" s="197"/>
      <c r="H37" s="197"/>
      <c r="I37" s="197"/>
    </row>
    <row r="38" spans="2:9" ht="15" customHeight="1" x14ac:dyDescent="0.35">
      <c r="B38" s="269" t="s">
        <v>1166</v>
      </c>
      <c r="C38" s="269"/>
      <c r="D38" s="269"/>
      <c r="E38" s="169">
        <v>210</v>
      </c>
      <c r="F38" s="197"/>
      <c r="G38" s="197"/>
      <c r="H38" s="197"/>
      <c r="I38" s="197"/>
    </row>
    <row r="39" spans="2:9" ht="15" customHeight="1" x14ac:dyDescent="0.35">
      <c r="B39" s="269" t="s">
        <v>1167</v>
      </c>
      <c r="C39" s="269"/>
      <c r="D39" s="269"/>
      <c r="E39" s="169">
        <v>220</v>
      </c>
      <c r="F39" s="197"/>
      <c r="G39" s="197"/>
      <c r="H39" s="197"/>
      <c r="I39" s="197"/>
    </row>
    <row r="40" spans="2:9" ht="15" customHeight="1" x14ac:dyDescent="0.35">
      <c r="B40" s="269" t="s">
        <v>1168</v>
      </c>
      <c r="C40" s="269"/>
      <c r="D40" s="269"/>
      <c r="E40" s="169">
        <v>230</v>
      </c>
      <c r="F40" s="197"/>
      <c r="G40" s="197"/>
      <c r="H40" s="197"/>
      <c r="I40" s="197"/>
    </row>
    <row r="41" spans="2:9" ht="15" customHeight="1" x14ac:dyDescent="0.35">
      <c r="B41" s="269" t="s">
        <v>1169</v>
      </c>
      <c r="C41" s="269"/>
      <c r="D41" s="269"/>
      <c r="E41" s="169">
        <v>240</v>
      </c>
      <c r="F41" s="197"/>
      <c r="G41" s="197"/>
      <c r="H41" s="197"/>
      <c r="I41" s="197"/>
    </row>
    <row r="42" spans="2:9" ht="15" customHeight="1" x14ac:dyDescent="0.35">
      <c r="B42" s="269" t="s">
        <v>1170</v>
      </c>
      <c r="C42" s="269"/>
      <c r="D42" s="269"/>
      <c r="E42" s="169">
        <v>250</v>
      </c>
      <c r="F42" s="197"/>
      <c r="G42" s="197"/>
      <c r="H42" s="197"/>
      <c r="I42" s="197"/>
    </row>
    <row r="43" spans="2:9" ht="15" customHeight="1" x14ac:dyDescent="0.35">
      <c r="B43" s="269" t="s">
        <v>1171</v>
      </c>
      <c r="C43" s="269"/>
      <c r="D43" s="269"/>
      <c r="E43" s="169">
        <v>260</v>
      </c>
      <c r="F43" s="197"/>
      <c r="G43" s="197"/>
      <c r="H43" s="197"/>
      <c r="I43" s="197"/>
    </row>
    <row r="44" spans="2:9" ht="15" customHeight="1" x14ac:dyDescent="0.35">
      <c r="B44" s="269" t="s">
        <v>1172</v>
      </c>
      <c r="C44" s="269"/>
      <c r="D44" s="269"/>
      <c r="E44" s="169">
        <v>270</v>
      </c>
      <c r="F44" s="197"/>
      <c r="G44" s="197"/>
      <c r="H44" s="197"/>
      <c r="I44" s="197"/>
    </row>
    <row r="45" spans="2:9" ht="15" customHeight="1" x14ac:dyDescent="0.35">
      <c r="B45" s="269" t="s">
        <v>1173</v>
      </c>
      <c r="C45" s="269"/>
      <c r="D45" s="269"/>
      <c r="E45" s="169">
        <v>280</v>
      </c>
      <c r="F45" s="197"/>
      <c r="G45" s="197"/>
      <c r="H45" s="197"/>
      <c r="I45" s="197"/>
    </row>
    <row r="46" spans="2:9" ht="15" customHeight="1" x14ac:dyDescent="0.35">
      <c r="B46" s="269" t="s">
        <v>1174</v>
      </c>
      <c r="C46" s="269"/>
      <c r="D46" s="269"/>
      <c r="E46" s="106">
        <v>290</v>
      </c>
      <c r="F46" s="197"/>
      <c r="G46" s="197"/>
      <c r="H46" s="197"/>
      <c r="I46" s="197"/>
    </row>
    <row r="47" spans="2:9" ht="15" customHeight="1" x14ac:dyDescent="0.35">
      <c r="B47" s="269" t="s">
        <v>1175</v>
      </c>
      <c r="C47" s="269"/>
      <c r="D47" s="269"/>
      <c r="E47" s="169">
        <v>300</v>
      </c>
      <c r="F47" s="197"/>
      <c r="G47" s="197"/>
      <c r="H47" s="197"/>
      <c r="I47" s="197"/>
    </row>
    <row r="48" spans="2:9" ht="15" customHeight="1" x14ac:dyDescent="0.35">
      <c r="B48" s="269" t="s">
        <v>1176</v>
      </c>
      <c r="C48" s="269"/>
      <c r="D48" s="269"/>
      <c r="E48" s="169">
        <v>310</v>
      </c>
      <c r="F48" s="197"/>
      <c r="G48" s="197"/>
      <c r="H48" s="197"/>
      <c r="I48" s="197"/>
    </row>
    <row r="49" spans="2:9" ht="15" customHeight="1" x14ac:dyDescent="0.35">
      <c r="B49" s="269" t="s">
        <v>1177</v>
      </c>
      <c r="C49" s="269"/>
      <c r="D49" s="269"/>
      <c r="E49" s="169">
        <v>320</v>
      </c>
      <c r="F49" s="197"/>
      <c r="G49" s="197"/>
      <c r="H49" s="197"/>
      <c r="I49" s="197"/>
    </row>
  </sheetData>
  <sheetProtection algorithmName="SHA-512" hashValue="SXzBf7ncopyFSEA7K3kYTpjy6XF/W9dGFi4wEyYSWXZj9+H8CwF2FBHzI/kgZmtfdmNGz5bkljVvYOc5ndyDig==" saltValue="e4Ea1IxIA2jjLxqXV//GFg==" spinCount="100000" sheet="1" objects="1" scenarios="1" formatCells="0"/>
  <protectedRanges>
    <protectedRange sqref="F9:I49" name="Диапазон1"/>
  </protectedRanges>
  <mergeCells count="50">
    <mergeCell ref="C1:E1"/>
    <mergeCell ref="C2:E2"/>
    <mergeCell ref="C3:E3"/>
    <mergeCell ref="C4:E4"/>
    <mergeCell ref="C5:E5"/>
    <mergeCell ref="B18:D18"/>
    <mergeCell ref="F7:G7"/>
    <mergeCell ref="H7:I7"/>
    <mergeCell ref="B9:D9"/>
    <mergeCell ref="B10:D10"/>
    <mergeCell ref="B11:D11"/>
    <mergeCell ref="B12:D12"/>
    <mergeCell ref="B7:D8"/>
    <mergeCell ref="E7:E8"/>
    <mergeCell ref="B13:D13"/>
    <mergeCell ref="B14:D14"/>
    <mergeCell ref="B15:D15"/>
    <mergeCell ref="B16:D16"/>
    <mergeCell ref="B17:D17"/>
    <mergeCell ref="B30:D30"/>
    <mergeCell ref="B19:D19"/>
    <mergeCell ref="B20:D20"/>
    <mergeCell ref="B21:D21"/>
    <mergeCell ref="B22:D22"/>
    <mergeCell ref="B23:D23"/>
    <mergeCell ref="B24:D24"/>
    <mergeCell ref="B25:D25"/>
    <mergeCell ref="B26:D26"/>
    <mergeCell ref="B27:D27"/>
    <mergeCell ref="B28:D28"/>
    <mergeCell ref="B29:D29"/>
    <mergeCell ref="B42:D42"/>
    <mergeCell ref="B31:D31"/>
    <mergeCell ref="B32:D32"/>
    <mergeCell ref="B33:D33"/>
    <mergeCell ref="B34:D34"/>
    <mergeCell ref="B35:D35"/>
    <mergeCell ref="B36:D36"/>
    <mergeCell ref="B37:D37"/>
    <mergeCell ref="B38:D38"/>
    <mergeCell ref="B39:D39"/>
    <mergeCell ref="B40:D40"/>
    <mergeCell ref="B41:D41"/>
    <mergeCell ref="B49:D49"/>
    <mergeCell ref="B43:D43"/>
    <mergeCell ref="B44:D44"/>
    <mergeCell ref="B45:D45"/>
    <mergeCell ref="B46:D46"/>
    <mergeCell ref="B47:D47"/>
    <mergeCell ref="B48:D48"/>
  </mergeCells>
  <hyperlinks>
    <hyperlink ref="F1" location="'Список таблиц'!A1" display="Список таблиц" xr:uid="{A1F5A8E9-AD1B-457E-8E87-8939E5BAE5F8}"/>
  </hyperlinks>
  <pageMargins left="0.7" right="0.7" top="0.75" bottom="0.75" header="0.3" footer="0.3"/>
  <pageSetup paperSize="9" scale="48" orientation="portrait"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7E191-4861-4B56-B949-D6CFF34CD4E4}">
  <sheetPr codeName="Лист38">
    <tabColor theme="9" tint="0.79998168889431442"/>
  </sheetPr>
  <dimension ref="B1:H26"/>
  <sheetViews>
    <sheetView view="pageBreakPreview" zoomScale="60" zoomScaleNormal="100" workbookViewId="0">
      <selection activeCell="F8" sqref="F8:G26"/>
    </sheetView>
  </sheetViews>
  <sheetFormatPr defaultColWidth="9.1796875" defaultRowHeight="14.5" x14ac:dyDescent="0.35"/>
  <cols>
    <col min="1" max="1" width="7.81640625" style="29" customWidth="1"/>
    <col min="2" max="2" width="14" style="129" bestFit="1" customWidth="1"/>
    <col min="3" max="3" width="17.7265625" style="129" customWidth="1"/>
    <col min="4" max="4" width="59.453125" style="129" customWidth="1"/>
    <col min="5" max="5" width="12.54296875" style="29" customWidth="1"/>
    <col min="6" max="7" width="25.7265625" style="29" customWidth="1"/>
    <col min="8" max="16384" width="9.1796875" style="29"/>
  </cols>
  <sheetData>
    <row r="1" spans="2:7" s="85" customFormat="1" x14ac:dyDescent="0.35">
      <c r="B1" s="62" t="s">
        <v>742</v>
      </c>
      <c r="C1" s="270">
        <f>VLOOKUP($C$5,'Список таблиц'!A:E,2,FALSE)</f>
        <v>1945</v>
      </c>
      <c r="D1" s="271"/>
      <c r="E1" s="271"/>
      <c r="F1" s="98" t="s">
        <v>743</v>
      </c>
    </row>
    <row r="2" spans="2:7" s="85" customFormat="1" x14ac:dyDescent="0.35">
      <c r="B2" s="65" t="s">
        <v>744</v>
      </c>
      <c r="C2" s="306" t="str">
        <f>VLOOKUP($C$5,'Список таблиц'!A:E,3,FALSE)</f>
        <v>Формы финансовой отчетности страховщиков и правила по их заполнению</v>
      </c>
      <c r="D2" s="307"/>
      <c r="E2" s="307"/>
    </row>
    <row r="3" spans="2:7" x14ac:dyDescent="0.35">
      <c r="B3" s="67" t="s">
        <v>745</v>
      </c>
      <c r="C3" s="274">
        <f>VLOOKUP($C$5,'Список таблиц'!A:E,4,FALSE)</f>
        <v>4</v>
      </c>
      <c r="D3" s="275"/>
      <c r="E3" s="275"/>
    </row>
    <row r="4" spans="2:7" ht="15" customHeight="1" x14ac:dyDescent="0.35">
      <c r="B4" s="69" t="s">
        <v>746</v>
      </c>
      <c r="C4" s="276" t="str">
        <f>VLOOKUP($C$5,'Список таблиц'!A:E,5,FALSE)</f>
        <v>Справка о платежах в бюджет</v>
      </c>
      <c r="D4" s="277"/>
      <c r="E4" s="277"/>
    </row>
    <row r="5" spans="2:7" x14ac:dyDescent="0.35">
      <c r="B5" s="67" t="s">
        <v>747</v>
      </c>
      <c r="C5" s="281" t="s">
        <v>636</v>
      </c>
      <c r="D5" s="282"/>
      <c r="E5" s="282"/>
    </row>
    <row r="7" spans="2:7" ht="79.5" customHeight="1" x14ac:dyDescent="0.35">
      <c r="B7" s="255" t="s">
        <v>976</v>
      </c>
      <c r="C7" s="255"/>
      <c r="D7" s="255"/>
      <c r="E7" s="72" t="s">
        <v>1178</v>
      </c>
      <c r="F7" s="72" t="s">
        <v>1179</v>
      </c>
      <c r="G7" s="72" t="s">
        <v>1180</v>
      </c>
    </row>
    <row r="8" spans="2:7" ht="15" customHeight="1" x14ac:dyDescent="0.35">
      <c r="B8" s="269" t="s">
        <v>1181</v>
      </c>
      <c r="C8" s="269"/>
      <c r="D8" s="269"/>
      <c r="E8" s="170">
        <v>330</v>
      </c>
      <c r="F8" s="197"/>
      <c r="G8" s="197"/>
    </row>
    <row r="9" spans="2:7" ht="15" customHeight="1" x14ac:dyDescent="0.35">
      <c r="B9" s="269" t="s">
        <v>1182</v>
      </c>
      <c r="C9" s="269"/>
      <c r="D9" s="269"/>
      <c r="E9" s="170">
        <v>340</v>
      </c>
      <c r="F9" s="197"/>
      <c r="G9" s="197"/>
    </row>
    <row r="10" spans="2:7" ht="15" customHeight="1" x14ac:dyDescent="0.35">
      <c r="B10" s="269" t="s">
        <v>1183</v>
      </c>
      <c r="C10" s="269"/>
      <c r="D10" s="269"/>
      <c r="E10" s="170">
        <v>341</v>
      </c>
      <c r="F10" s="197"/>
      <c r="G10" s="197"/>
    </row>
    <row r="11" spans="2:7" ht="15" customHeight="1" x14ac:dyDescent="0.35">
      <c r="B11" s="269" t="s">
        <v>1184</v>
      </c>
      <c r="C11" s="269"/>
      <c r="D11" s="269"/>
      <c r="E11" s="170">
        <v>360</v>
      </c>
      <c r="F11" s="197"/>
      <c r="G11" s="197"/>
    </row>
    <row r="12" spans="2:7" ht="15" customHeight="1" x14ac:dyDescent="0.35">
      <c r="B12" s="269" t="s">
        <v>1185</v>
      </c>
      <c r="C12" s="269"/>
      <c r="D12" s="269"/>
      <c r="E12" s="170">
        <v>370</v>
      </c>
      <c r="F12" s="197"/>
      <c r="G12" s="197"/>
    </row>
    <row r="13" spans="2:7" ht="15" customHeight="1" x14ac:dyDescent="0.35">
      <c r="B13" s="269" t="s">
        <v>1186</v>
      </c>
      <c r="C13" s="269"/>
      <c r="D13" s="269"/>
      <c r="E13" s="170">
        <v>380</v>
      </c>
      <c r="F13" s="197"/>
      <c r="G13" s="197"/>
    </row>
    <row r="14" spans="2:7" ht="15" customHeight="1" x14ac:dyDescent="0.35">
      <c r="B14" s="269" t="s">
        <v>1187</v>
      </c>
      <c r="C14" s="269"/>
      <c r="D14" s="269"/>
      <c r="E14" s="170">
        <v>390</v>
      </c>
      <c r="F14" s="197"/>
      <c r="G14" s="197"/>
    </row>
    <row r="15" spans="2:7" ht="15" customHeight="1" x14ac:dyDescent="0.35">
      <c r="B15" s="269" t="s">
        <v>1188</v>
      </c>
      <c r="C15" s="269"/>
      <c r="D15" s="269"/>
      <c r="E15" s="170">
        <v>400</v>
      </c>
      <c r="F15" s="197"/>
      <c r="G15" s="197"/>
    </row>
    <row r="16" spans="2:7" ht="15" customHeight="1" x14ac:dyDescent="0.35">
      <c r="B16" s="269" t="s">
        <v>1189</v>
      </c>
      <c r="C16" s="269"/>
      <c r="D16" s="269"/>
      <c r="E16" s="170">
        <v>410</v>
      </c>
      <c r="F16" s="197"/>
      <c r="G16" s="197"/>
    </row>
    <row r="17" spans="2:8" ht="15" customHeight="1" x14ac:dyDescent="0.35">
      <c r="B17" s="269" t="s">
        <v>1190</v>
      </c>
      <c r="C17" s="269"/>
      <c r="D17" s="269"/>
      <c r="E17" s="170">
        <v>420</v>
      </c>
      <c r="F17" s="197"/>
      <c r="G17" s="197"/>
    </row>
    <row r="18" spans="2:8" ht="15" customHeight="1" x14ac:dyDescent="0.35">
      <c r="B18" s="269" t="s">
        <v>1191</v>
      </c>
      <c r="C18" s="269"/>
      <c r="D18" s="269"/>
      <c r="E18" s="170">
        <v>430</v>
      </c>
      <c r="F18" s="197"/>
      <c r="G18" s="197"/>
      <c r="H18" s="129"/>
    </row>
    <row r="19" spans="2:8" ht="15" customHeight="1" x14ac:dyDescent="0.35">
      <c r="B19" s="269" t="s">
        <v>1192</v>
      </c>
      <c r="C19" s="269"/>
      <c r="D19" s="269"/>
      <c r="E19" s="170">
        <v>440</v>
      </c>
      <c r="F19" s="197"/>
      <c r="G19" s="197"/>
    </row>
    <row r="20" spans="2:8" ht="15" customHeight="1" x14ac:dyDescent="0.35">
      <c r="B20" s="269" t="s">
        <v>1193</v>
      </c>
      <c r="C20" s="269"/>
      <c r="D20" s="269"/>
      <c r="E20" s="170">
        <v>450</v>
      </c>
      <c r="F20" s="197"/>
      <c r="G20" s="197"/>
    </row>
    <row r="21" spans="2:8" ht="15" customHeight="1" x14ac:dyDescent="0.35">
      <c r="B21" s="269" t="s">
        <v>1194</v>
      </c>
      <c r="C21" s="269"/>
      <c r="D21" s="269"/>
      <c r="E21" s="73">
        <v>460</v>
      </c>
      <c r="F21" s="197"/>
      <c r="G21" s="197"/>
    </row>
    <row r="22" spans="2:8" ht="15" customHeight="1" x14ac:dyDescent="0.35">
      <c r="B22" s="269" t="s">
        <v>1195</v>
      </c>
      <c r="C22" s="269"/>
      <c r="D22" s="269"/>
      <c r="E22" s="170">
        <v>490</v>
      </c>
      <c r="F22" s="197"/>
      <c r="G22" s="197"/>
    </row>
    <row r="23" spans="2:8" ht="15" customHeight="1" x14ac:dyDescent="0.35">
      <c r="B23" s="269" t="s">
        <v>1196</v>
      </c>
      <c r="C23" s="269"/>
      <c r="D23" s="269"/>
      <c r="E23" s="170">
        <v>500</v>
      </c>
      <c r="F23" s="197"/>
      <c r="G23" s="197"/>
    </row>
    <row r="24" spans="2:8" ht="15" customHeight="1" x14ac:dyDescent="0.35">
      <c r="B24" s="269" t="s">
        <v>1197</v>
      </c>
      <c r="C24" s="269"/>
      <c r="D24" s="269"/>
      <c r="E24" s="170">
        <v>510</v>
      </c>
      <c r="F24" s="197"/>
      <c r="G24" s="197"/>
    </row>
    <row r="25" spans="2:8" ht="15" customHeight="1" x14ac:dyDescent="0.35">
      <c r="B25" s="269" t="s">
        <v>1198</v>
      </c>
      <c r="C25" s="269"/>
      <c r="D25" s="269"/>
      <c r="E25" s="170">
        <v>520</v>
      </c>
      <c r="F25" s="197"/>
      <c r="G25" s="197"/>
    </row>
    <row r="26" spans="2:8" ht="15" customHeight="1" x14ac:dyDescent="0.35">
      <c r="B26" s="278" t="s">
        <v>1199</v>
      </c>
      <c r="C26" s="278"/>
      <c r="D26" s="278"/>
      <c r="E26" s="170">
        <v>530</v>
      </c>
      <c r="F26" s="197"/>
      <c r="G26" s="197"/>
    </row>
  </sheetData>
  <sheetProtection algorithmName="SHA-512" hashValue="ZXMjOvEZokT4z/mrSiDSTeYRbTBYCY5NJGVZRxS9GemmeINedQ0bALo9kEKyh1RFGUi0PN5Wy5L5lxBCUH5s8Q==" saltValue="dEk0m9CdKtSVhhL3chLIfQ==" spinCount="100000" sheet="1" objects="1" scenarios="1" formatCells="0"/>
  <protectedRanges>
    <protectedRange sqref="F8:G26" name="Диапазон1"/>
  </protectedRanges>
  <mergeCells count="25">
    <mergeCell ref="B7:D7"/>
    <mergeCell ref="C1:E1"/>
    <mergeCell ref="C2:E2"/>
    <mergeCell ref="C3:E3"/>
    <mergeCell ref="C4:E4"/>
    <mergeCell ref="C5:E5"/>
    <mergeCell ref="B19:D19"/>
    <mergeCell ref="B8:D8"/>
    <mergeCell ref="B9:D9"/>
    <mergeCell ref="B10:D10"/>
    <mergeCell ref="B11:D11"/>
    <mergeCell ref="B12:D12"/>
    <mergeCell ref="B13:D13"/>
    <mergeCell ref="B14:D14"/>
    <mergeCell ref="B15:D15"/>
    <mergeCell ref="B16:D16"/>
    <mergeCell ref="B17:D17"/>
    <mergeCell ref="B18:D18"/>
    <mergeCell ref="B26:D26"/>
    <mergeCell ref="B20:D20"/>
    <mergeCell ref="B21:D21"/>
    <mergeCell ref="B22:D22"/>
    <mergeCell ref="B23:D23"/>
    <mergeCell ref="B24:D24"/>
    <mergeCell ref="B25:D25"/>
  </mergeCells>
  <hyperlinks>
    <hyperlink ref="F1" location="'Список таблиц'!A1" display="Список таблиц" xr:uid="{0484BCA7-C41D-4B38-AD67-7D3F2D4F2371}"/>
  </hyperlinks>
  <pageMargins left="0.7" right="0.7" top="0.75" bottom="0.75" header="0.3" footer="0.3"/>
  <pageSetup paperSize="9" scale="53" orientation="portrait"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883C7-9BD5-47EB-9BD3-20E20BCF8F52}">
  <sheetPr codeName="Лист39">
    <tabColor theme="9" tint="0.79998168889431442"/>
  </sheetPr>
  <dimension ref="B1:G47"/>
  <sheetViews>
    <sheetView view="pageBreakPreview" zoomScale="60" zoomScaleNormal="100" workbookViewId="0">
      <selection activeCell="F9" sqref="F9:G47"/>
    </sheetView>
  </sheetViews>
  <sheetFormatPr defaultColWidth="9.1796875" defaultRowHeight="14.5" x14ac:dyDescent="0.35"/>
  <cols>
    <col min="1" max="1" width="7.81640625" style="29" customWidth="1"/>
    <col min="2" max="2" width="14" style="129" bestFit="1" customWidth="1"/>
    <col min="3" max="3" width="17.7265625" style="129" customWidth="1"/>
    <col min="4" max="4" width="72.81640625" style="29" customWidth="1"/>
    <col min="5" max="5" width="12.54296875" style="29" customWidth="1"/>
    <col min="6" max="7" width="21.453125" style="29" customWidth="1"/>
    <col min="8" max="16384" width="9.1796875" style="29"/>
  </cols>
  <sheetData>
    <row r="1" spans="2:7" s="85" customFormat="1" x14ac:dyDescent="0.35">
      <c r="B1" s="62" t="s">
        <v>742</v>
      </c>
      <c r="C1" s="270">
        <f>VLOOKUP($C$5,'Список таблиц'!A:E,2,FALSE)</f>
        <v>1945</v>
      </c>
      <c r="D1" s="271"/>
      <c r="E1" s="271"/>
      <c r="F1" s="98" t="s">
        <v>743</v>
      </c>
    </row>
    <row r="2" spans="2:7" s="85" customFormat="1" x14ac:dyDescent="0.35">
      <c r="B2" s="65" t="s">
        <v>744</v>
      </c>
      <c r="C2" s="306" t="str">
        <f>VLOOKUP($C$5,'Список таблиц'!A:E,3,FALSE)</f>
        <v>Формы финансовой отчетности страховщиков и правила по их заполнению</v>
      </c>
      <c r="D2" s="307"/>
      <c r="E2" s="307"/>
    </row>
    <row r="3" spans="2:7" x14ac:dyDescent="0.35">
      <c r="B3" s="67" t="s">
        <v>745</v>
      </c>
      <c r="C3" s="274">
        <f>VLOOKUP($C$5,'Список таблиц'!A:E,4,FALSE)</f>
        <v>5</v>
      </c>
      <c r="D3" s="275"/>
      <c r="E3" s="275"/>
    </row>
    <row r="4" spans="2:7" ht="16.5" customHeight="1" x14ac:dyDescent="0.35">
      <c r="B4" s="69" t="s">
        <v>746</v>
      </c>
      <c r="C4" s="276" t="str">
        <f>VLOOKUP($C$5,'Список таблиц'!A:E,5,FALSE)</f>
        <v>Отчет о денежных потоках — форма № 4 — страхование</v>
      </c>
      <c r="D4" s="277"/>
      <c r="E4" s="277"/>
    </row>
    <row r="5" spans="2:7" x14ac:dyDescent="0.35">
      <c r="B5" s="67" t="s">
        <v>747</v>
      </c>
      <c r="C5" s="281" t="s">
        <v>658</v>
      </c>
      <c r="D5" s="282"/>
      <c r="E5" s="282"/>
    </row>
    <row r="7" spans="2:7" ht="30" customHeight="1" x14ac:dyDescent="0.35">
      <c r="B7" s="255" t="s">
        <v>976</v>
      </c>
      <c r="C7" s="255"/>
      <c r="D7" s="255"/>
      <c r="E7" s="72" t="s">
        <v>1200</v>
      </c>
      <c r="F7" s="72" t="s">
        <v>1201</v>
      </c>
      <c r="G7" s="81" t="s">
        <v>1202</v>
      </c>
    </row>
    <row r="8" spans="2:7" ht="15" customHeight="1" x14ac:dyDescent="0.35">
      <c r="B8" s="268" t="s">
        <v>1203</v>
      </c>
      <c r="C8" s="268"/>
      <c r="D8" s="268"/>
      <c r="E8" s="124"/>
      <c r="F8" s="136"/>
      <c r="G8" s="171"/>
    </row>
    <row r="9" spans="2:7" ht="15" customHeight="1" x14ac:dyDescent="0.35">
      <c r="B9" s="269" t="s">
        <v>1204</v>
      </c>
      <c r="C9" s="269"/>
      <c r="D9" s="269"/>
      <c r="E9" s="106">
        <v>10</v>
      </c>
      <c r="F9" s="197"/>
      <c r="G9" s="200"/>
    </row>
    <row r="10" spans="2:7" ht="15" customHeight="1" x14ac:dyDescent="0.35">
      <c r="B10" s="269" t="s">
        <v>1205</v>
      </c>
      <c r="C10" s="269"/>
      <c r="D10" s="269"/>
      <c r="E10" s="106">
        <v>20</v>
      </c>
      <c r="F10" s="197"/>
      <c r="G10" s="200"/>
    </row>
    <row r="11" spans="2:7" ht="15" customHeight="1" x14ac:dyDescent="0.35">
      <c r="B11" s="269" t="s">
        <v>1206</v>
      </c>
      <c r="C11" s="269"/>
      <c r="D11" s="269"/>
      <c r="E11" s="106">
        <v>30</v>
      </c>
      <c r="F11" s="197"/>
      <c r="G11" s="200"/>
    </row>
    <row r="12" spans="2:7" ht="15" customHeight="1" x14ac:dyDescent="0.35">
      <c r="B12" s="269" t="s">
        <v>1207</v>
      </c>
      <c r="C12" s="269"/>
      <c r="D12" s="269"/>
      <c r="E12" s="106">
        <v>40</v>
      </c>
      <c r="F12" s="197"/>
      <c r="G12" s="200"/>
    </row>
    <row r="13" spans="2:7" ht="15" customHeight="1" x14ac:dyDescent="0.35">
      <c r="B13" s="269" t="s">
        <v>1208</v>
      </c>
      <c r="C13" s="269"/>
      <c r="D13" s="269"/>
      <c r="E13" s="106">
        <v>50</v>
      </c>
      <c r="F13" s="197"/>
      <c r="G13" s="200"/>
    </row>
    <row r="14" spans="2:7" ht="30" customHeight="1" x14ac:dyDescent="0.35">
      <c r="B14" s="269" t="s">
        <v>1209</v>
      </c>
      <c r="C14" s="269"/>
      <c r="D14" s="269"/>
      <c r="E14" s="106">
        <v>60</v>
      </c>
      <c r="F14" s="197"/>
      <c r="G14" s="200"/>
    </row>
    <row r="15" spans="2:7" ht="15" customHeight="1" x14ac:dyDescent="0.35">
      <c r="B15" s="269" t="s">
        <v>1210</v>
      </c>
      <c r="C15" s="269"/>
      <c r="D15" s="269"/>
      <c r="E15" s="106">
        <v>70</v>
      </c>
      <c r="F15" s="197"/>
      <c r="G15" s="200"/>
    </row>
    <row r="16" spans="2:7" ht="15" customHeight="1" x14ac:dyDescent="0.35">
      <c r="B16" s="269" t="s">
        <v>1211</v>
      </c>
      <c r="C16" s="269"/>
      <c r="D16" s="269"/>
      <c r="E16" s="106">
        <v>80</v>
      </c>
      <c r="F16" s="197"/>
      <c r="G16" s="200"/>
    </row>
    <row r="17" spans="2:7" ht="30" customHeight="1" x14ac:dyDescent="0.35">
      <c r="B17" s="269" t="s">
        <v>1212</v>
      </c>
      <c r="C17" s="269"/>
      <c r="D17" s="269"/>
      <c r="E17" s="106">
        <v>90</v>
      </c>
      <c r="F17" s="197"/>
      <c r="G17" s="200"/>
    </row>
    <row r="18" spans="2:7" ht="30" customHeight="1" x14ac:dyDescent="0.35">
      <c r="B18" s="269" t="s">
        <v>1213</v>
      </c>
      <c r="C18" s="269"/>
      <c r="D18" s="269"/>
      <c r="E18" s="106">
        <v>100</v>
      </c>
      <c r="F18" s="197"/>
      <c r="G18" s="200"/>
    </row>
    <row r="19" spans="2:7" ht="30" customHeight="1" x14ac:dyDescent="0.35">
      <c r="B19" s="269" t="s">
        <v>1214</v>
      </c>
      <c r="C19" s="269"/>
      <c r="D19" s="269"/>
      <c r="E19" s="106">
        <v>110</v>
      </c>
      <c r="F19" s="197"/>
      <c r="G19" s="200"/>
    </row>
    <row r="20" spans="2:7" ht="30" customHeight="1" x14ac:dyDescent="0.35">
      <c r="B20" s="269" t="s">
        <v>1215</v>
      </c>
      <c r="C20" s="269"/>
      <c r="D20" s="269"/>
      <c r="E20" s="106">
        <v>120</v>
      </c>
      <c r="F20" s="197"/>
      <c r="G20" s="200"/>
    </row>
    <row r="21" spans="2:7" ht="15" customHeight="1" x14ac:dyDescent="0.35">
      <c r="B21" s="269" t="s">
        <v>1216</v>
      </c>
      <c r="C21" s="269"/>
      <c r="D21" s="269"/>
      <c r="E21" s="106">
        <v>130</v>
      </c>
      <c r="F21" s="197"/>
      <c r="G21" s="200"/>
    </row>
    <row r="22" spans="2:7" ht="15" customHeight="1" x14ac:dyDescent="0.35">
      <c r="B22" s="269" t="s">
        <v>1217</v>
      </c>
      <c r="C22" s="269"/>
      <c r="D22" s="269"/>
      <c r="E22" s="106">
        <v>140</v>
      </c>
      <c r="F22" s="197"/>
      <c r="G22" s="200"/>
    </row>
    <row r="23" spans="2:7" ht="15" customHeight="1" x14ac:dyDescent="0.35">
      <c r="B23" s="269" t="s">
        <v>1218</v>
      </c>
      <c r="C23" s="269"/>
      <c r="D23" s="269"/>
      <c r="E23" s="106">
        <v>150</v>
      </c>
      <c r="F23" s="197"/>
      <c r="G23" s="200"/>
    </row>
    <row r="24" spans="2:7" ht="15" customHeight="1" x14ac:dyDescent="0.35">
      <c r="B24" s="269" t="s">
        <v>1219</v>
      </c>
      <c r="C24" s="269"/>
      <c r="D24" s="269"/>
      <c r="E24" s="106">
        <v>160</v>
      </c>
      <c r="F24" s="197"/>
      <c r="G24" s="200"/>
    </row>
    <row r="25" spans="2:7" ht="15" customHeight="1" x14ac:dyDescent="0.35">
      <c r="B25" s="268" t="s">
        <v>1220</v>
      </c>
      <c r="C25" s="268"/>
      <c r="D25" s="268"/>
      <c r="E25" s="106"/>
      <c r="F25" s="197"/>
      <c r="G25" s="200"/>
    </row>
    <row r="26" spans="2:7" ht="15" customHeight="1" x14ac:dyDescent="0.35">
      <c r="B26" s="269" t="s">
        <v>1221</v>
      </c>
      <c r="C26" s="269"/>
      <c r="D26" s="269"/>
      <c r="E26" s="106">
        <v>170</v>
      </c>
      <c r="F26" s="197"/>
      <c r="G26" s="200"/>
    </row>
    <row r="27" spans="2:7" ht="15" customHeight="1" x14ac:dyDescent="0.35">
      <c r="B27" s="269" t="s">
        <v>1222</v>
      </c>
      <c r="C27" s="269"/>
      <c r="D27" s="269"/>
      <c r="E27" s="106">
        <v>180</v>
      </c>
      <c r="F27" s="197"/>
      <c r="G27" s="200"/>
    </row>
    <row r="28" spans="2:7" ht="15" customHeight="1" x14ac:dyDescent="0.35">
      <c r="B28" s="269" t="s">
        <v>1223</v>
      </c>
      <c r="C28" s="269"/>
      <c r="D28" s="269"/>
      <c r="E28" s="106">
        <v>190</v>
      </c>
      <c r="F28" s="197"/>
      <c r="G28" s="200"/>
    </row>
    <row r="29" spans="2:7" ht="15" customHeight="1" x14ac:dyDescent="0.35">
      <c r="B29" s="269" t="s">
        <v>1224</v>
      </c>
      <c r="C29" s="269"/>
      <c r="D29" s="269"/>
      <c r="E29" s="106">
        <v>200</v>
      </c>
      <c r="F29" s="197"/>
      <c r="G29" s="200"/>
    </row>
    <row r="30" spans="2:7" ht="15" customHeight="1" x14ac:dyDescent="0.35">
      <c r="B30" s="269" t="s">
        <v>1225</v>
      </c>
      <c r="C30" s="269"/>
      <c r="D30" s="269"/>
      <c r="E30" s="106">
        <v>210</v>
      </c>
      <c r="F30" s="197"/>
      <c r="G30" s="200"/>
    </row>
    <row r="31" spans="2:7" ht="15" customHeight="1" x14ac:dyDescent="0.35">
      <c r="B31" s="268" t="s">
        <v>1226</v>
      </c>
      <c r="C31" s="268"/>
      <c r="D31" s="268"/>
      <c r="E31" s="124"/>
      <c r="F31" s="197"/>
      <c r="G31" s="200"/>
    </row>
    <row r="32" spans="2:7" ht="15" customHeight="1" x14ac:dyDescent="0.35">
      <c r="B32" s="269" t="s">
        <v>1227</v>
      </c>
      <c r="C32" s="269"/>
      <c r="D32" s="269"/>
      <c r="E32" s="106">
        <v>220</v>
      </c>
      <c r="F32" s="197"/>
      <c r="G32" s="200"/>
    </row>
    <row r="33" spans="2:7" ht="15" customHeight="1" x14ac:dyDescent="0.35">
      <c r="B33" s="269" t="s">
        <v>1228</v>
      </c>
      <c r="C33" s="269"/>
      <c r="D33" s="269"/>
      <c r="E33" s="106">
        <v>230</v>
      </c>
      <c r="F33" s="197"/>
      <c r="G33" s="200"/>
    </row>
    <row r="34" spans="2:7" ht="15" customHeight="1" x14ac:dyDescent="0.35">
      <c r="B34" s="269" t="s">
        <v>1229</v>
      </c>
      <c r="C34" s="269"/>
      <c r="D34" s="269"/>
      <c r="E34" s="106">
        <v>240</v>
      </c>
      <c r="F34" s="197"/>
      <c r="G34" s="200"/>
    </row>
    <row r="35" spans="2:7" ht="15" customHeight="1" x14ac:dyDescent="0.35">
      <c r="B35" s="269" t="s">
        <v>1230</v>
      </c>
      <c r="C35" s="269"/>
      <c r="D35" s="269"/>
      <c r="E35" s="106">
        <v>250</v>
      </c>
      <c r="F35" s="197"/>
      <c r="G35" s="200"/>
    </row>
    <row r="36" spans="2:7" ht="15" customHeight="1" x14ac:dyDescent="0.35">
      <c r="B36" s="269" t="s">
        <v>1231</v>
      </c>
      <c r="C36" s="269"/>
      <c r="D36" s="269"/>
      <c r="E36" s="106">
        <v>260</v>
      </c>
      <c r="F36" s="197"/>
      <c r="G36" s="200"/>
    </row>
    <row r="37" spans="2:7" ht="15" customHeight="1" x14ac:dyDescent="0.35">
      <c r="B37" s="269" t="s">
        <v>1232</v>
      </c>
      <c r="C37" s="269"/>
      <c r="D37" s="269"/>
      <c r="E37" s="106">
        <v>270</v>
      </c>
      <c r="F37" s="197"/>
      <c r="G37" s="200"/>
    </row>
    <row r="38" spans="2:7" ht="15" customHeight="1" x14ac:dyDescent="0.35">
      <c r="B38" s="269" t="s">
        <v>1233</v>
      </c>
      <c r="C38" s="269"/>
      <c r="D38" s="269"/>
      <c r="E38" s="106">
        <v>280</v>
      </c>
      <c r="F38" s="197"/>
      <c r="G38" s="200"/>
    </row>
    <row r="39" spans="2:7" ht="30" customHeight="1" x14ac:dyDescent="0.35">
      <c r="B39" s="269" t="s">
        <v>1234</v>
      </c>
      <c r="C39" s="269"/>
      <c r="D39" s="269"/>
      <c r="E39" s="106">
        <v>290</v>
      </c>
      <c r="F39" s="197"/>
      <c r="G39" s="200"/>
    </row>
    <row r="40" spans="2:7" ht="15" customHeight="1" x14ac:dyDescent="0.35">
      <c r="B40" s="268" t="s">
        <v>1235</v>
      </c>
      <c r="C40" s="268"/>
      <c r="D40" s="268"/>
      <c r="E40" s="124"/>
      <c r="F40" s="197"/>
      <c r="G40" s="200"/>
    </row>
    <row r="41" spans="2:7" ht="15" customHeight="1" x14ac:dyDescent="0.35">
      <c r="B41" s="269" t="s">
        <v>1236</v>
      </c>
      <c r="C41" s="269"/>
      <c r="D41" s="269"/>
      <c r="E41" s="106">
        <v>300</v>
      </c>
      <c r="F41" s="197"/>
      <c r="G41" s="200"/>
    </row>
    <row r="42" spans="2:7" ht="15" customHeight="1" x14ac:dyDescent="0.35">
      <c r="B42" s="269" t="s">
        <v>1237</v>
      </c>
      <c r="C42" s="269"/>
      <c r="D42" s="269"/>
      <c r="E42" s="106">
        <v>310</v>
      </c>
      <c r="F42" s="197"/>
      <c r="G42" s="200"/>
    </row>
    <row r="43" spans="2:7" ht="15" customHeight="1" x14ac:dyDescent="0.35">
      <c r="B43" s="269" t="s">
        <v>1238</v>
      </c>
      <c r="C43" s="269"/>
      <c r="D43" s="269"/>
      <c r="E43" s="106">
        <v>320</v>
      </c>
      <c r="F43" s="197"/>
      <c r="G43" s="200"/>
    </row>
    <row r="44" spans="2:7" ht="30" customHeight="1" x14ac:dyDescent="0.35">
      <c r="B44" s="269" t="s">
        <v>1239</v>
      </c>
      <c r="C44" s="269"/>
      <c r="D44" s="269"/>
      <c r="E44" s="106">
        <v>330</v>
      </c>
      <c r="F44" s="197"/>
      <c r="G44" s="200"/>
    </row>
    <row r="45" spans="2:7" ht="15" customHeight="1" x14ac:dyDescent="0.35">
      <c r="B45" s="269" t="s">
        <v>1240</v>
      </c>
      <c r="C45" s="269"/>
      <c r="D45" s="269"/>
      <c r="E45" s="106">
        <v>331</v>
      </c>
      <c r="F45" s="197"/>
      <c r="G45" s="200"/>
    </row>
    <row r="46" spans="2:7" ht="15" customHeight="1" x14ac:dyDescent="0.35">
      <c r="B46" s="269" t="s">
        <v>1241</v>
      </c>
      <c r="C46" s="269"/>
      <c r="D46" s="269"/>
      <c r="E46" s="106">
        <v>340</v>
      </c>
      <c r="F46" s="197"/>
      <c r="G46" s="200"/>
    </row>
    <row r="47" spans="2:7" ht="15" customHeight="1" x14ac:dyDescent="0.35">
      <c r="B47" s="269" t="s">
        <v>1242</v>
      </c>
      <c r="C47" s="269"/>
      <c r="D47" s="269"/>
      <c r="E47" s="106">
        <v>350</v>
      </c>
      <c r="F47" s="197"/>
      <c r="G47" s="200"/>
    </row>
  </sheetData>
  <sheetProtection algorithmName="SHA-512" hashValue="NNRGjieHRB1mdsQFSxkwK5U+P4LgtPy8kMNXgrvDNeOKAIPrJF+r6WgIBdFb0+a3AUCjCcSb3Iq6O89aY+62bQ==" saltValue="nMjpHbz/zZltKFeWia6jXw==" spinCount="100000" sheet="1" objects="1" scenarios="1" formatCells="0"/>
  <protectedRanges>
    <protectedRange sqref="F8:G47" name="Диапазон1"/>
  </protectedRanges>
  <mergeCells count="46">
    <mergeCell ref="B13:D13"/>
    <mergeCell ref="C1:E1"/>
    <mergeCell ref="C2:E2"/>
    <mergeCell ref="C3:E3"/>
    <mergeCell ref="C4:E4"/>
    <mergeCell ref="C5:E5"/>
    <mergeCell ref="B7:D7"/>
    <mergeCell ref="B8:D8"/>
    <mergeCell ref="B9:D9"/>
    <mergeCell ref="B10:D10"/>
    <mergeCell ref="B11:D11"/>
    <mergeCell ref="B12:D12"/>
    <mergeCell ref="B25:D25"/>
    <mergeCell ref="B14:D14"/>
    <mergeCell ref="B15:D15"/>
    <mergeCell ref="B16:D16"/>
    <mergeCell ref="B17:D17"/>
    <mergeCell ref="B18:D18"/>
    <mergeCell ref="B19:D19"/>
    <mergeCell ref="B20:D20"/>
    <mergeCell ref="B21:D21"/>
    <mergeCell ref="B22:D22"/>
    <mergeCell ref="B23:D23"/>
    <mergeCell ref="B24:D24"/>
    <mergeCell ref="B37:D37"/>
    <mergeCell ref="B26:D26"/>
    <mergeCell ref="B27:D27"/>
    <mergeCell ref="B28:D28"/>
    <mergeCell ref="B29:D29"/>
    <mergeCell ref="B30:D30"/>
    <mergeCell ref="B31:D31"/>
    <mergeCell ref="B32:D32"/>
    <mergeCell ref="B33:D33"/>
    <mergeCell ref="B34:D34"/>
    <mergeCell ref="B35:D35"/>
    <mergeCell ref="B36:D36"/>
    <mergeCell ref="B44:D44"/>
    <mergeCell ref="B45:D45"/>
    <mergeCell ref="B46:D46"/>
    <mergeCell ref="B47:D47"/>
    <mergeCell ref="B38:D38"/>
    <mergeCell ref="B39:D39"/>
    <mergeCell ref="B40:D40"/>
    <mergeCell ref="B41:D41"/>
    <mergeCell ref="B42:D42"/>
    <mergeCell ref="B43:D43"/>
  </mergeCells>
  <hyperlinks>
    <hyperlink ref="F1" location="'Список таблиц'!A1" display="Список таблиц" xr:uid="{8E8BFEAF-B155-442F-B3D5-001DA92E2FB2}"/>
  </hyperlinks>
  <pageMargins left="0.7" right="0.7" top="0.75" bottom="0.75" header="0.3" footer="0.3"/>
  <pageSetup paperSize="9" scale="52" orientation="portrait"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93D3C-1982-47A0-9806-0D57DCC6A4BA}">
  <sheetPr codeName="Лист40">
    <tabColor theme="9" tint="0.79998168889431442"/>
  </sheetPr>
  <dimension ref="B1:F19"/>
  <sheetViews>
    <sheetView view="pageBreakPreview" zoomScale="60" zoomScaleNormal="100" workbookViewId="0">
      <selection activeCell="F8" sqref="F8:F19"/>
    </sheetView>
  </sheetViews>
  <sheetFormatPr defaultColWidth="9.1796875" defaultRowHeight="14.5" x14ac:dyDescent="0.35"/>
  <cols>
    <col min="1" max="1" width="7.81640625" style="29" customWidth="1"/>
    <col min="2" max="2" width="14" style="129" bestFit="1" customWidth="1"/>
    <col min="3" max="3" width="17.54296875" style="129" customWidth="1"/>
    <col min="4" max="4" width="59.453125" style="129" customWidth="1"/>
    <col min="5" max="5" width="12.54296875" style="29" customWidth="1"/>
    <col min="6" max="6" width="25.7265625" style="29" customWidth="1"/>
    <col min="7" max="16384" width="9.1796875" style="29"/>
  </cols>
  <sheetData>
    <row r="1" spans="2:6" s="85" customFormat="1" x14ac:dyDescent="0.35">
      <c r="B1" s="62" t="s">
        <v>742</v>
      </c>
      <c r="C1" s="270">
        <f>VLOOKUP($C$5,'Список таблиц'!A:E,2,FALSE)</f>
        <v>1945</v>
      </c>
      <c r="D1" s="271"/>
      <c r="E1" s="271"/>
      <c r="F1" s="98" t="s">
        <v>743</v>
      </c>
    </row>
    <row r="2" spans="2:6" s="85" customFormat="1" x14ac:dyDescent="0.35">
      <c r="B2" s="65" t="s">
        <v>744</v>
      </c>
      <c r="C2" s="306" t="str">
        <f>VLOOKUP($C$5,'Список таблиц'!A:E,3,FALSE)</f>
        <v>Формы финансовой отчетности страховщиков и правила по их заполнению</v>
      </c>
      <c r="D2" s="307"/>
      <c r="E2" s="307"/>
    </row>
    <row r="3" spans="2:6" x14ac:dyDescent="0.35">
      <c r="B3" s="67" t="s">
        <v>745</v>
      </c>
      <c r="C3" s="274">
        <f>VLOOKUP($C$5,'Список таблиц'!A:E,4,FALSE)</f>
        <v>6</v>
      </c>
      <c r="D3" s="275"/>
      <c r="E3" s="275"/>
    </row>
    <row r="4" spans="2:6" ht="15" customHeight="1" x14ac:dyDescent="0.35">
      <c r="B4" s="69" t="s">
        <v>746</v>
      </c>
      <c r="C4" s="276" t="str">
        <f>VLOOKUP($C$5,'Список таблиц'!A:E,5,FALSE)</f>
        <v>Справка о движении денежных средств в иностранной валюте</v>
      </c>
      <c r="D4" s="277"/>
      <c r="E4" s="277"/>
    </row>
    <row r="5" spans="2:6" x14ac:dyDescent="0.35">
      <c r="B5" s="67" t="s">
        <v>747</v>
      </c>
      <c r="C5" s="281" t="s">
        <v>701</v>
      </c>
      <c r="D5" s="282"/>
      <c r="E5" s="282"/>
    </row>
    <row r="7" spans="2:6" ht="25.5" customHeight="1" x14ac:dyDescent="0.35">
      <c r="B7" s="255" t="s">
        <v>976</v>
      </c>
      <c r="C7" s="255"/>
      <c r="D7" s="255"/>
      <c r="E7" s="72" t="s">
        <v>1200</v>
      </c>
      <c r="F7" s="72" t="s">
        <v>1243</v>
      </c>
    </row>
    <row r="8" spans="2:6" ht="15" customHeight="1" x14ac:dyDescent="0.35">
      <c r="B8" s="258" t="s">
        <v>1244</v>
      </c>
      <c r="C8" s="258"/>
      <c r="D8" s="258"/>
      <c r="E8" s="170">
        <v>360</v>
      </c>
      <c r="F8" s="199"/>
    </row>
    <row r="9" spans="2:6" ht="15" customHeight="1" x14ac:dyDescent="0.35">
      <c r="B9" s="258" t="s">
        <v>1245</v>
      </c>
      <c r="C9" s="258"/>
      <c r="D9" s="258"/>
      <c r="E9" s="170">
        <v>370</v>
      </c>
      <c r="F9" s="199"/>
    </row>
    <row r="10" spans="2:6" ht="15" customHeight="1" x14ac:dyDescent="0.35">
      <c r="B10" s="258" t="s">
        <v>1246</v>
      </c>
      <c r="C10" s="258"/>
      <c r="D10" s="258"/>
      <c r="E10" s="170">
        <v>371</v>
      </c>
      <c r="F10" s="199"/>
    </row>
    <row r="11" spans="2:6" ht="15" customHeight="1" x14ac:dyDescent="0.35">
      <c r="B11" s="258" t="s">
        <v>1247</v>
      </c>
      <c r="C11" s="258"/>
      <c r="D11" s="258"/>
      <c r="E11" s="170">
        <v>372</v>
      </c>
      <c r="F11" s="199"/>
    </row>
    <row r="12" spans="2:6" ht="15" customHeight="1" x14ac:dyDescent="0.35">
      <c r="B12" s="258" t="s">
        <v>1248</v>
      </c>
      <c r="C12" s="258"/>
      <c r="D12" s="258"/>
      <c r="E12" s="170">
        <v>373</v>
      </c>
      <c r="F12" s="199"/>
    </row>
    <row r="13" spans="2:6" ht="15" customHeight="1" x14ac:dyDescent="0.35">
      <c r="B13" s="258" t="s">
        <v>1249</v>
      </c>
      <c r="C13" s="258"/>
      <c r="D13" s="258"/>
      <c r="E13" s="170">
        <v>374</v>
      </c>
      <c r="F13" s="199"/>
    </row>
    <row r="14" spans="2:6" ht="15" customHeight="1" x14ac:dyDescent="0.35">
      <c r="B14" s="258" t="s">
        <v>1250</v>
      </c>
      <c r="C14" s="258"/>
      <c r="D14" s="258"/>
      <c r="E14" s="170">
        <v>380</v>
      </c>
      <c r="F14" s="199"/>
    </row>
    <row r="15" spans="2:6" ht="15" customHeight="1" x14ac:dyDescent="0.35">
      <c r="B15" s="258" t="s">
        <v>1251</v>
      </c>
      <c r="C15" s="258"/>
      <c r="D15" s="258"/>
      <c r="E15" s="170">
        <v>381</v>
      </c>
      <c r="F15" s="199"/>
    </row>
    <row r="16" spans="2:6" ht="15" customHeight="1" x14ac:dyDescent="0.35">
      <c r="B16" s="258" t="s">
        <v>1252</v>
      </c>
      <c r="C16" s="258"/>
      <c r="D16" s="258"/>
      <c r="E16" s="170">
        <v>382</v>
      </c>
      <c r="F16" s="199"/>
    </row>
    <row r="17" spans="2:6" ht="15" customHeight="1" x14ac:dyDescent="0.35">
      <c r="B17" s="258" t="s">
        <v>1253</v>
      </c>
      <c r="C17" s="258"/>
      <c r="D17" s="258"/>
      <c r="E17" s="170">
        <v>383</v>
      </c>
      <c r="F17" s="199"/>
    </row>
    <row r="18" spans="2:6" ht="30" customHeight="1" x14ac:dyDescent="0.35">
      <c r="B18" s="258" t="s">
        <v>1254</v>
      </c>
      <c r="C18" s="258"/>
      <c r="D18" s="258"/>
      <c r="E18" s="170">
        <v>390</v>
      </c>
      <c r="F18" s="199"/>
    </row>
    <row r="19" spans="2:6" ht="15" customHeight="1" x14ac:dyDescent="0.35">
      <c r="B19" s="258" t="s">
        <v>1255</v>
      </c>
      <c r="C19" s="258"/>
      <c r="D19" s="258"/>
      <c r="E19" s="170">
        <v>400</v>
      </c>
      <c r="F19" s="199"/>
    </row>
  </sheetData>
  <sheetProtection algorithmName="SHA-512" hashValue="S7ltxNg+RCTzBV/sQs+vrQlcgC0TG+dhGjNA/uCsHJisXyNVBcLQf8eMEr56raOSE1eXku2wemoHXAE9Xo9K6Q==" saltValue="XNqgRhmkldVLBo3VZHTmZA==" spinCount="100000" sheet="1" objects="1" scenarios="1" formatCells="0"/>
  <protectedRanges>
    <protectedRange sqref="F8:F19" name="Диапазон1"/>
  </protectedRanges>
  <mergeCells count="18">
    <mergeCell ref="B7:D7"/>
    <mergeCell ref="C1:E1"/>
    <mergeCell ref="C2:E2"/>
    <mergeCell ref="C3:E3"/>
    <mergeCell ref="C4:E4"/>
    <mergeCell ref="C5:E5"/>
    <mergeCell ref="B19:D19"/>
    <mergeCell ref="B8:D8"/>
    <mergeCell ref="B9:D9"/>
    <mergeCell ref="B10:D10"/>
    <mergeCell ref="B11:D11"/>
    <mergeCell ref="B12:D12"/>
    <mergeCell ref="B13:D13"/>
    <mergeCell ref="B14:D14"/>
    <mergeCell ref="B15:D15"/>
    <mergeCell ref="B16:D16"/>
    <mergeCell ref="B17:D17"/>
    <mergeCell ref="B18:D18"/>
  </mergeCells>
  <hyperlinks>
    <hyperlink ref="F1" location="'Список таблиц'!A1" display="Список таблиц" xr:uid="{5DBFDA89-3324-4F66-8186-F7B82AF0D26F}"/>
  </hyperlinks>
  <pageMargins left="0.7" right="0.7" top="0.75" bottom="0.75" header="0.3" footer="0.3"/>
  <pageSetup paperSize="9" scale="63" orientation="portrait"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4A9DC-7DEB-4BB8-8EBC-0782BD72E5BD}">
  <sheetPr codeName="Лист41">
    <tabColor theme="9" tint="0.79998168889431442"/>
  </sheetPr>
  <dimension ref="B1:L29"/>
  <sheetViews>
    <sheetView view="pageBreakPreview" zoomScale="60" zoomScaleNormal="100" workbookViewId="0">
      <selection activeCell="P37" sqref="P37"/>
    </sheetView>
  </sheetViews>
  <sheetFormatPr defaultColWidth="9.1796875" defaultRowHeight="14.5" x14ac:dyDescent="0.35"/>
  <cols>
    <col min="1" max="1" width="7.81640625" style="29" customWidth="1"/>
    <col min="2" max="2" width="14" style="129" bestFit="1" customWidth="1"/>
    <col min="3" max="3" width="17.54296875" style="129" customWidth="1"/>
    <col min="4" max="4" width="59.54296875" style="29" customWidth="1"/>
    <col min="5" max="5" width="12.7265625" style="29" customWidth="1"/>
    <col min="6" max="12" width="17.1796875" style="29" customWidth="1"/>
    <col min="13" max="16384" width="9.1796875" style="29"/>
  </cols>
  <sheetData>
    <row r="1" spans="2:12" s="85" customFormat="1" x14ac:dyDescent="0.35">
      <c r="B1" s="62" t="s">
        <v>742</v>
      </c>
      <c r="C1" s="270">
        <f>VLOOKUP($C$5,'Список таблиц'!A:E,2,FALSE)</f>
        <v>1945</v>
      </c>
      <c r="D1" s="271"/>
      <c r="E1" s="271"/>
      <c r="F1" s="98" t="s">
        <v>743</v>
      </c>
    </row>
    <row r="2" spans="2:12" s="85" customFormat="1" x14ac:dyDescent="0.35">
      <c r="B2" s="65" t="s">
        <v>744</v>
      </c>
      <c r="C2" s="306" t="str">
        <f>VLOOKUP($C$5,'Список таблиц'!A:E,3,FALSE)</f>
        <v>Формы финансовой отчетности страховщиков и правила по их заполнению</v>
      </c>
      <c r="D2" s="307"/>
      <c r="E2" s="307"/>
    </row>
    <row r="3" spans="2:12" x14ac:dyDescent="0.35">
      <c r="B3" s="67" t="s">
        <v>745</v>
      </c>
      <c r="C3" s="274">
        <f>VLOOKUP($C$5,'Список таблиц'!A:E,4,FALSE)</f>
        <v>7</v>
      </c>
      <c r="D3" s="275"/>
      <c r="E3" s="275"/>
    </row>
    <row r="4" spans="2:12" ht="15" customHeight="1" x14ac:dyDescent="0.35">
      <c r="B4" s="69" t="s">
        <v>746</v>
      </c>
      <c r="C4" s="276" t="str">
        <f>VLOOKUP($C$5,'Список таблиц'!A:E,5,FALSE)</f>
        <v>Отчет о собственном капитале — форма № 5 — страхование</v>
      </c>
      <c r="D4" s="277"/>
      <c r="E4" s="277"/>
    </row>
    <row r="5" spans="2:12" x14ac:dyDescent="0.35">
      <c r="B5" s="67" t="s">
        <v>747</v>
      </c>
      <c r="C5" s="281" t="s">
        <v>715</v>
      </c>
      <c r="D5" s="282"/>
      <c r="E5" s="282"/>
    </row>
    <row r="6" spans="2:12" x14ac:dyDescent="0.35">
      <c r="C6" s="140"/>
      <c r="D6" s="140"/>
      <c r="E6" s="140"/>
      <c r="F6" s="140"/>
      <c r="G6" s="140"/>
      <c r="H6" s="140"/>
      <c r="I6" s="140"/>
    </row>
    <row r="7" spans="2:12" ht="79.5" customHeight="1" x14ac:dyDescent="0.35">
      <c r="B7" s="255" t="s">
        <v>976</v>
      </c>
      <c r="C7" s="255"/>
      <c r="D7" s="255"/>
      <c r="E7" s="72" t="s">
        <v>977</v>
      </c>
      <c r="F7" s="72" t="s">
        <v>1256</v>
      </c>
      <c r="G7" s="72" t="s">
        <v>1257</v>
      </c>
      <c r="H7" s="72" t="s">
        <v>1258</v>
      </c>
      <c r="I7" s="72" t="s">
        <v>1259</v>
      </c>
      <c r="J7" s="72" t="s">
        <v>1260</v>
      </c>
      <c r="K7" s="72" t="s">
        <v>1261</v>
      </c>
      <c r="L7" s="72" t="s">
        <v>1262</v>
      </c>
    </row>
    <row r="8" spans="2:12" ht="15" customHeight="1" x14ac:dyDescent="0.35">
      <c r="B8" s="258" t="s">
        <v>1244</v>
      </c>
      <c r="C8" s="258"/>
      <c r="D8" s="258"/>
      <c r="E8" s="170">
        <v>10</v>
      </c>
      <c r="F8" s="189"/>
      <c r="G8" s="189"/>
      <c r="H8" s="189"/>
      <c r="I8" s="189"/>
      <c r="J8" s="189"/>
      <c r="K8" s="189"/>
      <c r="L8" s="189"/>
    </row>
    <row r="9" spans="2:12" ht="15" customHeight="1" x14ac:dyDescent="0.35">
      <c r="B9" s="258" t="s">
        <v>1263</v>
      </c>
      <c r="C9" s="258"/>
      <c r="D9" s="258"/>
      <c r="E9" s="170">
        <v>20</v>
      </c>
      <c r="F9" s="189"/>
      <c r="G9" s="189"/>
      <c r="H9" s="192"/>
      <c r="I9" s="192"/>
      <c r="J9" s="192"/>
      <c r="K9" s="192"/>
      <c r="L9" s="189"/>
    </row>
    <row r="10" spans="2:12" ht="15" customHeight="1" x14ac:dyDescent="0.35">
      <c r="B10" s="258" t="s">
        <v>1264</v>
      </c>
      <c r="C10" s="258"/>
      <c r="D10" s="258"/>
      <c r="E10" s="170">
        <v>30</v>
      </c>
      <c r="F10" s="192"/>
      <c r="G10" s="192"/>
      <c r="H10" s="193"/>
      <c r="I10" s="192"/>
      <c r="J10" s="192"/>
      <c r="K10" s="192"/>
      <c r="L10" s="193"/>
    </row>
    <row r="11" spans="2:12" ht="15" customHeight="1" x14ac:dyDescent="0.35">
      <c r="B11" s="258" t="s">
        <v>1265</v>
      </c>
      <c r="C11" s="258"/>
      <c r="D11" s="258"/>
      <c r="E11" s="170">
        <v>40</v>
      </c>
      <c r="F11" s="192"/>
      <c r="G11" s="193"/>
      <c r="H11" s="192"/>
      <c r="I11" s="192"/>
      <c r="J11" s="192"/>
      <c r="K11" s="192"/>
      <c r="L11" s="193"/>
    </row>
    <row r="12" spans="2:12" ht="15" customHeight="1" x14ac:dyDescent="0.35">
      <c r="B12" s="258" t="s">
        <v>1266</v>
      </c>
      <c r="C12" s="258"/>
      <c r="D12" s="258"/>
      <c r="E12" s="170">
        <v>50</v>
      </c>
      <c r="F12" s="192"/>
      <c r="G12" s="192"/>
      <c r="H12" s="193"/>
      <c r="I12" s="193"/>
      <c r="J12" s="192"/>
      <c r="K12" s="192"/>
      <c r="L12" s="193"/>
    </row>
    <row r="13" spans="2:12" ht="15" customHeight="1" x14ac:dyDescent="0.35">
      <c r="B13" s="258" t="s">
        <v>1267</v>
      </c>
      <c r="C13" s="258"/>
      <c r="D13" s="258"/>
      <c r="E13" s="73">
        <v>60</v>
      </c>
      <c r="F13" s="194"/>
      <c r="G13" s="194"/>
      <c r="H13" s="194"/>
      <c r="I13" s="189"/>
      <c r="J13" s="194"/>
      <c r="K13" s="194"/>
      <c r="L13" s="189"/>
    </row>
    <row r="14" spans="2:12" ht="15" customHeight="1" x14ac:dyDescent="0.35">
      <c r="B14" s="258" t="s">
        <v>1268</v>
      </c>
      <c r="C14" s="258"/>
      <c r="D14" s="258"/>
      <c r="E14" s="170">
        <v>70</v>
      </c>
      <c r="F14" s="192"/>
      <c r="G14" s="192"/>
      <c r="H14" s="195"/>
      <c r="I14" s="192"/>
      <c r="J14" s="192"/>
      <c r="K14" s="192"/>
      <c r="L14" s="195"/>
    </row>
    <row r="15" spans="2:12" ht="15" customHeight="1" x14ac:dyDescent="0.35">
      <c r="B15" s="258" t="s">
        <v>1269</v>
      </c>
      <c r="C15" s="258"/>
      <c r="D15" s="258"/>
      <c r="E15" s="170">
        <v>80</v>
      </c>
      <c r="F15" s="192"/>
      <c r="G15" s="192"/>
      <c r="H15" s="192"/>
      <c r="I15" s="192"/>
      <c r="J15" s="192"/>
      <c r="K15" s="195"/>
      <c r="L15" s="195"/>
    </row>
    <row r="16" spans="2:12" ht="15" customHeight="1" x14ac:dyDescent="0.35">
      <c r="B16" s="258" t="s">
        <v>1270</v>
      </c>
      <c r="C16" s="258"/>
      <c r="D16" s="258"/>
      <c r="E16" s="73">
        <v>90</v>
      </c>
      <c r="F16" s="194"/>
      <c r="G16" s="194"/>
      <c r="H16" s="194"/>
      <c r="I16" s="196"/>
      <c r="J16" s="194"/>
      <c r="K16" s="194"/>
      <c r="L16" s="196"/>
    </row>
    <row r="17" spans="2:12" ht="15" customHeight="1" x14ac:dyDescent="0.35">
      <c r="B17" s="258" t="s">
        <v>1271</v>
      </c>
      <c r="C17" s="258"/>
      <c r="D17" s="258"/>
      <c r="E17" s="170">
        <v>100</v>
      </c>
      <c r="F17" s="197"/>
      <c r="G17" s="197"/>
      <c r="H17" s="197"/>
      <c r="I17" s="197"/>
      <c r="J17" s="197"/>
      <c r="K17" s="197"/>
      <c r="L17" s="197"/>
    </row>
    <row r="18" spans="2:12" ht="15" customHeight="1" x14ac:dyDescent="0.35">
      <c r="B18" s="258" t="s">
        <v>1272</v>
      </c>
      <c r="C18" s="258"/>
      <c r="D18" s="258"/>
      <c r="E18" s="170">
        <v>110</v>
      </c>
      <c r="F18" s="197"/>
      <c r="G18" s="197"/>
      <c r="H18" s="197"/>
      <c r="I18" s="197"/>
      <c r="J18" s="197"/>
      <c r="K18" s="197"/>
      <c r="L18" s="197"/>
    </row>
    <row r="19" spans="2:12" ht="15" customHeight="1" x14ac:dyDescent="0.35">
      <c r="B19" s="258" t="s">
        <v>1273</v>
      </c>
      <c r="C19" s="258"/>
      <c r="D19" s="258"/>
      <c r="E19" s="170">
        <v>120</v>
      </c>
      <c r="F19" s="197"/>
      <c r="G19" s="197"/>
      <c r="H19" s="197"/>
      <c r="I19" s="197"/>
      <c r="J19" s="197"/>
      <c r="K19" s="197"/>
      <c r="L19" s="197"/>
    </row>
    <row r="20" spans="2:12" ht="15" customHeight="1" x14ac:dyDescent="0.35">
      <c r="B20" s="258" t="s">
        <v>1274</v>
      </c>
      <c r="C20" s="258"/>
      <c r="D20" s="258"/>
      <c r="E20" s="172"/>
      <c r="F20" s="197"/>
      <c r="G20" s="197"/>
      <c r="H20" s="197"/>
      <c r="I20" s="197"/>
      <c r="J20" s="197"/>
      <c r="K20" s="197"/>
      <c r="L20" s="197"/>
    </row>
    <row r="21" spans="2:12" ht="15" customHeight="1" x14ac:dyDescent="0.35">
      <c r="B21" s="258" t="s">
        <v>1275</v>
      </c>
      <c r="C21" s="258"/>
      <c r="D21" s="258"/>
      <c r="E21" s="170">
        <v>130</v>
      </c>
      <c r="F21" s="192"/>
      <c r="G21" s="192"/>
      <c r="H21" s="192"/>
      <c r="I21" s="192"/>
      <c r="J21" s="192"/>
      <c r="K21" s="192"/>
      <c r="L21" s="198"/>
    </row>
    <row r="22" spans="2:12" ht="15" customHeight="1" x14ac:dyDescent="0.35">
      <c r="B22" s="258" t="s">
        <v>1276</v>
      </c>
      <c r="C22" s="258"/>
      <c r="D22" s="258"/>
      <c r="E22" s="173"/>
      <c r="F22" s="197"/>
      <c r="G22" s="197"/>
      <c r="H22" s="197"/>
      <c r="I22" s="197"/>
      <c r="J22" s="197"/>
      <c r="K22" s="197"/>
      <c r="L22" s="197"/>
    </row>
    <row r="23" spans="2:12" ht="15" customHeight="1" x14ac:dyDescent="0.35">
      <c r="B23" s="258" t="s">
        <v>1277</v>
      </c>
      <c r="C23" s="258"/>
      <c r="D23" s="258"/>
      <c r="E23" s="73">
        <v>131</v>
      </c>
      <c r="F23" s="194"/>
      <c r="G23" s="194"/>
      <c r="H23" s="194"/>
      <c r="I23" s="194"/>
      <c r="J23" s="194"/>
      <c r="K23" s="194"/>
      <c r="L23" s="197"/>
    </row>
    <row r="24" spans="2:12" ht="15" customHeight="1" x14ac:dyDescent="0.35">
      <c r="B24" s="258" t="s">
        <v>1278</v>
      </c>
      <c r="C24" s="258"/>
      <c r="D24" s="258"/>
      <c r="E24" s="170">
        <v>132</v>
      </c>
      <c r="F24" s="192"/>
      <c r="G24" s="192"/>
      <c r="H24" s="192"/>
      <c r="I24" s="192"/>
      <c r="J24" s="192"/>
      <c r="K24" s="192"/>
      <c r="L24" s="197"/>
    </row>
    <row r="25" spans="2:12" ht="15" customHeight="1" x14ac:dyDescent="0.35">
      <c r="B25" s="258" t="s">
        <v>1279</v>
      </c>
      <c r="C25" s="258"/>
      <c r="D25" s="258"/>
      <c r="E25" s="170">
        <v>140</v>
      </c>
      <c r="F25" s="192"/>
      <c r="G25" s="192"/>
      <c r="H25" s="192"/>
      <c r="I25" s="192"/>
      <c r="J25" s="192"/>
      <c r="K25" s="192"/>
      <c r="L25" s="197"/>
    </row>
    <row r="26" spans="2:12" ht="15" customHeight="1" x14ac:dyDescent="0.35">
      <c r="B26" s="258" t="s">
        <v>1280</v>
      </c>
      <c r="C26" s="258"/>
      <c r="D26" s="258"/>
      <c r="E26" s="170">
        <v>150</v>
      </c>
      <c r="F26" s="192"/>
      <c r="G26" s="192"/>
      <c r="H26" s="192"/>
      <c r="I26" s="192"/>
      <c r="J26" s="192"/>
      <c r="K26" s="192"/>
      <c r="L26" s="197"/>
    </row>
    <row r="27" spans="2:12" ht="15" customHeight="1" x14ac:dyDescent="0.35">
      <c r="B27" s="258" t="s">
        <v>1276</v>
      </c>
      <c r="C27" s="258"/>
      <c r="D27" s="258"/>
      <c r="E27" s="173"/>
      <c r="F27" s="197"/>
      <c r="G27" s="197"/>
      <c r="H27" s="197"/>
      <c r="I27" s="197"/>
      <c r="J27" s="197"/>
      <c r="K27" s="197"/>
      <c r="L27" s="197"/>
    </row>
    <row r="28" spans="2:12" ht="15" customHeight="1" x14ac:dyDescent="0.35">
      <c r="B28" s="258" t="s">
        <v>1281</v>
      </c>
      <c r="C28" s="258"/>
      <c r="D28" s="258"/>
      <c r="E28" s="73">
        <v>151</v>
      </c>
      <c r="F28" s="194"/>
      <c r="G28" s="194"/>
      <c r="H28" s="194"/>
      <c r="I28" s="194"/>
      <c r="J28" s="194"/>
      <c r="K28" s="194"/>
      <c r="L28" s="197"/>
    </row>
    <row r="29" spans="2:12" ht="15" customHeight="1" x14ac:dyDescent="0.35">
      <c r="B29" s="258" t="s">
        <v>1282</v>
      </c>
      <c r="C29" s="258"/>
      <c r="D29" s="258"/>
      <c r="E29" s="170">
        <v>152</v>
      </c>
      <c r="F29" s="192"/>
      <c r="G29" s="192"/>
      <c r="H29" s="192"/>
      <c r="I29" s="192"/>
      <c r="J29" s="192"/>
      <c r="K29" s="192"/>
      <c r="L29" s="197"/>
    </row>
  </sheetData>
  <sheetProtection algorithmName="SHA-512" hashValue="LlV+NjsYl1juEDqHtyC8OX2zh3Fzb06eu+k+bWtEOdNZMhOKQ9jLQK5jwPHLwqZpv+nGtNVXshMzt9Pr5d3jpw==" saltValue="yJCIEce1eTLDyaoXvf9RuQ==" spinCount="100000" sheet="1" objects="1" scenarios="1" formatCells="0"/>
  <protectedRanges>
    <protectedRange sqref="F8:L29" name="Диапазон1"/>
  </protectedRanges>
  <mergeCells count="28">
    <mergeCell ref="B7:D7"/>
    <mergeCell ref="C1:E1"/>
    <mergeCell ref="C2:E2"/>
    <mergeCell ref="C3:E3"/>
    <mergeCell ref="C4:E4"/>
    <mergeCell ref="C5:E5"/>
    <mergeCell ref="B19:D19"/>
    <mergeCell ref="B8:D8"/>
    <mergeCell ref="B9:D9"/>
    <mergeCell ref="B10:D10"/>
    <mergeCell ref="B11:D11"/>
    <mergeCell ref="B12:D12"/>
    <mergeCell ref="B13:D13"/>
    <mergeCell ref="B14:D14"/>
    <mergeCell ref="B15:D15"/>
    <mergeCell ref="B16:D16"/>
    <mergeCell ref="B17:D17"/>
    <mergeCell ref="B18:D18"/>
    <mergeCell ref="B26:D26"/>
    <mergeCell ref="B27:D27"/>
    <mergeCell ref="B28:D28"/>
    <mergeCell ref="B29:D29"/>
    <mergeCell ref="B20:D20"/>
    <mergeCell ref="B21:D21"/>
    <mergeCell ref="B22:D22"/>
    <mergeCell ref="B23:D23"/>
    <mergeCell ref="B24:D24"/>
    <mergeCell ref="B25:D25"/>
  </mergeCells>
  <hyperlinks>
    <hyperlink ref="F1" location="'Список таблиц'!A1" display="Список таблиц" xr:uid="{2E3DF7D4-984A-4EB5-A4CA-10C529422292}"/>
  </hyperlinks>
  <pageMargins left="0.7" right="0.7" top="0.75" bottom="0.75" header="0.3" footer="0.3"/>
  <pageSetup paperSize="9" scale="37"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39</vt:i4>
      </vt:variant>
      <vt:variant>
        <vt:lpstr>Именованные диапазоны</vt:lpstr>
      </vt:variant>
      <vt:variant>
        <vt:i4>1</vt:i4>
      </vt:variant>
    </vt:vector>
  </HeadingPairs>
  <TitlesOfParts>
    <vt:vector size="40" baseType="lpstr">
      <vt:lpstr>Параметрлар _ Параметры</vt:lpstr>
      <vt:lpstr>Список таблиц</vt:lpstr>
      <vt:lpstr>Жадваллар рўйхати</vt:lpstr>
      <vt:lpstr>1806_1_uz (74)</vt:lpstr>
      <vt:lpstr>1806_2_uz</vt:lpstr>
      <vt:lpstr>1806_3_uz</vt:lpstr>
      <vt:lpstr>1806_4_uz</vt:lpstr>
      <vt:lpstr>1806_5_uz</vt:lpstr>
      <vt:lpstr>1806_6_uz</vt:lpstr>
      <vt:lpstr>1882_1_uz</vt:lpstr>
      <vt:lpstr>1882_2_uz</vt:lpstr>
      <vt:lpstr>1882_3_uz</vt:lpstr>
      <vt:lpstr>1882_4_uz</vt:lpstr>
      <vt:lpstr>1882_5_uz</vt:lpstr>
      <vt:lpstr>1945_1_uz</vt:lpstr>
      <vt:lpstr>1945_2_uz</vt:lpstr>
      <vt:lpstr>1945_3_uz</vt:lpstr>
      <vt:lpstr>1945_4_uz</vt:lpstr>
      <vt:lpstr>1945_5_uz</vt:lpstr>
      <vt:lpstr>1945_6_uz</vt:lpstr>
      <vt:lpstr>1945_7_uz</vt:lpstr>
      <vt:lpstr>1806_1_ru</vt:lpstr>
      <vt:lpstr>1806_2_ru</vt:lpstr>
      <vt:lpstr>1806_3_ru</vt:lpstr>
      <vt:lpstr>1806_4_ru</vt:lpstr>
      <vt:lpstr>1806_5_ru</vt:lpstr>
      <vt:lpstr>1806_6_ru</vt:lpstr>
      <vt:lpstr>1882_1_ru</vt:lpstr>
      <vt:lpstr>1882_2_ru</vt:lpstr>
      <vt:lpstr>1882_3_ru</vt:lpstr>
      <vt:lpstr>1882_4_ru</vt:lpstr>
      <vt:lpstr>1882_5_ru</vt:lpstr>
      <vt:lpstr>1945_1_ru</vt:lpstr>
      <vt:lpstr>1945_2_ru</vt:lpstr>
      <vt:lpstr>1945_3_ru</vt:lpstr>
      <vt:lpstr>1945_4_ru</vt:lpstr>
      <vt:lpstr>1945_5_ru</vt:lpstr>
      <vt:lpstr>1945_6_ru</vt:lpstr>
      <vt:lpstr>1945_7_ru</vt:lpstr>
      <vt:lpstr>'1945_1_uz'!Область_печати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Иззатбек Матназаров</dc:creator>
  <cp:lastModifiedBy>Aziz Shazimov</cp:lastModifiedBy>
  <cp:lastPrinted>2024-04-27T08:50:04Z</cp:lastPrinted>
  <dcterms:created xsi:type="dcterms:W3CDTF">2015-06-05T18:19:34Z</dcterms:created>
  <dcterms:modified xsi:type="dcterms:W3CDTF">2025-08-25T18:31:43Z</dcterms:modified>
</cp:coreProperties>
</file>